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D:\CompanyBk\CSVC\csvc-hust\"/>
    </mc:Choice>
  </mc:AlternateContent>
  <xr:revisionPtr revIDLastSave="0" documentId="13_ncr:1_{D02EEFE8-EC69-4535-8ADD-D3906C77C855}" xr6:coauthVersionLast="47" xr6:coauthVersionMax="47" xr10:uidLastSave="{00000000-0000-0000-0000-000000000000}"/>
  <bookViews>
    <workbookView xWindow="-120" yWindow="-120" windowWidth="20730" windowHeight="11160" xr2:uid="{00000000-000D-0000-FFFF-FFFF00000000}"/>
  </bookViews>
  <sheets>
    <sheet name="ImportAsset" sheetId="1" r:id="rId1"/>
    <sheet name="Nguồn hình thànhNguồn NSNN cấp" sheetId="3" r:id="rId2"/>
    <sheet name="AssetCategories" sheetId="2" r:id="rId3"/>
  </sheets>
  <definedNames>
    <definedName name="Stt10_Quyềnsửdụngđất">AssetCategories!$E$2:$E$13</definedName>
    <definedName name="Stt3_Nhàcôngtrìnhxâydựng">AssetCategories!$H$2:$H$7</definedName>
    <definedName name="Stt4_Vậtkiếntrúc">AssetCategories!$G$2:$G$4</definedName>
    <definedName name="Stt5_Xeôtô">AssetCategories!$A$2:$A$77</definedName>
    <definedName name="Stt6_Phươngtiệnvậntảikhác">AssetCategories!$B$2:$B$15</definedName>
    <definedName name="Stt7_Máymócthiếtbị">AssetCategories!$C$2:$C$77</definedName>
    <definedName name="Stt8_Câylâunămsúcvậtlàmviệc">AssetCategories!$F$2:$F$4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P5" i="1" l="1"/>
  <c r="DP6" i="1"/>
  <c r="DP7" i="1"/>
  <c r="DP8" i="1"/>
  <c r="DP9" i="1"/>
  <c r="DP11" i="1"/>
  <c r="DP4" i="1"/>
  <c r="Q5" i="1" a="1"/>
  <c r="Q5" i="1" s="1"/>
  <c r="EQ5" i="1" s="1"/>
  <c r="Q6" i="1" a="1"/>
  <c r="Q6" i="1" s="1"/>
  <c r="EQ6" i="1" s="1"/>
  <c r="Q7" i="1" a="1"/>
  <c r="Q7" i="1" s="1"/>
  <c r="EQ7" i="1" s="1"/>
  <c r="Q8" i="1" a="1"/>
  <c r="Q8" i="1" s="1"/>
  <c r="EQ8" i="1" s="1"/>
  <c r="Q9" i="1" a="1"/>
  <c r="Q9" i="1" s="1"/>
  <c r="EQ9" i="1" s="1"/>
  <c r="Q4" i="1" a="1"/>
  <c r="Q4" i="1" s="1"/>
  <c r="EQ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<sst xmlns="http://schemas.openxmlformats.org/spreadsheetml/2006/main" count="504" uniqueCount="421">
  <si>
    <t>Đơn vị tính</t>
  </si>
  <si>
    <t>Mô tả</t>
  </si>
  <si>
    <t>Tài sản nhận từ đơn vị</t>
  </si>
  <si>
    <t>Loại định mức tài sản</t>
  </si>
  <si>
    <t>Ghi chú</t>
  </si>
  <si>
    <t>Dự án</t>
  </si>
  <si>
    <t>Số quyết định trang cấp</t>
  </si>
  <si>
    <t>Lý do tăng</t>
  </si>
  <si>
    <t>Nguồn hình thành</t>
  </si>
  <si>
    <t>Tỉnh/thành phố</t>
  </si>
  <si>
    <t>Quận/huyện</t>
  </si>
  <si>
    <t>Xã/phường</t>
  </si>
  <si>
    <t>Nhãn hiệu</t>
  </si>
  <si>
    <t>Model</t>
  </si>
  <si>
    <t>Seri</t>
  </si>
  <si>
    <t>Năm sản xuất</t>
  </si>
  <si>
    <t>Nước sản xuất</t>
  </si>
  <si>
    <t>Người sử dụng</t>
  </si>
  <si>
    <t>Hình thức bố trí sử dụng</t>
  </si>
  <si>
    <t>Số tầng</t>
  </si>
  <si>
    <t>Diện tích xây dựng</t>
  </si>
  <si>
    <t>Năm xây dựng</t>
  </si>
  <si>
    <t>Đất</t>
  </si>
  <si>
    <t>Nhà</t>
  </si>
  <si>
    <t>Vật chất kiến trúc</t>
  </si>
  <si>
    <t>Chiều dài</t>
  </si>
  <si>
    <t>Thể tích</t>
  </si>
  <si>
    <t>Ô tô</t>
  </si>
  <si>
    <t>Số thuế được miễn</t>
  </si>
  <si>
    <t>Biển kiểm soát</t>
  </si>
  <si>
    <t>Nhãn xe</t>
  </si>
  <si>
    <t>Dòng xe</t>
  </si>
  <si>
    <t>Số chỗ ngồi</t>
  </si>
  <si>
    <t>Số cầu</t>
  </si>
  <si>
    <t>Số khung</t>
  </si>
  <si>
    <t>Số máy</t>
  </si>
  <si>
    <t>Giấy chứng nhận đăng ký số</t>
  </si>
  <si>
    <t>Ngày đăng ký</t>
  </si>
  <si>
    <t>Cơ quan cấp đăng ký</t>
  </si>
  <si>
    <t>Nguồn gốc xe</t>
  </si>
  <si>
    <t>Màu sơn</t>
  </si>
  <si>
    <t>Phương tiện vận chuyển khác</t>
  </si>
  <si>
    <t>Chức danh sử dụng</t>
  </si>
  <si>
    <t>Cây lâu năm, Súc vật làm việc</t>
  </si>
  <si>
    <t>Năm sinh - trồng trọt</t>
  </si>
  <si>
    <t>Thiết bị y tế</t>
  </si>
  <si>
    <t>Loại thiết bị y tế</t>
  </si>
  <si>
    <t>Số lưu hành</t>
  </si>
  <si>
    <t>Ngày sản xuất</t>
  </si>
  <si>
    <t>Số lô</t>
  </si>
  <si>
    <t>Được miễn thuế</t>
  </si>
  <si>
    <t>Quản lý nhà nước</t>
  </si>
  <si>
    <t>Sử dụng khác</t>
  </si>
  <si>
    <t>Trụ sở làm việc</t>
  </si>
  <si>
    <t>Làm cơ sở hoạt động sự nghiệp</t>
  </si>
  <si>
    <t>Kinh doanh</t>
  </si>
  <si>
    <t>Cho thuê</t>
  </si>
  <si>
    <t>Liên doanh, liên kết</t>
  </si>
  <si>
    <t>Bỏ trống</t>
  </si>
  <si>
    <t>Làm nhà ở</t>
  </si>
  <si>
    <t>Bị lấn chiếm</t>
  </si>
  <si>
    <t>Mục đích sử dụng khác</t>
  </si>
  <si>
    <t>Hao mòn</t>
  </si>
  <si>
    <t>Khấu hao</t>
  </si>
  <si>
    <t>Ngày bắt đầu tính hao mòn (*)</t>
  </si>
  <si>
    <t>Số năm sử dụng (*)</t>
  </si>
  <si>
    <t>Tỷ lệ hao mòn</t>
  </si>
  <si>
    <t>Lũy kế (*)</t>
  </si>
  <si>
    <t>Thông tin chung</t>
  </si>
  <si>
    <t>Danh mục tài sản (*)</t>
  </si>
  <si>
    <t>Loại tài sản (*)</t>
  </si>
  <si>
    <t>Địa điểm sử dụng</t>
  </si>
  <si>
    <t>Mục đích</t>
  </si>
  <si>
    <t>Giá trị nguồn hình thành</t>
  </si>
  <si>
    <t>Thông tin riêng từng loại tài sản</t>
  </si>
  <si>
    <t>Thông tin kê khai</t>
  </si>
  <si>
    <t>Máy móc thiết bị</t>
  </si>
  <si>
    <t>Tài sản cố định hữu hình khác/Tài sản cố định vô hình khác</t>
  </si>
  <si>
    <t>Hiện trạng sử dụng (Ô tô hoặc Tài sản khác)</t>
  </si>
  <si>
    <t>Địa chỉ đất</t>
  </si>
  <si>
    <t>Địa chỉ nhà</t>
  </si>
  <si>
    <t>Thuộc khuôn viên đất</t>
  </si>
  <si>
    <t>Sử dụng hỗn hợp</t>
  </si>
  <si>
    <t>Hạn sử dụng</t>
  </si>
  <si>
    <t>Tên chủ sở hữu số lưu hành</t>
  </si>
  <si>
    <t>Địa chỉ chủ sở hữu số lưu hành</t>
  </si>
  <si>
    <t>Kỳ trích khấu hao</t>
  </si>
  <si>
    <t>Nhóm thiết bị y tế</t>
  </si>
  <si>
    <t>Có quản lý đất</t>
  </si>
  <si>
    <t>Thông số kỹ thuật</t>
  </si>
  <si>
    <t>Hiện trạng sử dụng ( Nhà hoặc đất)</t>
  </si>
  <si>
    <t>Mục đích sử dụng đất</t>
  </si>
  <si>
    <t xml:space="preserve">Ngày CNQSDĐ </t>
  </si>
  <si>
    <t>Ngày quyết định giao đất</t>
  </si>
  <si>
    <t>Ngày hợp đồng chuyển nhượng QSDĐ</t>
  </si>
  <si>
    <t>Ngày quyết định cho thuê đất</t>
  </si>
  <si>
    <t>Ngày hợp đồng cho thuê đất</t>
  </si>
  <si>
    <t>Mục đích sử dụng đất và Thông tin giấy tờ đất</t>
  </si>
  <si>
    <t>HĐSN - Không KD</t>
  </si>
  <si>
    <t>HĐSN - KD</t>
  </si>
  <si>
    <t>HĐSN - LDLK</t>
  </si>
  <si>
    <t>HĐSN - Cho thuê</t>
  </si>
  <si>
    <t>Ngày mua</t>
  </si>
  <si>
    <t xml:space="preserve">Ngày bắt đầu sử dụng </t>
  </si>
  <si>
    <t>Ngày ghi tăng</t>
  </si>
  <si>
    <t>Thông tin khấu hao, hao mòn</t>
  </si>
  <si>
    <t>115.Xe ô tô phục vụ lễ tân nhà nước</t>
  </si>
  <si>
    <t>116.Xe ô tô khác</t>
  </si>
  <si>
    <t>42.Xe ô tô phục vụ công tác các chức danh</t>
  </si>
  <si>
    <t>43.Xe 4 đến 5 chỗ</t>
  </si>
  <si>
    <t>44.Xe 6 đến 8 chỗ</t>
  </si>
  <si>
    <t>45.Xe ô tô phục vụ công tác chung</t>
  </si>
  <si>
    <t>46.Xe 4 đến 5 chỗ</t>
  </si>
  <si>
    <t>47.Xe 6 đến 8 chỗ</t>
  </si>
  <si>
    <t>48.Xe 9 đến 12 chỗ</t>
  </si>
  <si>
    <t>49.Xe 13 đến 16 chỗ</t>
  </si>
  <si>
    <t>50.Xe ô tô chuyên dùng</t>
  </si>
  <si>
    <t>101.Xe bán tải</t>
  </si>
  <si>
    <t>102.Xe trên 16 chỗ ngồi</t>
  </si>
  <si>
    <t>103.Xe trên 16 - 29 chỗ</t>
  </si>
  <si>
    <t>104.Xe 30- 45 chỗ</t>
  </si>
  <si>
    <t>105.Xe trên 45 chỗ</t>
  </si>
  <si>
    <t>106.Xe chuyên dùng khác phục vụ nhiệm vụ đặc thù</t>
  </si>
  <si>
    <t>107.Xe vận chuyển bữa ăn cho bệnh nhân tâm thần</t>
  </si>
  <si>
    <t>112.Xe phục vụ công tác thi hành án dân sự</t>
  </si>
  <si>
    <t>108.Xe phòng, chống thiên tai</t>
  </si>
  <si>
    <t>113.Xe phục vụ công tác nghiệp vụ của kiểm toán, thanh tra</t>
  </si>
  <si>
    <t>109.Xe phòng chống buôn lậu, gian lận thương mại</t>
  </si>
  <si>
    <t>114.Xe khác phục vụ nhiệm vụ đặc thù</t>
  </si>
  <si>
    <t>110.Xe xét xử lưu động</t>
  </si>
  <si>
    <t>111.Xe phục vụ công tác nghiệp vụ ngành kiểm sát</t>
  </si>
  <si>
    <t>51.Xe chuyên dùng trong lĩnh vực y tế</t>
  </si>
  <si>
    <t>56.Xe xét nghiệm lưu động</t>
  </si>
  <si>
    <t>52.Xe cứu thương thông thường</t>
  </si>
  <si>
    <t>57.Xe phẫu thuật lưu động</t>
  </si>
  <si>
    <t>53.Xe cứu thương có kết cấu đặc biệt</t>
  </si>
  <si>
    <t>58.Xe lấy máu</t>
  </si>
  <si>
    <t>54.Xe chụp X-Quang lưu động</t>
  </si>
  <si>
    <t>59.Xe vận chuyển vắc xin, sinh phẩm</t>
  </si>
  <si>
    <t>55.Xe khám chữa mắt lưu động</t>
  </si>
  <si>
    <t>60.Xe ô tô khác được thiết kế dành riêng cho các hoạt động khám bệnh, chữa bệnh phòng, chống dịch, kiểm nghiệm</t>
  </si>
  <si>
    <t>65.Xe giám định pháp y, xe vận chuyển tử thi</t>
  </si>
  <si>
    <t>69.Xe vận chuyển dụng cụ, vật tư, trang thiết bị y tế chuyên dùng trong lĩnh vực truyền nhiễm</t>
  </si>
  <si>
    <t>61.Xe chuyên dùng phục vụ công tác chăm sóc, bảo vệ sức khỏe cán bộ trung và cấp cao</t>
  </si>
  <si>
    <t>66.Xe chở máy phun và hóa chất lưu động</t>
  </si>
  <si>
    <t>62.Xe chuyên dùng có thiết bị để chuyển giao kỹ thuật và chỉ đạo tuyến</t>
  </si>
  <si>
    <t>63.Xe vận chuyển máu và các loại mẫu thuộc lĩnh vực y tế, bao gồm: mẫu bệnh phẩm, mẫu bệnh truyền nhiễm, mẫu thực phẩm, mẫu thuốc (bao gồm cả vắc xin, sinh phẩm), mẫu thuộc lĩnh vực môi trường y tế</t>
  </si>
  <si>
    <t>67.Xe phục vụ phòng chống thiên tai và tìm kiếm cứu nạn</t>
  </si>
  <si>
    <t>64.Xe vận chuyển người bệnh</t>
  </si>
  <si>
    <t>68.Xe phục vụ lấy, vận chuyển mô, tạng để phục vụ công tác cấy ghép mô, tạng cho người</t>
  </si>
  <si>
    <t>70.Xe ô tô gắn mô hình giảng dậy, mô hình mô phỏng, các thiết bị và phương tiện giảng dạy, giáo cụ trực quan</t>
  </si>
  <si>
    <t>71.Xe ô tô khác có gắn thiết bị chuyên dùng dành riêng cho các hoạt động khám bệnh, chữa bệnh, phòng, chống dịch, kiểm nghiệm</t>
  </si>
  <si>
    <t>72.Xe có kết cấu đặc biệt</t>
  </si>
  <si>
    <t>217.Xe chở phạm nhân</t>
  </si>
  <si>
    <t>74.Xe quét đường</t>
  </si>
  <si>
    <t>79.Xe trang bị phòng thí nghiệm</t>
  </si>
  <si>
    <t>75.Xe phun nước</t>
  </si>
  <si>
    <t>76.Xe chở rác</t>
  </si>
  <si>
    <t>77.Xe ép rác</t>
  </si>
  <si>
    <t>73.Xe cứu hỏa</t>
  </si>
  <si>
    <t>78.Xe chở tiền, biên lai, ấn chỉ</t>
  </si>
  <si>
    <t>80.Xe kéo, xe cứu hộ, cứu nạn</t>
  </si>
  <si>
    <t>81.Xe cần cẩu</t>
  </si>
  <si>
    <t>83.Xe khác có kết cấu đặc biệt</t>
  </si>
  <si>
    <t>82.Xe chở chó nghiệp vụ</t>
  </si>
  <si>
    <t>84.Xe gắn biển hiệu, thiết bị chuyên dùng</t>
  </si>
  <si>
    <t>85.Xe sửa chữa lưu động</t>
  </si>
  <si>
    <t>86.Xe thu phát điện báo</t>
  </si>
  <si>
    <t>87.Xe sửa chữa điện</t>
  </si>
  <si>
    <t>88.Xe tập lái</t>
  </si>
  <si>
    <t>89.Xe thanh tra giao thông</t>
  </si>
  <si>
    <t>90.Xe gắn thiết bị thu, phát vệ tinh</t>
  </si>
  <si>
    <t>91.Xe phát thanh truyền hình lưu động</t>
  </si>
  <si>
    <t>92.Xe phục vụ lễ tang</t>
  </si>
  <si>
    <t>93.Xe sát hạch lái xe</t>
  </si>
  <si>
    <t>94.Xe khác gắn biển hiệu, thiết bị chuyên dùng</t>
  </si>
  <si>
    <t>95.Xe tải</t>
  </si>
  <si>
    <t>100.Xe tải khác</t>
  </si>
  <si>
    <t>96.Xe tải dưới 1 tấn</t>
  </si>
  <si>
    <t>97.Xe tải từ 1 tấn - dưới 5 tấn</t>
  </si>
  <si>
    <t>98.Xe tải từ 5 tấn - dưới 10 tấn</t>
  </si>
  <si>
    <t>99.Xe tải từ 10 tấn trở lên</t>
  </si>
  <si>
    <t>117.Phương tiện vận tải đường bộ</t>
  </si>
  <si>
    <t>118.Phương tiện vận tải đường sắt</t>
  </si>
  <si>
    <t>119.Phương tiện vận tải đường thủy</t>
  </si>
  <si>
    <t>120.Tàu biển chở hàng hóa</t>
  </si>
  <si>
    <t>121.Tàu biển chở khách</t>
  </si>
  <si>
    <t>122.Tàu tuần tra, cứu hộ, cứu nạn đường thủy</t>
  </si>
  <si>
    <t>123.Tàu chở hàng đường thủy nội địa</t>
  </si>
  <si>
    <t>124.Tàu chở khách đường thủy nội địa</t>
  </si>
  <si>
    <t>125.Phà đường thủy các loại</t>
  </si>
  <si>
    <t>126.Ca nô, xuồng máy các loại</t>
  </si>
  <si>
    <t>127.Ghe, thuyền các loại</t>
  </si>
  <si>
    <t>128.Phương tiện vận tải đường thủy khác</t>
  </si>
  <si>
    <t>129.Phương tiện vận tải hàng không</t>
  </si>
  <si>
    <t>130.Phương tiện vận tải khác</t>
  </si>
  <si>
    <t>131.Máy móc thiết bị văn phòng phổ biến</t>
  </si>
  <si>
    <t>132.Máy vi tính để bàn</t>
  </si>
  <si>
    <t>133.Máy vi tính xách tay (hoặc thiết bị điện tử tương đương)</t>
  </si>
  <si>
    <t>134.Máy in</t>
  </si>
  <si>
    <t>135.Máy fax</t>
  </si>
  <si>
    <t>136.Tủ đựng tài liệu</t>
  </si>
  <si>
    <t>137.Máy scan</t>
  </si>
  <si>
    <t>138.Máy hủy tài liệu</t>
  </si>
  <si>
    <t>139.Máy photocopy</t>
  </si>
  <si>
    <t>140.Bộ bàn ghế ngồi làm việc trang bị cho các chức danh</t>
  </si>
  <si>
    <t>141.Bộ bàn ghế họp</t>
  </si>
  <si>
    <t>142.Bộ bàn ghế tiếp khách</t>
  </si>
  <si>
    <t>143.Máy điều hòa không khí</t>
  </si>
  <si>
    <t>144.Quạt</t>
  </si>
  <si>
    <t>145.Máy sưởi</t>
  </si>
  <si>
    <t>146.Máy móc, thiết bị văn phòng phổ biến khác</t>
  </si>
  <si>
    <t>147.Máy móc, thiết bị phục vụ hoạt động chung của cơ quan, tổ chức, đơn vị</t>
  </si>
  <si>
    <t>153.Tủ đựng tài liệu</t>
  </si>
  <si>
    <t>150.Máy vi tính xách tay (hoặc thiết bị điện tử tương đương)</t>
  </si>
  <si>
    <t>158.Bộ bàn ghế họp</t>
  </si>
  <si>
    <t>148.Máy móc, thiết bị phục vụ hoạt động chung của cơ quan, tổ chức, đơn vị cùng loại với máy móc, thiết bị văn phòng phổ biến</t>
  </si>
  <si>
    <t>163.Máy móc, thiết bị văn phòng phổ biến khác</t>
  </si>
  <si>
    <t>154.Máy scan</t>
  </si>
  <si>
    <t>151.Máy in</t>
  </si>
  <si>
    <t>159.Bộ bàn ghế tiếp khách</t>
  </si>
  <si>
    <t>155.Máy hủy tài liệu</t>
  </si>
  <si>
    <t>160.Máy điều hòa không khí</t>
  </si>
  <si>
    <t>156.Máy photocopy</t>
  </si>
  <si>
    <t>161.Quạt</t>
  </si>
  <si>
    <t>152.Máy fax</t>
  </si>
  <si>
    <t>149.Máy vi tính để bàn</t>
  </si>
  <si>
    <t>157.Bộ bàn ghế ngồi làm việc trang bị cho các chức danh</t>
  </si>
  <si>
    <t>162.Máy sưởi</t>
  </si>
  <si>
    <t>181.Thang máy</t>
  </si>
  <si>
    <t>185.Tủ, giá kệ đựng tài liệu hoặc trưng bày hiện vật</t>
  </si>
  <si>
    <t>172.Tổng đài điện thoại, máy bộ đàm</t>
  </si>
  <si>
    <t>177.Thiết bị điện văn phòng</t>
  </si>
  <si>
    <t>168.Ti vi, đầu Video, các loại đầu thu phát tín hiệu kỹ thuật số khác</t>
  </si>
  <si>
    <t>182.Máy bơm nước</t>
  </si>
  <si>
    <t>186.Máy móc, thiết bị phục vụ hoạt động chung khác</t>
  </si>
  <si>
    <t>173.Thiết bị thông tin liên lạc khác</t>
  </si>
  <si>
    <t>164.Máy móc, thiết bị khác phục vụ hoạt động chung của cơ quan, tổ chức, đơn vị</t>
  </si>
  <si>
    <t>178.Thiết bị điện tử phục vụ quản lý, lưu trữ dữ liệu</t>
  </si>
  <si>
    <t>165.Máy chiếu</t>
  </si>
  <si>
    <t>169.Máy ghi âm</t>
  </si>
  <si>
    <t>174.Tủ lạnh, máy làm mát</t>
  </si>
  <si>
    <t>179.Thiết bị truyền dẫn</t>
  </si>
  <si>
    <t>166.Thiết bị lọc nước</t>
  </si>
  <si>
    <t>183.Két sắt</t>
  </si>
  <si>
    <t>170.Máy ảnh</t>
  </si>
  <si>
    <t>175.Máy giặt</t>
  </si>
  <si>
    <t>167.Máy hút ẩm, hút bụi</t>
  </si>
  <si>
    <t>180.Camera giám sát</t>
  </si>
  <si>
    <t>184.Bàn ghế hội trường</t>
  </si>
  <si>
    <t>171.Thiết bị âm thanh</t>
  </si>
  <si>
    <t>176.Thiết bị mạng, truyền thông</t>
  </si>
  <si>
    <t>187.Máy móc, thiết bị chuyên dùng</t>
  </si>
  <si>
    <t>196.Máy photocopy</t>
  </si>
  <si>
    <t>200.Máy điều hòa không khí</t>
  </si>
  <si>
    <t>192.Máy fax</t>
  </si>
  <si>
    <t>197.Bộ bàn ghế ngồi làm việc trang bị cho các chức danh</t>
  </si>
  <si>
    <t>201.Quạt</t>
  </si>
  <si>
    <t>193.Tủ đựng tài liệu</t>
  </si>
  <si>
    <t>198.Bộ bàn ghế họp</t>
  </si>
  <si>
    <t>202.Máy sưởi</t>
  </si>
  <si>
    <t>189.Máy vi tính để bàn</t>
  </si>
  <si>
    <t>188.Máy móc, thiết bị chuyên dùng là máy móc, thiết bị cùng loại với máy móc, thiết bị văn phòng phổ biến, máy móc, thiết bị phục vụ hoạt động chung của cơ quan, tổ chức, đơn vị</t>
  </si>
  <si>
    <t>194.Máy scan</t>
  </si>
  <si>
    <t>199.Bộ bàn ghế tiếp khách</t>
  </si>
  <si>
    <t>203.Máy móc, thiết bị văn phòng phổ biến khác</t>
  </si>
  <si>
    <t>190.Máy vi tính xách tay (hoặc thiết bị điện tử tương đương)</t>
  </si>
  <si>
    <t>195.Máy hủy tài liệu</t>
  </si>
  <si>
    <t>191.Máy in</t>
  </si>
  <si>
    <t>204.Máy móc, thiết bị chuyên dùng thuộc lĩnh vực văn hóa, nghệ thuật (như: thiết bị âm thanh, ánh sáng, loa, micro, đèn...)</t>
  </si>
  <si>
    <t>205.Máy móc, thiết bị chuyên dùng khác</t>
  </si>
  <si>
    <t>206.Máy móc, thiết bị khác</t>
  </si>
  <si>
    <t>11.Quyền tác giả và quyền liên quan tới tác giả</t>
  </si>
  <si>
    <t>12.Quyền sở hữu công nghiệp</t>
  </si>
  <si>
    <t>13.Quyền đối với giống cây trồng</t>
  </si>
  <si>
    <t>14.Phần mềm ứng dụng</t>
  </si>
  <si>
    <t>15.Thương hiệu của đơn vị sự nghiệp công lập</t>
  </si>
  <si>
    <t>210.Tài sản cố định vô hình thuộc Thông tư 45/2018/TT-BTC</t>
  </si>
  <si>
    <t>211.Quyền sở hữu công nghiệp</t>
  </si>
  <si>
    <t>212.Quyền đối với giống cây trồng</t>
  </si>
  <si>
    <t>213.Phần mềm ứng dụng</t>
  </si>
  <si>
    <t>214.Thương hiệu của đơn vị sự nghiệp công lập</t>
  </si>
  <si>
    <t>215.Tài sản cố định vô hình khác</t>
  </si>
  <si>
    <t>216.Quyền tác giả và quyền liên quan đến quyền tác giả</t>
  </si>
  <si>
    <t>207.Các loại súc vật</t>
  </si>
  <si>
    <t>208.Cây lâu năm, vườn cây lâu năm (bao gồm cả vườn cây công nghiệp, vườn cây ăn quả, vườn cây cảnh)</t>
  </si>
  <si>
    <t>209.Thảm cỏ, thảm cây xanh, cây cảnh</t>
  </si>
  <si>
    <t>39.Kho chứa, bể chứa, bãi đỗ, sân phơi, sân chơi, sân thể thao, bể bơi</t>
  </si>
  <si>
    <t>40.Giếng khoan, giếng đào, tường rào</t>
  </si>
  <si>
    <t>41.Các vật kiến trúc khác</t>
  </si>
  <si>
    <t>34.Biệt thự, công trình xây dựng cấp đặc biệt</t>
  </si>
  <si>
    <t>220.Penhouse</t>
  </si>
  <si>
    <t>35.Cấp I</t>
  </si>
  <si>
    <t>36.Cấp II</t>
  </si>
  <si>
    <t>37.Cấp III</t>
  </si>
  <si>
    <t>38.Cấp IV</t>
  </si>
  <si>
    <t>Stt7_Máymócthiếtbị</t>
  </si>
  <si>
    <t>Stt3_Nhàcôngtrìnhxâydựng</t>
  </si>
  <si>
    <t>Stt4_Vậtkiếntrúc</t>
  </si>
  <si>
    <t>Stt5_Xeôtô</t>
  </si>
  <si>
    <t>Stt6_Phươngtiệnvậntảikhác</t>
  </si>
  <si>
    <t>Stt8_Câylâunămsúcvậtlàmviệc</t>
  </si>
  <si>
    <t>nhaf 1234</t>
  </si>
  <si>
    <t>vkt 1234</t>
  </si>
  <si>
    <t>o to 1234</t>
  </si>
  <si>
    <t>ptvt 1234</t>
  </si>
  <si>
    <t>cay 1234</t>
  </si>
  <si>
    <t>máy in 100</t>
  </si>
  <si>
    <t>9.Trường Cơ khí</t>
  </si>
  <si>
    <t>9.Phòng 108</t>
  </si>
  <si>
    <t>9.Phòng 109</t>
  </si>
  <si>
    <t>9.Phòng 110</t>
  </si>
  <si>
    <t>9.Phòng 111</t>
  </si>
  <si>
    <t>1.chiếc</t>
  </si>
  <si>
    <t>4.Tài liệu số 03</t>
  </si>
  <si>
    <t>4.Tài liệu số 05</t>
  </si>
  <si>
    <t>4.Tài liệu số 06</t>
  </si>
  <si>
    <t>4.Tài liệu số 07</t>
  </si>
  <si>
    <t>4.Tài liệu số 08</t>
  </si>
  <si>
    <t>4.Tài liệu số 09</t>
  </si>
  <si>
    <t>7.Dự án số 022</t>
  </si>
  <si>
    <t>7.Dự án số 024</t>
  </si>
  <si>
    <t>7.Dự án số 025</t>
  </si>
  <si>
    <t>7.Dự án số 026</t>
  </si>
  <si>
    <t>7.Dự án số 027</t>
  </si>
  <si>
    <t>7.Dự án số 028</t>
  </si>
  <si>
    <t>công khai 3</t>
  </si>
  <si>
    <t>1.type 3</t>
  </si>
  <si>
    <t>1.type 5</t>
  </si>
  <si>
    <t>1.type 6</t>
  </si>
  <si>
    <t>1.type 7</t>
  </si>
  <si>
    <t>wqwe</t>
  </si>
  <si>
    <t>daxs</t>
  </si>
  <si>
    <t>dd</t>
  </si>
  <si>
    <t>wer23</t>
  </si>
  <si>
    <t>100;200</t>
  </si>
  <si>
    <t>100;200;300</t>
  </si>
  <si>
    <t>2.Đầu tư</t>
  </si>
  <si>
    <t>5.Kiểm kê phát hiện thừa</t>
  </si>
  <si>
    <t>gcr4</t>
  </si>
  <si>
    <t>gcr5</t>
  </si>
  <si>
    <t>gcr6</t>
  </si>
  <si>
    <t>gcr7</t>
  </si>
  <si>
    <t>15.Phòng ban IT 01 - TTCDS</t>
  </si>
  <si>
    <t>Cách tính khấu hao, hao mòn</t>
  </si>
  <si>
    <t>Chức danh khác</t>
  </si>
  <si>
    <t>Số tháng trích khấu hao</t>
  </si>
  <si>
    <t>Ngày kết thúc tính hao mòn (*)</t>
  </si>
  <si>
    <t>1.Việt Nam</t>
  </si>
  <si>
    <t>1.Phục vụ hoạt động đặc thù</t>
  </si>
  <si>
    <t>11.đất Ba vì</t>
  </si>
  <si>
    <t>01. Hà Nội</t>
  </si>
  <si>
    <t>001. Ba VÌ</t>
  </si>
  <si>
    <t>0002.Tản Hồng</t>
  </si>
  <si>
    <t>29a-234</t>
  </si>
  <si>
    <t>honda</t>
  </si>
  <si>
    <t>civic</t>
  </si>
  <si>
    <t>đen</t>
  </si>
  <si>
    <t>Xã Hà Tây</t>
  </si>
  <si>
    <t>Trung Quốc</t>
  </si>
  <si>
    <t>1.Chủ tịch xã</t>
  </si>
  <si>
    <t>2.Phục vụ chủ tịch</t>
  </si>
  <si>
    <t>2.Bí thư xã</t>
  </si>
  <si>
    <t>2.Trung Quốc</t>
  </si>
  <si>
    <t>sswqwe3</t>
  </si>
  <si>
    <t>đỏ</t>
  </si>
  <si>
    <t>Hàn quốc</t>
  </si>
  <si>
    <t>Công an xã</t>
  </si>
  <si>
    <t>thong so 123456</t>
  </si>
  <si>
    <t>3.Bí thư xã</t>
  </si>
  <si>
    <t>số 111,Tản Hồng</t>
  </si>
  <si>
    <t>Có</t>
  </si>
  <si>
    <t>Năm</t>
  </si>
  <si>
    <t>Đơn vị sử dụng (*)</t>
  </si>
  <si>
    <t>Số Seri</t>
  </si>
  <si>
    <t>Tổng nguồn hình thành</t>
  </si>
  <si>
    <t>Còn lại</t>
  </si>
  <si>
    <t>Thời gian trích khấu hao tối thiểu</t>
  </si>
  <si>
    <t>Giá trị còn lại</t>
  </si>
  <si>
    <t>Giấy tờ khác</t>
  </si>
  <si>
    <t>Quyết định cho thuê đất số</t>
  </si>
  <si>
    <t>Hợp đồng cho thuê đất số</t>
  </si>
  <si>
    <t>Hợp đồng chuyển nhượng QSDĐ số</t>
  </si>
  <si>
    <t>Quyết định giao đất số</t>
  </si>
  <si>
    <t>Giấy CNQSDĐ số</t>
  </si>
  <si>
    <r>
      <t xml:space="preserve">Tên tài sản </t>
    </r>
    <r>
      <rPr>
        <sz val="11"/>
        <color rgb="FFFF0000"/>
        <rFont val="Times New Roman"/>
        <family val="1"/>
      </rPr>
      <t>(*)</t>
    </r>
  </si>
  <si>
    <t>Ngày bắt đầu trích khấu hao</t>
  </si>
  <si>
    <t>Thời gian trích khấu hao tối đa</t>
  </si>
  <si>
    <t>Nguồn NSNN cấp</t>
  </si>
  <si>
    <t>Ngân sách trung ương</t>
  </si>
  <si>
    <t>Ngân sách trung ương tự chủ</t>
  </si>
  <si>
    <t>Ngân sách trung ương không tự chủ</t>
  </si>
  <si>
    <t>Nguồn viện trợ, biếu tặng nhỏ lẻ, xã hội hóa</t>
  </si>
  <si>
    <t>Ngân sách Tỉnh</t>
  </si>
  <si>
    <t>Ngân sách Tỉnh tự chủ</t>
  </si>
  <si>
    <t>Ngân sách Tỉnh không tự chủ</t>
  </si>
  <si>
    <t>Ngân sách Huyện</t>
  </si>
  <si>
    <t>Ngân sách Huyện tự chủ</t>
  </si>
  <si>
    <t>Ngân sách Huyện không tự chủ</t>
  </si>
  <si>
    <t>Ngân sách Xã</t>
  </si>
  <si>
    <t>Ngân sách Xã tự chủ</t>
  </si>
  <si>
    <t>Ngân sách Xã không tự chủ</t>
  </si>
  <si>
    <t>Nguồn viện trợ, vay nợ nước ngoài</t>
  </si>
  <si>
    <t>Nguồn tài trợ - viện trợ</t>
  </si>
  <si>
    <t>Nguồn phí được khấu trừ để lại</t>
  </si>
  <si>
    <t>Phí, lệ phí để lại</t>
  </si>
  <si>
    <t>Quỹ phúc lợi</t>
  </si>
  <si>
    <t>Quỹ phát triển hoạt động sự nghiệp</t>
  </si>
  <si>
    <t>Nguồn vốn kinh doanh</t>
  </si>
  <si>
    <t>Nguồn khác</t>
  </si>
  <si>
    <t>Nguồn viện trợ, tài trợ, biếu tặng nhỏ lẻ</t>
  </si>
  <si>
    <t>Nguồn ODA</t>
  </si>
  <si>
    <t>Không</t>
  </si>
  <si>
    <t>Tổng diện tích(m2)</t>
  </si>
  <si>
    <t>Tính khấu hao</t>
  </si>
  <si>
    <t>Thông tin khác</t>
  </si>
  <si>
    <t>Thông tin công khai</t>
  </si>
  <si>
    <t>Diện tích xây dựng(m2)</t>
  </si>
  <si>
    <t>Tải trọng(kg)</t>
  </si>
  <si>
    <t>Dung tích xi lanh(cc)</t>
  </si>
  <si>
    <t>Công suất xe(kW)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</si>
</sst>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8" x14ac:knownFonts="1">
    <font>
      <sz val="11"/>
      <color theme="1"/>
      <name val="Calibri"/>
      <family val="2"/>
      <scheme val="minor"/>
    </font>
    <font>
      <sz val="11"/>
      <name val="Calibri"/>
      <family val="2"/>
      <charset val="1"/>
    </font>
    <font>
      <b/>
      <sz val="11"/>
      <color theme="1"/>
      <name val="Times New Roman"/>
      <family val="1"/>
    </font>
    <font>
      <sz val="11"/>
      <color theme="1"/>
      <name val="Times New Roman"/>
      <family val="1"/>
    </font>
    <font>
      <sz val="8"/>
      <name val="Calibri"/>
      <family val="2"/>
      <scheme val="minor"/>
    </font>
    <font>
      <sz val="11"/>
      <color rgb="FFFF0000"/>
      <name val="Times New Roman"/>
      <family val="1"/>
    </font>
    <font>
      <sz val="11"/>
      <name val="Times New Roman"/>
      <family val="1"/>
    </font>
    <font>
      <b/>
      <sz val="11"/>
      <color rgb="FFFF0000"/>
      <name val="Times New Roman"/>
      <family val="1"/>
    </font>
  </fonts>
  <fills count="24">
    <fill>
      <patternFill patternType="none"/>
    </fill>
    <fill>
      <patternFill patternType="gray125"/>
    </fill>
    <fill>
      <patternFill patternType="solid">
        <fgColor rgb="FFFFF2CC"/>
        <bgColor indexed="64"/>
      </patternFill>
    </fill>
    <fill>
      <patternFill patternType="solid">
        <fgColor rgb="FFF8CBAD"/>
        <bgColor indexed="64"/>
      </patternFill>
    </fill>
    <fill>
      <patternFill patternType="solid">
        <fgColor rgb="FFFBE5D6"/>
        <bgColor indexed="64"/>
      </patternFill>
    </fill>
    <fill>
      <patternFill patternType="solid">
        <fgColor rgb="FFDEEBF7"/>
        <bgColor indexed="64"/>
      </patternFill>
    </fill>
    <fill>
      <patternFill patternType="solid">
        <fgColor rgb="FFE2F0D9"/>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C5E0B4"/>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C6E0B4"/>
        <bgColor indexed="64"/>
      </patternFill>
    </fill>
    <fill>
      <patternFill patternType="solid">
        <fgColor theme="8" tint="0.39997558519241921"/>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CBD3DE"/>
        <bgColor indexed="64"/>
      </patternFill>
    </fill>
    <fill>
      <patternFill patternType="solid">
        <fgColor rgb="FFDBDBDB"/>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00B0F0"/>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 fillId="0" borderId="0"/>
  </cellStyleXfs>
  <cellXfs count="78">
    <xf numFmtId="0" fontId="0" fillId="0" borderId="0" xfId="0"/>
    <xf numFmtId="0" fontId="3" fillId="19" borderId="1" xfId="0" applyFont="1" applyFill="1" applyBorder="1" applyAlignment="1">
      <alignment horizontal="center" vertical="center"/>
    </xf>
    <xf numFmtId="0" fontId="2" fillId="19" borderId="9" xfId="0" applyFont="1" applyFill="1" applyBorder="1" applyAlignment="1">
      <alignment horizontal="center" vertical="center"/>
    </xf>
    <xf numFmtId="0" fontId="3" fillId="19"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5" fillId="19"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23" borderId="1" xfId="0" applyFill="1" applyBorder="1" applyAlignment="1">
      <alignment vertical="center"/>
    </xf>
    <xf numFmtId="164" fontId="3" fillId="7" borderId="1" xfId="0" applyNumberFormat="1" applyFont="1" applyFill="1" applyBorder="1" applyAlignment="1">
      <alignment horizontal="center" vertical="center" wrapText="1"/>
    </xf>
    <xf numFmtId="164" fontId="0" fillId="0" borderId="0" xfId="0" applyNumberFormat="1"/>
    <xf numFmtId="0" fontId="2" fillId="16"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xf>
    <xf numFmtId="0" fontId="3"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2" fillId="14" borderId="14" xfId="0" applyFont="1" applyFill="1" applyBorder="1" applyAlignment="1">
      <alignment horizontal="center" vertical="center"/>
    </xf>
    <xf numFmtId="0" fontId="2" fillId="22" borderId="1" xfId="0" applyFont="1" applyFill="1" applyBorder="1" applyAlignment="1">
      <alignment horizontal="center" vertic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4"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2" fillId="11" borderId="8" xfId="0" applyFont="1" applyFill="1" applyBorder="1" applyAlignment="1">
      <alignment horizontal="center" vertical="center"/>
    </xf>
    <xf numFmtId="0" fontId="2" fillId="11" borderId="9" xfId="0" applyFont="1" applyFill="1" applyBorder="1" applyAlignment="1">
      <alignment horizontal="center" vertical="center"/>
    </xf>
    <xf numFmtId="0" fontId="2" fillId="11" borderId="10" xfId="0" applyFont="1" applyFill="1" applyBorder="1" applyAlignment="1">
      <alignment horizontal="center" vertical="center"/>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20" borderId="5" xfId="0" applyFont="1" applyFill="1" applyBorder="1" applyAlignment="1">
      <alignment horizontal="center" vertical="center"/>
    </xf>
    <xf numFmtId="0" fontId="2" fillId="20" borderId="6" xfId="0" applyFont="1" applyFill="1" applyBorder="1" applyAlignment="1">
      <alignment horizontal="center" vertical="center"/>
    </xf>
    <xf numFmtId="0" fontId="2" fillId="20" borderId="7" xfId="0" applyFont="1" applyFill="1" applyBorder="1" applyAlignment="1">
      <alignment horizontal="center" vertical="center"/>
    </xf>
    <xf numFmtId="0" fontId="2" fillId="20" borderId="8" xfId="0" applyFont="1" applyFill="1" applyBorder="1" applyAlignment="1">
      <alignment horizontal="center" vertical="center"/>
    </xf>
    <xf numFmtId="0" fontId="2" fillId="20" borderId="9" xfId="0" applyFont="1" applyFill="1" applyBorder="1" applyAlignment="1">
      <alignment horizontal="center" vertical="center"/>
    </xf>
    <xf numFmtId="0" fontId="2" fillId="20" borderId="10" xfId="0" applyFont="1" applyFill="1" applyBorder="1" applyAlignment="1">
      <alignment horizontal="center" vertical="center"/>
    </xf>
    <xf numFmtId="0" fontId="3" fillId="21" borderId="13" xfId="0" applyFont="1" applyFill="1" applyBorder="1" applyAlignment="1">
      <alignment horizontal="center" vertical="center" wrapText="1"/>
    </xf>
    <xf numFmtId="0" fontId="3" fillId="21" borderId="14"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13" borderId="8"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1" borderId="4" xfId="0" applyFont="1" applyFill="1" applyBorder="1" applyAlignment="1">
      <alignment horizontal="center" vertical="center" wrapText="1"/>
    </xf>
    <xf numFmtId="14" fontId="0" fillId="0" borderId="0" xfId="0" applyNumberFormat="1"/>
  </cellXfs>
  <cellStyles count="2">
    <cellStyle name="Normal" xfId="0" builtinId="0"/>
    <cellStyle name="Normal 2" xfId="1" xr:uid="{0C12B44A-5810-48DE-8516-DE4A44E36C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Q11"/>
  <sheetViews>
    <sheetView tabSelected="1" topLeftCell="X1" zoomScaleNormal="100" workbookViewId="0">
      <selection activeCell="EL13" sqref="EL13"/>
    </sheetView>
  </sheetViews>
  <sheetFormatPr defaultRowHeight="15" x14ac:dyDescent="0.25"/>
  <cols>
    <col min="1" max="1" width="36.140625" customWidth="1"/>
    <col min="2" max="2" width="34.42578125" bestFit="1" customWidth="1"/>
    <col min="3" max="3" width="19.7109375" customWidth="1"/>
    <col min="4" max="4" width="23.7109375" bestFit="1" customWidth="1"/>
    <col min="9" max="9" width="9" customWidth="1"/>
    <col min="11" max="11" width="24.42578125" customWidth="1"/>
    <col min="12" max="12" width="13.7109375" customWidth="1"/>
    <col min="14" max="14" width="16" customWidth="1"/>
    <col min="15" max="15" width="23.140625" customWidth="1"/>
    <col min="16" max="16" width="21.140625" bestFit="1" customWidth="1"/>
    <col min="17" max="17" width="10.42578125" customWidth="1"/>
    <col min="24" max="24" width="14.7109375" customWidth="1"/>
    <col min="25" max="25" width="9.7109375" customWidth="1"/>
    <col min="26" max="26" width="11.140625" customWidth="1"/>
    <col min="27" max="27" width="10.85546875" customWidth="1"/>
    <col min="31" max="31" width="10" customWidth="1"/>
    <col min="32" max="32" width="10.85546875" customWidth="1"/>
    <col min="33" max="33" width="11" customWidth="1"/>
    <col min="59" max="59" width="10.7109375" bestFit="1" customWidth="1"/>
    <col min="66" max="66" width="10.5703125" bestFit="1" customWidth="1"/>
    <col min="78" max="78" width="9.7109375" style="30" bestFit="1" customWidth="1"/>
    <col min="79" max="79" width="7.7109375" bestFit="1" customWidth="1"/>
    <col min="86" max="86" width="17.42578125" customWidth="1"/>
    <col min="97" max="97" width="13.28515625" bestFit="1" customWidth="1"/>
    <col min="103" max="103" width="21" customWidth="1"/>
    <col min="122" max="122" width="9.85546875" customWidth="1"/>
    <col min="123" max="123" width="10.42578125" customWidth="1"/>
    <col min="125" max="125" width="11.140625" customWidth="1"/>
    <col min="127" max="127" width="11.85546875" customWidth="1"/>
    <col min="129" max="129" width="14.7109375" customWidth="1"/>
    <col min="131" max="131" width="11.7109375" customWidth="1"/>
    <col min="133" max="133" width="29" customWidth="1"/>
    <col min="134" max="134" width="10.7109375" bestFit="1" customWidth="1"/>
    <col min="135" max="135" width="20.85546875" customWidth="1"/>
    <col min="136" max="136" width="10.7109375" bestFit="1" customWidth="1"/>
    <col min="137" max="137" width="11.85546875" customWidth="1"/>
    <col min="140" max="140" width="12.140625" customWidth="1"/>
    <col min="141" max="141" width="15.28515625" bestFit="1" customWidth="1"/>
    <col min="146" max="146" width="17.28515625" customWidth="1"/>
  </cols>
  <sheetData>
    <row r="1" spans="1:147" ht="27.75" customHeight="1" x14ac:dyDescent="0.25">
      <c r="A1" s="42" t="s">
        <v>68</v>
      </c>
      <c r="B1" s="43"/>
      <c r="C1" s="43"/>
      <c r="D1" s="43"/>
      <c r="E1" s="43"/>
      <c r="F1" s="43"/>
      <c r="G1" s="43"/>
      <c r="H1" s="43"/>
      <c r="I1" s="43"/>
      <c r="J1" s="43"/>
      <c r="K1" s="43"/>
      <c r="L1" s="43"/>
      <c r="M1" s="43"/>
      <c r="N1" s="43"/>
      <c r="O1" s="43"/>
      <c r="P1" s="43"/>
      <c r="Q1" s="44"/>
      <c r="R1" s="35" t="s">
        <v>74</v>
      </c>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7"/>
      <c r="CQ1" s="58" t="s">
        <v>45</v>
      </c>
      <c r="CR1" s="59"/>
      <c r="CS1" s="59"/>
      <c r="CT1" s="59"/>
      <c r="CU1" s="59"/>
      <c r="CV1" s="59"/>
      <c r="CW1" s="59"/>
      <c r="CX1" s="60"/>
      <c r="CY1" s="49" t="s">
        <v>75</v>
      </c>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1"/>
      <c r="EC1" s="41" t="s">
        <v>105</v>
      </c>
      <c r="ED1" s="41"/>
      <c r="EE1" s="41"/>
      <c r="EF1" s="41"/>
      <c r="EG1" s="41"/>
      <c r="EH1" s="41"/>
      <c r="EI1" s="41"/>
      <c r="EJ1" s="41"/>
      <c r="EK1" s="41"/>
      <c r="EL1" s="41"/>
      <c r="EM1" s="41"/>
      <c r="EN1" s="41"/>
      <c r="EO1" s="41"/>
      <c r="EP1" s="41"/>
      <c r="EQ1" s="41"/>
    </row>
    <row r="2" spans="1:147" ht="24" customHeight="1" x14ac:dyDescent="0.25">
      <c r="A2" s="39" t="s">
        <v>69</v>
      </c>
      <c r="B2" s="39" t="s">
        <v>70</v>
      </c>
      <c r="C2" s="38" t="s">
        <v>385</v>
      </c>
      <c r="D2" s="39" t="s">
        <v>373</v>
      </c>
      <c r="E2" s="39" t="s">
        <v>71</v>
      </c>
      <c r="F2" s="39" t="s">
        <v>0</v>
      </c>
      <c r="G2" s="39" t="s">
        <v>6</v>
      </c>
      <c r="H2" s="39" t="s">
        <v>5</v>
      </c>
      <c r="I2" s="75" t="s">
        <v>416</v>
      </c>
      <c r="J2" s="76"/>
      <c r="K2" s="74" t="s">
        <v>415</v>
      </c>
      <c r="L2" s="72"/>
      <c r="M2" s="73"/>
      <c r="N2" s="39" t="s">
        <v>7</v>
      </c>
      <c r="O2" s="38" t="s">
        <v>8</v>
      </c>
      <c r="P2" s="38" t="s">
        <v>73</v>
      </c>
      <c r="Q2" s="38" t="s">
        <v>375</v>
      </c>
      <c r="R2" s="45" t="s">
        <v>76</v>
      </c>
      <c r="S2" s="45"/>
      <c r="T2" s="45"/>
      <c r="U2" s="45"/>
      <c r="V2" s="45"/>
      <c r="W2" s="45"/>
      <c r="X2" s="45"/>
      <c r="Y2" s="33" t="s">
        <v>22</v>
      </c>
      <c r="Z2" s="33"/>
      <c r="AA2" s="33"/>
      <c r="AB2" s="33"/>
      <c r="AC2" s="34" t="s">
        <v>23</v>
      </c>
      <c r="AD2" s="34"/>
      <c r="AE2" s="34"/>
      <c r="AF2" s="34"/>
      <c r="AG2" s="34"/>
      <c r="AH2" s="34"/>
      <c r="AI2" s="34"/>
      <c r="AJ2" s="34"/>
      <c r="AK2" s="34"/>
      <c r="AL2" s="31" t="s">
        <v>24</v>
      </c>
      <c r="AM2" s="31"/>
      <c r="AN2" s="31"/>
      <c r="AO2" s="31"/>
      <c r="AP2" s="31"/>
      <c r="AQ2" s="31"/>
      <c r="AR2" s="32" t="s">
        <v>27</v>
      </c>
      <c r="AS2" s="32"/>
      <c r="AT2" s="32"/>
      <c r="AU2" s="32"/>
      <c r="AV2" s="32"/>
      <c r="AW2" s="32"/>
      <c r="AX2" s="32"/>
      <c r="AY2" s="32"/>
      <c r="AZ2" s="32"/>
      <c r="BA2" s="32"/>
      <c r="BB2" s="32"/>
      <c r="BC2" s="32"/>
      <c r="BD2" s="32"/>
      <c r="BE2" s="32"/>
      <c r="BF2" s="32"/>
      <c r="BG2" s="32"/>
      <c r="BH2" s="32"/>
      <c r="BI2" s="32"/>
      <c r="BJ2" s="32"/>
      <c r="BK2" s="32"/>
      <c r="BL2" s="32"/>
      <c r="BM2" s="32"/>
      <c r="BN2" s="32"/>
      <c r="BO2" s="46" t="s">
        <v>41</v>
      </c>
      <c r="BP2" s="46"/>
      <c r="BQ2" s="46"/>
      <c r="BR2" s="46"/>
      <c r="BS2" s="46"/>
      <c r="BT2" s="46"/>
      <c r="BU2" s="46"/>
      <c r="BV2" s="46"/>
      <c r="BW2" s="46"/>
      <c r="BX2" s="46"/>
      <c r="BY2" s="46"/>
      <c r="BZ2" s="46"/>
      <c r="CA2" s="46"/>
      <c r="CB2" s="46"/>
      <c r="CC2" s="46"/>
      <c r="CD2" s="46"/>
      <c r="CE2" s="46"/>
      <c r="CF2" s="46"/>
      <c r="CG2" s="47" t="s">
        <v>43</v>
      </c>
      <c r="CH2" s="47"/>
      <c r="CI2" s="47"/>
      <c r="CJ2" s="45" t="s">
        <v>77</v>
      </c>
      <c r="CK2" s="45"/>
      <c r="CL2" s="45"/>
      <c r="CM2" s="45"/>
      <c r="CN2" s="45"/>
      <c r="CO2" s="45"/>
      <c r="CP2" s="45"/>
      <c r="CQ2" s="61"/>
      <c r="CR2" s="62"/>
      <c r="CS2" s="62"/>
      <c r="CT2" s="62"/>
      <c r="CU2" s="62"/>
      <c r="CV2" s="62"/>
      <c r="CW2" s="62"/>
      <c r="CX2" s="63"/>
      <c r="CY2" s="64" t="s">
        <v>89</v>
      </c>
      <c r="CZ2" s="55" t="s">
        <v>78</v>
      </c>
      <c r="DA2" s="56"/>
      <c r="DB2" s="56"/>
      <c r="DC2" s="56"/>
      <c r="DD2" s="56"/>
      <c r="DE2" s="57"/>
      <c r="DF2" s="48" t="s">
        <v>90</v>
      </c>
      <c r="DG2" s="48"/>
      <c r="DH2" s="48"/>
      <c r="DI2" s="48"/>
      <c r="DJ2" s="48"/>
      <c r="DK2" s="48"/>
      <c r="DL2" s="48"/>
      <c r="DM2" s="48"/>
      <c r="DN2" s="48"/>
      <c r="DO2" s="48"/>
      <c r="DP2" s="48"/>
      <c r="DQ2" s="52" t="s">
        <v>97</v>
      </c>
      <c r="DR2" s="53"/>
      <c r="DS2" s="53"/>
      <c r="DT2" s="53"/>
      <c r="DU2" s="53"/>
      <c r="DV2" s="53"/>
      <c r="DW2" s="53"/>
      <c r="DX2" s="53"/>
      <c r="DY2" s="53"/>
      <c r="DZ2" s="53"/>
      <c r="EA2" s="53"/>
      <c r="EB2" s="54"/>
      <c r="EC2" s="2"/>
      <c r="ED2" s="2"/>
      <c r="EE2" s="2"/>
      <c r="EF2" s="2"/>
      <c r="EG2" s="69" t="s">
        <v>62</v>
      </c>
      <c r="EH2" s="70"/>
      <c r="EI2" s="70"/>
      <c r="EJ2" s="71"/>
      <c r="EK2" s="66" t="s">
        <v>63</v>
      </c>
      <c r="EL2" s="67"/>
      <c r="EM2" s="67"/>
      <c r="EN2" s="67"/>
      <c r="EO2" s="68"/>
      <c r="EP2" s="40" t="s">
        <v>376</v>
      </c>
      <c r="EQ2" s="40"/>
    </row>
    <row r="3" spans="1:147" ht="90" x14ac:dyDescent="0.25">
      <c r="A3" s="38"/>
      <c r="B3" s="38"/>
      <c r="C3" s="38"/>
      <c r="D3" s="38"/>
      <c r="E3" s="38"/>
      <c r="F3" s="38"/>
      <c r="G3" s="38"/>
      <c r="H3" s="38"/>
      <c r="I3" s="8" t="s">
        <v>1</v>
      </c>
      <c r="J3" s="8" t="s">
        <v>72</v>
      </c>
      <c r="K3" s="7" t="s">
        <v>2</v>
      </c>
      <c r="L3" s="7" t="s">
        <v>3</v>
      </c>
      <c r="M3" s="8" t="s">
        <v>4</v>
      </c>
      <c r="N3" s="38"/>
      <c r="O3" s="38"/>
      <c r="P3" s="38"/>
      <c r="Q3" s="38"/>
      <c r="R3" s="17" t="s">
        <v>12</v>
      </c>
      <c r="S3" s="17" t="s">
        <v>13</v>
      </c>
      <c r="T3" s="17" t="s">
        <v>374</v>
      </c>
      <c r="U3" s="17" t="s">
        <v>15</v>
      </c>
      <c r="V3" s="18" t="s">
        <v>16</v>
      </c>
      <c r="W3" s="18" t="s">
        <v>17</v>
      </c>
      <c r="X3" s="18" t="s">
        <v>18</v>
      </c>
      <c r="Y3" s="25" t="s">
        <v>9</v>
      </c>
      <c r="Z3" s="25" t="s">
        <v>10</v>
      </c>
      <c r="AA3" s="25" t="s">
        <v>11</v>
      </c>
      <c r="AB3" s="26" t="s">
        <v>79</v>
      </c>
      <c r="AC3" s="22" t="s">
        <v>88</v>
      </c>
      <c r="AD3" s="23" t="s">
        <v>81</v>
      </c>
      <c r="AE3" s="23" t="s">
        <v>9</v>
      </c>
      <c r="AF3" s="23" t="s">
        <v>10</v>
      </c>
      <c r="AG3" s="23" t="s">
        <v>11</v>
      </c>
      <c r="AH3" s="24" t="s">
        <v>80</v>
      </c>
      <c r="AI3" s="22" t="s">
        <v>19</v>
      </c>
      <c r="AJ3" s="22" t="s">
        <v>417</v>
      </c>
      <c r="AK3" s="22" t="s">
        <v>21</v>
      </c>
      <c r="AL3" s="20" t="s">
        <v>81</v>
      </c>
      <c r="AM3" s="21" t="s">
        <v>25</v>
      </c>
      <c r="AN3" s="21" t="s">
        <v>20</v>
      </c>
      <c r="AO3" s="21" t="s">
        <v>26</v>
      </c>
      <c r="AP3" s="21" t="s">
        <v>15</v>
      </c>
      <c r="AQ3" s="20" t="s">
        <v>16</v>
      </c>
      <c r="AR3" s="4" t="s">
        <v>50</v>
      </c>
      <c r="AS3" s="4" t="s">
        <v>28</v>
      </c>
      <c r="AT3" s="4" t="s">
        <v>29</v>
      </c>
      <c r="AU3" s="4" t="s">
        <v>30</v>
      </c>
      <c r="AV3" s="4" t="s">
        <v>31</v>
      </c>
      <c r="AW3" s="4" t="s">
        <v>418</v>
      </c>
      <c r="AX3" s="4" t="s">
        <v>32</v>
      </c>
      <c r="AY3" s="4" t="s">
        <v>420</v>
      </c>
      <c r="AZ3" s="4" t="s">
        <v>419</v>
      </c>
      <c r="BA3" s="4" t="s">
        <v>33</v>
      </c>
      <c r="BB3" s="4" t="s">
        <v>34</v>
      </c>
      <c r="BC3" s="4" t="s">
        <v>35</v>
      </c>
      <c r="BD3" s="4" t="s">
        <v>15</v>
      </c>
      <c r="BE3" s="19" t="s">
        <v>16</v>
      </c>
      <c r="BF3" s="4" t="s">
        <v>36</v>
      </c>
      <c r="BG3" s="4" t="s">
        <v>37</v>
      </c>
      <c r="BH3" s="4" t="s">
        <v>38</v>
      </c>
      <c r="BI3" s="4" t="s">
        <v>39</v>
      </c>
      <c r="BJ3" s="4" t="s">
        <v>40</v>
      </c>
      <c r="BK3" s="19" t="s">
        <v>17</v>
      </c>
      <c r="BL3" s="19" t="s">
        <v>18</v>
      </c>
      <c r="BM3" s="19" t="s">
        <v>42</v>
      </c>
      <c r="BN3" s="19" t="s">
        <v>345</v>
      </c>
      <c r="BO3" s="13" t="s">
        <v>29</v>
      </c>
      <c r="BP3" s="13" t="s">
        <v>12</v>
      </c>
      <c r="BQ3" s="13" t="s">
        <v>418</v>
      </c>
      <c r="BR3" s="13" t="s">
        <v>32</v>
      </c>
      <c r="BS3" s="13" t="s">
        <v>420</v>
      </c>
      <c r="BT3" s="13" t="s">
        <v>419</v>
      </c>
      <c r="BU3" s="13" t="s">
        <v>34</v>
      </c>
      <c r="BV3" s="13" t="s">
        <v>35</v>
      </c>
      <c r="BW3" s="13" t="s">
        <v>15</v>
      </c>
      <c r="BX3" s="14" t="s">
        <v>16</v>
      </c>
      <c r="BY3" s="13" t="s">
        <v>36</v>
      </c>
      <c r="BZ3" s="29" t="s">
        <v>37</v>
      </c>
      <c r="CA3" s="13" t="s">
        <v>38</v>
      </c>
      <c r="CB3" s="13" t="s">
        <v>39</v>
      </c>
      <c r="CC3" s="13" t="s">
        <v>40</v>
      </c>
      <c r="CD3" s="14" t="s">
        <v>17</v>
      </c>
      <c r="CE3" s="14" t="s">
        <v>18</v>
      </c>
      <c r="CF3" s="14" t="s">
        <v>42</v>
      </c>
      <c r="CG3" s="15" t="s">
        <v>44</v>
      </c>
      <c r="CH3" s="16" t="s">
        <v>16</v>
      </c>
      <c r="CI3" s="16" t="s">
        <v>18</v>
      </c>
      <c r="CJ3" s="17" t="s">
        <v>12</v>
      </c>
      <c r="CK3" s="17" t="s">
        <v>13</v>
      </c>
      <c r="CL3" s="17" t="s">
        <v>14</v>
      </c>
      <c r="CM3" s="17" t="s">
        <v>15</v>
      </c>
      <c r="CN3" s="18" t="s">
        <v>16</v>
      </c>
      <c r="CO3" s="18" t="s">
        <v>17</v>
      </c>
      <c r="CP3" s="18" t="s">
        <v>18</v>
      </c>
      <c r="CQ3" s="11" t="s">
        <v>46</v>
      </c>
      <c r="CR3" s="11" t="s">
        <v>87</v>
      </c>
      <c r="CS3" s="28" t="s">
        <v>48</v>
      </c>
      <c r="CT3" s="12" t="s">
        <v>83</v>
      </c>
      <c r="CU3" s="12" t="s">
        <v>47</v>
      </c>
      <c r="CV3" s="12" t="s">
        <v>49</v>
      </c>
      <c r="CW3" s="12" t="s">
        <v>84</v>
      </c>
      <c r="CX3" s="12" t="s">
        <v>85</v>
      </c>
      <c r="CY3" s="65"/>
      <c r="CZ3" s="9" t="s">
        <v>51</v>
      </c>
      <c r="DA3" s="9" t="s">
        <v>98</v>
      </c>
      <c r="DB3" s="9" t="s">
        <v>99</v>
      </c>
      <c r="DC3" s="9" t="s">
        <v>100</v>
      </c>
      <c r="DD3" s="9" t="s">
        <v>101</v>
      </c>
      <c r="DE3" s="9" t="s">
        <v>52</v>
      </c>
      <c r="DF3" s="10" t="s">
        <v>53</v>
      </c>
      <c r="DG3" s="10" t="s">
        <v>54</v>
      </c>
      <c r="DH3" s="10" t="s">
        <v>55</v>
      </c>
      <c r="DI3" s="10" t="s">
        <v>56</v>
      </c>
      <c r="DJ3" s="10" t="s">
        <v>57</v>
      </c>
      <c r="DK3" s="10" t="s">
        <v>82</v>
      </c>
      <c r="DL3" s="10" t="s">
        <v>58</v>
      </c>
      <c r="DM3" s="10" t="s">
        <v>59</v>
      </c>
      <c r="DN3" s="10" t="s">
        <v>60</v>
      </c>
      <c r="DO3" s="10" t="s">
        <v>61</v>
      </c>
      <c r="DP3" s="27" t="s">
        <v>413</v>
      </c>
      <c r="DQ3" s="7" t="s">
        <v>91</v>
      </c>
      <c r="DR3" s="8" t="s">
        <v>384</v>
      </c>
      <c r="DS3" s="8" t="s">
        <v>92</v>
      </c>
      <c r="DT3" s="8" t="s">
        <v>383</v>
      </c>
      <c r="DU3" s="8" t="s">
        <v>93</v>
      </c>
      <c r="DV3" s="8" t="s">
        <v>382</v>
      </c>
      <c r="DW3" s="8" t="s">
        <v>94</v>
      </c>
      <c r="DX3" s="8" t="s">
        <v>380</v>
      </c>
      <c r="DY3" s="8" t="s">
        <v>95</v>
      </c>
      <c r="DZ3" s="8" t="s">
        <v>381</v>
      </c>
      <c r="EA3" s="8" t="s">
        <v>96</v>
      </c>
      <c r="EB3" s="8" t="s">
        <v>379</v>
      </c>
      <c r="EC3" s="6" t="s">
        <v>344</v>
      </c>
      <c r="ED3" s="1" t="s">
        <v>102</v>
      </c>
      <c r="EE3" s="1" t="s">
        <v>103</v>
      </c>
      <c r="EF3" s="3" t="s">
        <v>104</v>
      </c>
      <c r="EG3" s="5" t="s">
        <v>64</v>
      </c>
      <c r="EH3" s="5" t="s">
        <v>65</v>
      </c>
      <c r="EI3" s="5" t="s">
        <v>66</v>
      </c>
      <c r="EJ3" s="5" t="s">
        <v>347</v>
      </c>
      <c r="EK3" s="4" t="s">
        <v>386</v>
      </c>
      <c r="EL3" s="4" t="s">
        <v>86</v>
      </c>
      <c r="EM3" s="4" t="s">
        <v>346</v>
      </c>
      <c r="EN3" s="4" t="s">
        <v>377</v>
      </c>
      <c r="EO3" s="4" t="s">
        <v>387</v>
      </c>
      <c r="EP3" s="1" t="s">
        <v>67</v>
      </c>
      <c r="EQ3" s="3" t="s">
        <v>378</v>
      </c>
    </row>
    <row r="4" spans="1:147" x14ac:dyDescent="0.25">
      <c r="A4" t="s">
        <v>296</v>
      </c>
      <c r="B4" t="s">
        <v>200</v>
      </c>
      <c r="C4" t="s">
        <v>307</v>
      </c>
      <c r="D4" t="s">
        <v>308</v>
      </c>
      <c r="G4" t="s">
        <v>314</v>
      </c>
      <c r="H4" t="s">
        <v>320</v>
      </c>
      <c r="N4" t="s">
        <v>337</v>
      </c>
      <c r="P4" t="s">
        <v>335</v>
      </c>
      <c r="Q4" cm="1">
        <f t="array" ref="Q4">SUM(VALUE(_xlfn.TEXTSPLIT(P4, ";")))</f>
        <v>300</v>
      </c>
      <c r="S4">
        <v>1</v>
      </c>
      <c r="U4">
        <v>2023</v>
      </c>
      <c r="V4" t="s">
        <v>348</v>
      </c>
      <c r="X4" t="s">
        <v>349</v>
      </c>
      <c r="BG4" s="77">
        <v>36863</v>
      </c>
      <c r="BZ4" s="77">
        <v>36863</v>
      </c>
      <c r="CS4" s="77">
        <v>36863</v>
      </c>
      <c r="CY4" t="s">
        <v>368</v>
      </c>
      <c r="DP4" t="str">
        <f>IF(SUM(DF4:DO4)=0, "", SUM(DF4:DO4))</f>
        <v/>
      </c>
      <c r="DS4" s="77">
        <v>36864</v>
      </c>
      <c r="DU4" s="77">
        <v>36864</v>
      </c>
      <c r="DW4" s="77">
        <v>36864</v>
      </c>
      <c r="DY4" s="77">
        <v>36864</v>
      </c>
      <c r="EA4" s="77">
        <v>36864</v>
      </c>
      <c r="EC4" t="s">
        <v>414</v>
      </c>
      <c r="ED4" s="77">
        <v>36864</v>
      </c>
      <c r="EE4" s="77">
        <v>36865</v>
      </c>
      <c r="EF4" s="77">
        <v>36865</v>
      </c>
      <c r="EG4" s="77">
        <v>36865</v>
      </c>
      <c r="EJ4" s="77">
        <v>36868</v>
      </c>
      <c r="EK4" s="77">
        <v>36868</v>
      </c>
      <c r="EL4" t="s">
        <v>372</v>
      </c>
      <c r="EM4">
        <v>16</v>
      </c>
      <c r="EP4">
        <v>50</v>
      </c>
      <c r="EQ4">
        <f t="shared" ref="EQ4:EQ9" si="0">Q4-EP4</f>
        <v>250</v>
      </c>
    </row>
    <row r="5" spans="1:147" x14ac:dyDescent="0.25">
      <c r="A5" t="s">
        <v>297</v>
      </c>
      <c r="B5" t="s">
        <v>294</v>
      </c>
      <c r="C5" t="s">
        <v>302</v>
      </c>
      <c r="D5" t="s">
        <v>308</v>
      </c>
      <c r="G5" t="s">
        <v>315</v>
      </c>
      <c r="H5" t="s">
        <v>321</v>
      </c>
      <c r="J5" t="s">
        <v>326</v>
      </c>
      <c r="K5" t="s">
        <v>343</v>
      </c>
      <c r="L5" t="s">
        <v>327</v>
      </c>
      <c r="N5" t="s">
        <v>338</v>
      </c>
      <c r="P5" t="s">
        <v>336</v>
      </c>
      <c r="Q5" cm="1">
        <f t="array" ref="Q5">SUM(VALUE(_xlfn.TEXTSPLIT(P5, ";")))</f>
        <v>600</v>
      </c>
      <c r="AC5" t="s">
        <v>412</v>
      </c>
      <c r="AD5" t="s">
        <v>350</v>
      </c>
      <c r="AE5" t="s">
        <v>351</v>
      </c>
      <c r="AF5" t="s">
        <v>352</v>
      </c>
      <c r="AG5" t="s">
        <v>353</v>
      </c>
      <c r="AH5" t="s">
        <v>370</v>
      </c>
      <c r="AJ5">
        <v>23</v>
      </c>
      <c r="AK5">
        <v>2024</v>
      </c>
      <c r="BG5" s="77">
        <v>36864</v>
      </c>
      <c r="CS5" s="77">
        <v>36864</v>
      </c>
      <c r="CZ5" t="s">
        <v>371</v>
      </c>
      <c r="DF5">
        <v>1</v>
      </c>
      <c r="DG5">
        <v>2</v>
      </c>
      <c r="DH5">
        <v>3</v>
      </c>
      <c r="DI5">
        <v>4</v>
      </c>
      <c r="DK5">
        <v>6</v>
      </c>
      <c r="DM5">
        <v>8</v>
      </c>
      <c r="DN5">
        <v>9</v>
      </c>
      <c r="DP5">
        <f t="shared" ref="DP5:DP9" si="1">IF(SUM(DF5:DO5)=0, "", SUM(DF5:DO5))</f>
        <v>33</v>
      </c>
      <c r="ED5" s="77">
        <v>36865</v>
      </c>
      <c r="EE5" s="77">
        <v>36866</v>
      </c>
      <c r="EF5" s="77">
        <v>36866</v>
      </c>
      <c r="EG5" s="77">
        <v>36866</v>
      </c>
      <c r="EJ5" s="77">
        <v>36869</v>
      </c>
      <c r="EK5" s="77">
        <v>36869</v>
      </c>
      <c r="EL5" t="s">
        <v>372</v>
      </c>
      <c r="EM5">
        <v>16</v>
      </c>
      <c r="EP5">
        <v>50</v>
      </c>
      <c r="EQ5">
        <f t="shared" si="0"/>
        <v>550</v>
      </c>
    </row>
    <row r="6" spans="1:147" x14ac:dyDescent="0.25">
      <c r="A6" t="s">
        <v>298</v>
      </c>
      <c r="B6" t="s">
        <v>289</v>
      </c>
      <c r="C6" t="s">
        <v>303</v>
      </c>
      <c r="D6" t="s">
        <v>308</v>
      </c>
      <c r="E6" t="s">
        <v>309</v>
      </c>
      <c r="F6" t="s">
        <v>313</v>
      </c>
      <c r="G6" t="s">
        <v>316</v>
      </c>
      <c r="H6" t="s">
        <v>322</v>
      </c>
      <c r="I6" t="s">
        <v>333</v>
      </c>
      <c r="K6" t="s">
        <v>343</v>
      </c>
      <c r="M6" t="s">
        <v>339</v>
      </c>
      <c r="N6" t="s">
        <v>338</v>
      </c>
      <c r="P6" t="s">
        <v>336</v>
      </c>
      <c r="Q6" cm="1">
        <f t="array" ref="Q6">SUM(VALUE(_xlfn.TEXTSPLIT(P6, ";")))</f>
        <v>600</v>
      </c>
      <c r="AL6" t="s">
        <v>350</v>
      </c>
      <c r="AM6">
        <v>2222</v>
      </c>
      <c r="AN6">
        <v>2234</v>
      </c>
      <c r="AP6">
        <v>2025</v>
      </c>
      <c r="AQ6" t="s">
        <v>348</v>
      </c>
      <c r="AR6" t="s">
        <v>371</v>
      </c>
      <c r="BG6" s="77">
        <v>36865</v>
      </c>
      <c r="CS6" s="77">
        <v>36865</v>
      </c>
      <c r="DP6" t="str">
        <f t="shared" si="1"/>
        <v/>
      </c>
      <c r="ED6" s="77">
        <v>36866</v>
      </c>
      <c r="EE6" s="77">
        <v>36867</v>
      </c>
      <c r="EF6" s="77">
        <v>36867</v>
      </c>
      <c r="EG6" s="77">
        <v>36867</v>
      </c>
      <c r="EJ6" s="77">
        <v>36870</v>
      </c>
      <c r="EL6" t="s">
        <v>372</v>
      </c>
      <c r="EM6">
        <v>16</v>
      </c>
      <c r="EP6">
        <v>100</v>
      </c>
      <c r="EQ6">
        <f t="shared" si="0"/>
        <v>500</v>
      </c>
    </row>
    <row r="7" spans="1:147" x14ac:dyDescent="0.25">
      <c r="A7" t="s">
        <v>299</v>
      </c>
      <c r="B7" t="s">
        <v>111</v>
      </c>
      <c r="C7" t="s">
        <v>304</v>
      </c>
      <c r="D7" t="s">
        <v>308</v>
      </c>
      <c r="E7" t="s">
        <v>310</v>
      </c>
      <c r="F7" t="s">
        <v>313</v>
      </c>
      <c r="G7" t="s">
        <v>317</v>
      </c>
      <c r="H7" t="s">
        <v>323</v>
      </c>
      <c r="I7" t="s">
        <v>332</v>
      </c>
      <c r="K7" t="s">
        <v>343</v>
      </c>
      <c r="L7" t="s">
        <v>328</v>
      </c>
      <c r="M7" t="s">
        <v>340</v>
      </c>
      <c r="N7" t="s">
        <v>338</v>
      </c>
      <c r="P7" t="s">
        <v>336</v>
      </c>
      <c r="Q7" cm="1">
        <f t="array" ref="Q7">SUM(VALUE(_xlfn.TEXTSPLIT(P7, ";")))</f>
        <v>600</v>
      </c>
      <c r="AC7" t="s">
        <v>412</v>
      </c>
      <c r="AS7">
        <v>123332</v>
      </c>
      <c r="AT7" t="s">
        <v>354</v>
      </c>
      <c r="AU7" t="s">
        <v>355</v>
      </c>
      <c r="AV7" t="s">
        <v>356</v>
      </c>
      <c r="AW7">
        <v>234</v>
      </c>
      <c r="AX7">
        <v>4</v>
      </c>
      <c r="AY7">
        <v>123</v>
      </c>
      <c r="AZ7">
        <v>33</v>
      </c>
      <c r="BA7">
        <v>4</v>
      </c>
      <c r="BB7">
        <v>5</v>
      </c>
      <c r="BC7">
        <v>5</v>
      </c>
      <c r="BD7">
        <v>2026</v>
      </c>
      <c r="BE7" t="s">
        <v>348</v>
      </c>
      <c r="BF7">
        <v>2</v>
      </c>
      <c r="BG7" s="77">
        <v>36866</v>
      </c>
      <c r="BH7" t="s">
        <v>358</v>
      </c>
      <c r="BI7" t="s">
        <v>359</v>
      </c>
      <c r="BJ7" t="s">
        <v>357</v>
      </c>
      <c r="BL7" t="s">
        <v>361</v>
      </c>
      <c r="BM7" t="s">
        <v>360</v>
      </c>
      <c r="BN7" t="s">
        <v>362</v>
      </c>
      <c r="CS7" s="77">
        <v>36866</v>
      </c>
      <c r="DP7" t="str">
        <f t="shared" si="1"/>
        <v/>
      </c>
      <c r="ED7" s="77">
        <v>36867</v>
      </c>
      <c r="EE7" s="77">
        <v>36868</v>
      </c>
      <c r="EF7" s="77">
        <v>36868</v>
      </c>
      <c r="EG7" s="77">
        <v>36868</v>
      </c>
      <c r="EJ7" s="77">
        <v>36871</v>
      </c>
      <c r="EL7" t="s">
        <v>372</v>
      </c>
      <c r="EM7">
        <v>16</v>
      </c>
      <c r="EP7">
        <v>100</v>
      </c>
      <c r="EQ7">
        <f t="shared" si="0"/>
        <v>500</v>
      </c>
    </row>
    <row r="8" spans="1:147" x14ac:dyDescent="0.25">
      <c r="A8" t="s">
        <v>300</v>
      </c>
      <c r="B8" t="s">
        <v>186</v>
      </c>
      <c r="C8" t="s">
        <v>305</v>
      </c>
      <c r="D8" t="s">
        <v>308</v>
      </c>
      <c r="E8" t="s">
        <v>311</v>
      </c>
      <c r="F8" t="s">
        <v>313</v>
      </c>
      <c r="G8" t="s">
        <v>318</v>
      </c>
      <c r="H8" t="s">
        <v>324</v>
      </c>
      <c r="I8" t="s">
        <v>334</v>
      </c>
      <c r="K8" t="s">
        <v>343</v>
      </c>
      <c r="L8" t="s">
        <v>329</v>
      </c>
      <c r="M8" t="s">
        <v>341</v>
      </c>
      <c r="N8" t="s">
        <v>338</v>
      </c>
      <c r="P8" t="s">
        <v>336</v>
      </c>
      <c r="Q8" cm="1">
        <f t="array" ref="Q8">SUM(VALUE(_xlfn.TEXTSPLIT(P8, ";")))</f>
        <v>600</v>
      </c>
      <c r="AC8" t="s">
        <v>412</v>
      </c>
      <c r="BO8" t="s">
        <v>354</v>
      </c>
      <c r="BP8" t="s">
        <v>355</v>
      </c>
      <c r="BQ8" t="s">
        <v>356</v>
      </c>
      <c r="BR8">
        <v>234</v>
      </c>
      <c r="BS8">
        <v>4</v>
      </c>
      <c r="BT8">
        <v>123</v>
      </c>
      <c r="BU8">
        <v>33</v>
      </c>
      <c r="BV8" t="s">
        <v>364</v>
      </c>
      <c r="BX8" t="s">
        <v>363</v>
      </c>
      <c r="BY8">
        <v>2026</v>
      </c>
      <c r="CA8" t="s">
        <v>367</v>
      </c>
      <c r="CB8" t="s">
        <v>366</v>
      </c>
      <c r="CC8" t="s">
        <v>365</v>
      </c>
      <c r="CE8" t="s">
        <v>361</v>
      </c>
      <c r="CF8" t="s">
        <v>369</v>
      </c>
      <c r="CS8" s="77">
        <v>36867</v>
      </c>
      <c r="CY8" t="s">
        <v>368</v>
      </c>
      <c r="DP8" t="str">
        <f t="shared" si="1"/>
        <v/>
      </c>
      <c r="ED8" s="77">
        <v>36868</v>
      </c>
      <c r="EE8" s="77">
        <v>36869</v>
      </c>
      <c r="EF8" s="77">
        <v>36869</v>
      </c>
      <c r="EG8" s="77">
        <v>36869</v>
      </c>
      <c r="EJ8" s="77">
        <v>36872</v>
      </c>
      <c r="EL8" t="s">
        <v>372</v>
      </c>
      <c r="EM8">
        <v>16</v>
      </c>
      <c r="EP8">
        <v>100</v>
      </c>
      <c r="EQ8">
        <f t="shared" si="0"/>
        <v>500</v>
      </c>
    </row>
    <row r="9" spans="1:147" x14ac:dyDescent="0.25">
      <c r="A9" t="s">
        <v>301</v>
      </c>
      <c r="B9" t="s">
        <v>286</v>
      </c>
      <c r="C9" t="s">
        <v>306</v>
      </c>
      <c r="D9" t="s">
        <v>308</v>
      </c>
      <c r="E9" t="s">
        <v>312</v>
      </c>
      <c r="F9" t="s">
        <v>313</v>
      </c>
      <c r="G9" t="s">
        <v>319</v>
      </c>
      <c r="H9" t="s">
        <v>325</v>
      </c>
      <c r="I9" t="s">
        <v>331</v>
      </c>
      <c r="K9" t="s">
        <v>343</v>
      </c>
      <c r="L9" t="s">
        <v>330</v>
      </c>
      <c r="M9" t="s">
        <v>342</v>
      </c>
      <c r="N9" t="s">
        <v>338</v>
      </c>
      <c r="P9" t="s">
        <v>336</v>
      </c>
      <c r="Q9" cm="1">
        <f t="array" ref="Q9">SUM(VALUE(_xlfn.TEXTSPLIT(P9, ";")))</f>
        <v>600</v>
      </c>
      <c r="AC9" t="s">
        <v>412</v>
      </c>
      <c r="CG9">
        <v>2025</v>
      </c>
      <c r="CH9" t="s">
        <v>348</v>
      </c>
      <c r="CI9" t="s">
        <v>361</v>
      </c>
      <c r="CY9" t="s">
        <v>368</v>
      </c>
      <c r="DP9" t="str">
        <f t="shared" si="1"/>
        <v/>
      </c>
      <c r="ED9" s="77">
        <v>36869</v>
      </c>
      <c r="EE9" s="77">
        <v>36870</v>
      </c>
      <c r="EF9" s="77">
        <v>36870</v>
      </c>
      <c r="EG9" s="77">
        <v>36870</v>
      </c>
      <c r="EL9" t="s">
        <v>372</v>
      </c>
      <c r="EM9">
        <v>16</v>
      </c>
      <c r="EP9">
        <v>100</v>
      </c>
      <c r="EQ9">
        <f t="shared" si="0"/>
        <v>500</v>
      </c>
    </row>
    <row r="10" spans="1:147" x14ac:dyDescent="0.25">
      <c r="AC10" t="s">
        <v>412</v>
      </c>
    </row>
    <row r="11" spans="1:147" x14ac:dyDescent="0.25">
      <c r="DP11" t="str">
        <f>IF(SUM(DF10:DO10)=0, "", SUM(DF10:DO10))</f>
        <v/>
      </c>
    </row>
  </sheetData>
  <mergeCells count="34">
    <mergeCell ref="K2:M2"/>
    <mergeCell ref="I2:J2"/>
    <mergeCell ref="P2:P3"/>
    <mergeCell ref="EP2:EQ2"/>
    <mergeCell ref="EC1:EQ1"/>
    <mergeCell ref="A1:Q1"/>
    <mergeCell ref="R2:X2"/>
    <mergeCell ref="BO2:CF2"/>
    <mergeCell ref="CG2:CI2"/>
    <mergeCell ref="CJ2:CP2"/>
    <mergeCell ref="DF2:DP2"/>
    <mergeCell ref="CY1:EB1"/>
    <mergeCell ref="DQ2:EB2"/>
    <mergeCell ref="CZ2:DE2"/>
    <mergeCell ref="CQ1:CX2"/>
    <mergeCell ref="CY2:CY3"/>
    <mergeCell ref="EK2:EO2"/>
    <mergeCell ref="EG2:EJ2"/>
    <mergeCell ref="Q2:Q3"/>
    <mergeCell ref="A2:A3"/>
    <mergeCell ref="B2:B3"/>
    <mergeCell ref="N2:N3"/>
    <mergeCell ref="O2:O3"/>
    <mergeCell ref="F2:F3"/>
    <mergeCell ref="G2:G3"/>
    <mergeCell ref="D2:D3"/>
    <mergeCell ref="C2:C3"/>
    <mergeCell ref="E2:E3"/>
    <mergeCell ref="H2:H3"/>
    <mergeCell ref="AL2:AQ2"/>
    <mergeCell ref="AR2:BN2"/>
    <mergeCell ref="Y2:AB2"/>
    <mergeCell ref="AC2:AK2"/>
    <mergeCell ref="R1:CP1"/>
  </mergeCells>
  <phoneticPr fontId="4" type="noConversion"/>
  <dataValidations count="7">
    <dataValidation type="list" allowBlank="1" sqref="A3:A1000" xr:uid="{00000000-0002-0000-0000-000000000000}">
      <formula1>"Stt5_Xeôtô,Stt6_Phươngtiệnvậntảikhác,Stt7_Máymócthiếtbị,Stt9_Tàisảncốđịnhhữuhìnhkhác,Stt10_Quyềnsửdụngđất,Stt8_Câylâunămsúcvậtlàmviệc,Stt4_Vậtkiếntrúc,Stt3_Nhàcôngtrìnhxâydựng"</formula1>
    </dataValidation>
    <dataValidation type="list" allowBlank="1" sqref="B3:B1000" xr:uid="{00000000-0002-0000-0000-000001000000}">
      <formula1>INDIRECT($A3)</formula1>
    </dataValidation>
    <dataValidation type="list" showInputMessage="1" showErrorMessage="1" sqref="CZ4:DE9" xr:uid="{33A3F0C5-F619-42A1-AAC0-ED869F398878}">
      <formula1>"---,Có,Không"</formula1>
    </dataValidation>
    <dataValidation type="list" allowBlank="1" showInputMessage="1" showErrorMessage="1" sqref="AR4:AR9 AC4:AC5 AC7:AC10" xr:uid="{C3C64F04-A0A4-4350-A430-D1FDEF446751}">
      <formula1>"---,Có,Không"</formula1>
    </dataValidation>
    <dataValidation type="list" allowBlank="1" showInputMessage="1" showErrorMessage="1" sqref="EC4:EC9" xr:uid="{76B0803A-1FC6-4775-A0B2-CAF5FAE71437}">
      <formula1>"---, Tính khấu hao, Tính hao mòn, Tính cả hai"</formula1>
    </dataValidation>
    <dataValidation type="list" allowBlank="1" showInputMessage="1" showErrorMessage="1" sqref="EL4:EL9" xr:uid="{6CDDBA49-6D33-4021-BE16-E22FD973F6D6}">
      <formula1>"---,Năm,Tháng"</formula1>
    </dataValidation>
    <dataValidation type="custom" allowBlank="1" showInputMessage="1" showErrorMessage="1" promptTitle="Suggest" prompt="Nội dung cần nhập dưới định dạng mm/dd/yyyy" sqref="BG4:BG7 BZ4 CS4:CS8 DS4 DU4 DW4 DY4 EA4 ED4:EG9 EJ4:EJ8 EK4:EK5" xr:uid="{AACB1CA1-555A-4718-AA10-85174558E785}">
      <formula1>AND(BG4&gt;=DATE(1900,1,1),BG4&lt;=DATE(3000,12,31))</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3F58363-C6A5-4418-AE34-F16B9C26686B}">
          <x14:formula1>
            <xm:f>'Nguồn hình thànhNguồn NSNN cấp'!$A$5:$A$24</xm:f>
          </x14:formula1>
          <xm:sqref>O5:O9</xm:sqref>
        </x14:dataValidation>
        <x14:dataValidation type="list" allowBlank="1" showInputMessage="1" showErrorMessage="1" xr:uid="{C7240BD2-3259-46C3-A1D0-81148CC87BC4}">
          <x14:formula1>
            <xm:f>'Nguồn hình thànhNguồn NSNN cấp'!$A$1:$A$24</xm:f>
          </x14:formula1>
          <xm:sqref>O4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9ADC-A8D4-4D34-AC0E-BE036442EABA}">
  <sheetPr codeName="Sheet3"/>
  <dimension ref="A1:A24"/>
  <sheetViews>
    <sheetView topLeftCell="A10" workbookViewId="0">
      <selection activeCell="F5" sqref="F5"/>
    </sheetView>
  </sheetViews>
  <sheetFormatPr defaultRowHeight="15" x14ac:dyDescent="0.25"/>
  <sheetData>
    <row r="1" spans="1:1" x14ac:dyDescent="0.25">
      <c r="A1" t="s">
        <v>388</v>
      </c>
    </row>
    <row r="2" spans="1:1" x14ac:dyDescent="0.25">
      <c r="A2" t="s">
        <v>389</v>
      </c>
    </row>
    <row r="3" spans="1:1" x14ac:dyDescent="0.25">
      <c r="A3" t="s">
        <v>390</v>
      </c>
    </row>
    <row r="4" spans="1:1" x14ac:dyDescent="0.25">
      <c r="A4" t="s">
        <v>391</v>
      </c>
    </row>
    <row r="5" spans="1:1" x14ac:dyDescent="0.25">
      <c r="A5" t="s">
        <v>392</v>
      </c>
    </row>
    <row r="6" spans="1:1" x14ac:dyDescent="0.25">
      <c r="A6" t="s">
        <v>393</v>
      </c>
    </row>
    <row r="7" spans="1:1" x14ac:dyDescent="0.25">
      <c r="A7" t="s">
        <v>394</v>
      </c>
    </row>
    <row r="8" spans="1:1" x14ac:dyDescent="0.25">
      <c r="A8" t="s">
        <v>395</v>
      </c>
    </row>
    <row r="9" spans="1:1" x14ac:dyDescent="0.25">
      <c r="A9" t="s">
        <v>396</v>
      </c>
    </row>
    <row r="10" spans="1:1" x14ac:dyDescent="0.25">
      <c r="A10" t="s">
        <v>397</v>
      </c>
    </row>
    <row r="11" spans="1:1" x14ac:dyDescent="0.25">
      <c r="A11" t="s">
        <v>398</v>
      </c>
    </row>
    <row r="12" spans="1:1" x14ac:dyDescent="0.25">
      <c r="A12" t="s">
        <v>399</v>
      </c>
    </row>
    <row r="13" spans="1:1" x14ac:dyDescent="0.25">
      <c r="A13" t="s">
        <v>400</v>
      </c>
    </row>
    <row r="14" spans="1:1" x14ac:dyDescent="0.25">
      <c r="A14" t="s">
        <v>401</v>
      </c>
    </row>
    <row r="15" spans="1:1" x14ac:dyDescent="0.25">
      <c r="A15" t="s">
        <v>402</v>
      </c>
    </row>
    <row r="16" spans="1:1" x14ac:dyDescent="0.25">
      <c r="A16" t="s">
        <v>403</v>
      </c>
    </row>
    <row r="17" spans="1:1" x14ac:dyDescent="0.25">
      <c r="A17" t="s">
        <v>404</v>
      </c>
    </row>
    <row r="18" spans="1:1" x14ac:dyDescent="0.25">
      <c r="A18" t="s">
        <v>405</v>
      </c>
    </row>
    <row r="19" spans="1:1" x14ac:dyDescent="0.25">
      <c r="A19" t="s">
        <v>406</v>
      </c>
    </row>
    <row r="20" spans="1:1" x14ac:dyDescent="0.25">
      <c r="A20" t="s">
        <v>407</v>
      </c>
    </row>
    <row r="21" spans="1:1" x14ac:dyDescent="0.25">
      <c r="A21" t="s">
        <v>408</v>
      </c>
    </row>
    <row r="22" spans="1:1" x14ac:dyDescent="0.25">
      <c r="A22" t="s">
        <v>409</v>
      </c>
    </row>
    <row r="23" spans="1:1" x14ac:dyDescent="0.25">
      <c r="A23" t="s">
        <v>410</v>
      </c>
    </row>
    <row r="24" spans="1:1" x14ac:dyDescent="0.25">
      <c r="A24" t="s">
        <v>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H77"/>
  <sheetViews>
    <sheetView workbookViewId="0"/>
  </sheetViews>
  <sheetFormatPr defaultRowHeight="15" x14ac:dyDescent="0.25"/>
  <sheetData>
    <row r="2" spans="1:8" x14ac:dyDescent="0.25">
      <c r="A2" t="s">
        <v>106</v>
      </c>
      <c r="B2" t="s">
        <v>182</v>
      </c>
      <c r="C2" t="s">
        <v>196</v>
      </c>
      <c r="E2" t="s">
        <v>272</v>
      </c>
      <c r="F2" t="s">
        <v>284</v>
      </c>
      <c r="G2" t="s">
        <v>287</v>
      </c>
      <c r="H2" t="s">
        <v>290</v>
      </c>
    </row>
    <row r="3" spans="1:8" x14ac:dyDescent="0.25">
      <c r="A3" t="s">
        <v>107</v>
      </c>
      <c r="B3" t="s">
        <v>183</v>
      </c>
      <c r="C3" t="s">
        <v>197</v>
      </c>
      <c r="E3" t="s">
        <v>273</v>
      </c>
      <c r="F3" t="s">
        <v>285</v>
      </c>
      <c r="G3" t="s">
        <v>288</v>
      </c>
      <c r="H3" t="s">
        <v>291</v>
      </c>
    </row>
    <row r="4" spans="1:8" x14ac:dyDescent="0.25">
      <c r="A4" t="s">
        <v>108</v>
      </c>
      <c r="B4" t="s">
        <v>184</v>
      </c>
      <c r="C4" t="s">
        <v>198</v>
      </c>
      <c r="E4" t="s">
        <v>274</v>
      </c>
      <c r="F4" t="s">
        <v>286</v>
      </c>
      <c r="G4" t="s">
        <v>289</v>
      </c>
      <c r="H4" t="s">
        <v>292</v>
      </c>
    </row>
    <row r="5" spans="1:8" x14ac:dyDescent="0.25">
      <c r="A5" t="s">
        <v>109</v>
      </c>
      <c r="B5" t="s">
        <v>185</v>
      </c>
      <c r="C5" t="s">
        <v>199</v>
      </c>
      <c r="E5" t="s">
        <v>275</v>
      </c>
      <c r="H5" t="s">
        <v>293</v>
      </c>
    </row>
    <row r="6" spans="1:8" x14ac:dyDescent="0.25">
      <c r="A6" t="s">
        <v>110</v>
      </c>
      <c r="B6" t="s">
        <v>186</v>
      </c>
      <c r="C6" t="s">
        <v>200</v>
      </c>
      <c r="E6" t="s">
        <v>276</v>
      </c>
      <c r="H6" t="s">
        <v>294</v>
      </c>
    </row>
    <row r="7" spans="1:8" x14ac:dyDescent="0.25">
      <c r="A7" t="s">
        <v>111</v>
      </c>
      <c r="B7" t="s">
        <v>187</v>
      </c>
      <c r="C7" t="s">
        <v>201</v>
      </c>
      <c r="E7" t="s">
        <v>277</v>
      </c>
      <c r="H7" t="s">
        <v>295</v>
      </c>
    </row>
    <row r="8" spans="1:8" x14ac:dyDescent="0.25">
      <c r="A8" t="s">
        <v>112</v>
      </c>
      <c r="B8" t="s">
        <v>188</v>
      </c>
      <c r="C8" t="s">
        <v>202</v>
      </c>
      <c r="E8" t="s">
        <v>278</v>
      </c>
    </row>
    <row r="9" spans="1:8" x14ac:dyDescent="0.25">
      <c r="A9" t="s">
        <v>113</v>
      </c>
      <c r="B9" t="s">
        <v>189</v>
      </c>
      <c r="C9" t="s">
        <v>203</v>
      </c>
      <c r="E9" t="s">
        <v>279</v>
      </c>
    </row>
    <row r="10" spans="1:8" x14ac:dyDescent="0.25">
      <c r="A10" t="s">
        <v>114</v>
      </c>
      <c r="B10" t="s">
        <v>190</v>
      </c>
      <c r="C10" t="s">
        <v>204</v>
      </c>
      <c r="E10" t="s">
        <v>280</v>
      </c>
    </row>
    <row r="11" spans="1:8" x14ac:dyDescent="0.25">
      <c r="A11" t="s">
        <v>115</v>
      </c>
      <c r="B11" t="s">
        <v>191</v>
      </c>
      <c r="C11" t="s">
        <v>205</v>
      </c>
      <c r="E11" t="s">
        <v>281</v>
      </c>
    </row>
    <row r="12" spans="1:8" x14ac:dyDescent="0.25">
      <c r="A12" t="s">
        <v>116</v>
      </c>
      <c r="B12" t="s">
        <v>192</v>
      </c>
      <c r="C12" t="s">
        <v>206</v>
      </c>
      <c r="E12" t="s">
        <v>282</v>
      </c>
    </row>
    <row r="13" spans="1:8" x14ac:dyDescent="0.25">
      <c r="A13" t="s">
        <v>117</v>
      </c>
      <c r="B13" t="s">
        <v>193</v>
      </c>
      <c r="C13" t="s">
        <v>207</v>
      </c>
      <c r="E13" t="s">
        <v>283</v>
      </c>
    </row>
    <row r="14" spans="1:8" x14ac:dyDescent="0.25">
      <c r="A14" t="s">
        <v>118</v>
      </c>
      <c r="B14" t="s">
        <v>194</v>
      </c>
      <c r="C14" t="s">
        <v>208</v>
      </c>
    </row>
    <row r="15" spans="1:8" x14ac:dyDescent="0.25">
      <c r="A15" t="s">
        <v>119</v>
      </c>
      <c r="B15" t="s">
        <v>195</v>
      </c>
      <c r="C15" t="s">
        <v>209</v>
      </c>
    </row>
    <row r="16" spans="1:8" x14ac:dyDescent="0.25">
      <c r="A16" t="s">
        <v>120</v>
      </c>
      <c r="C16" t="s">
        <v>210</v>
      </c>
    </row>
    <row r="17" spans="1:3" x14ac:dyDescent="0.25">
      <c r="A17" t="s">
        <v>121</v>
      </c>
      <c r="C17" t="s">
        <v>211</v>
      </c>
    </row>
    <row r="18" spans="1:3" x14ac:dyDescent="0.25">
      <c r="A18" t="s">
        <v>122</v>
      </c>
      <c r="C18" t="s">
        <v>212</v>
      </c>
    </row>
    <row r="19" spans="1:3" x14ac:dyDescent="0.25">
      <c r="A19" t="s">
        <v>123</v>
      </c>
      <c r="C19" t="s">
        <v>213</v>
      </c>
    </row>
    <row r="20" spans="1:3" x14ac:dyDescent="0.25">
      <c r="A20" t="s">
        <v>124</v>
      </c>
      <c r="C20" t="s">
        <v>214</v>
      </c>
    </row>
    <row r="21" spans="1:3" x14ac:dyDescent="0.25">
      <c r="A21" t="s">
        <v>125</v>
      </c>
      <c r="C21" t="s">
        <v>215</v>
      </c>
    </row>
    <row r="22" spans="1:3" x14ac:dyDescent="0.25">
      <c r="A22" t="s">
        <v>126</v>
      </c>
      <c r="C22" t="s">
        <v>216</v>
      </c>
    </row>
    <row r="23" spans="1:3" x14ac:dyDescent="0.25">
      <c r="A23" t="s">
        <v>127</v>
      </c>
      <c r="C23" t="s">
        <v>217</v>
      </c>
    </row>
    <row r="24" spans="1:3" x14ac:dyDescent="0.25">
      <c r="A24" t="s">
        <v>128</v>
      </c>
      <c r="C24" t="s">
        <v>218</v>
      </c>
    </row>
    <row r="25" spans="1:3" x14ac:dyDescent="0.25">
      <c r="A25" t="s">
        <v>129</v>
      </c>
      <c r="C25" t="s">
        <v>219</v>
      </c>
    </row>
    <row r="26" spans="1:3" x14ac:dyDescent="0.25">
      <c r="A26" t="s">
        <v>130</v>
      </c>
      <c r="C26" t="s">
        <v>220</v>
      </c>
    </row>
    <row r="27" spans="1:3" x14ac:dyDescent="0.25">
      <c r="A27" t="s">
        <v>131</v>
      </c>
      <c r="C27" t="s">
        <v>221</v>
      </c>
    </row>
    <row r="28" spans="1:3" x14ac:dyDescent="0.25">
      <c r="A28" t="s">
        <v>132</v>
      </c>
      <c r="C28" t="s">
        <v>222</v>
      </c>
    </row>
    <row r="29" spans="1:3" x14ac:dyDescent="0.25">
      <c r="A29" t="s">
        <v>133</v>
      </c>
      <c r="C29" t="s">
        <v>223</v>
      </c>
    </row>
    <row r="30" spans="1:3" x14ac:dyDescent="0.25">
      <c r="A30" t="s">
        <v>134</v>
      </c>
      <c r="C30" t="s">
        <v>224</v>
      </c>
    </row>
    <row r="31" spans="1:3" x14ac:dyDescent="0.25">
      <c r="A31" t="s">
        <v>135</v>
      </c>
      <c r="C31" t="s">
        <v>225</v>
      </c>
    </row>
    <row r="32" spans="1:3" x14ac:dyDescent="0.25">
      <c r="A32" t="s">
        <v>136</v>
      </c>
      <c r="C32" t="s">
        <v>226</v>
      </c>
    </row>
    <row r="33" spans="1:3" x14ac:dyDescent="0.25">
      <c r="A33" t="s">
        <v>137</v>
      </c>
      <c r="C33" t="s">
        <v>227</v>
      </c>
    </row>
    <row r="34" spans="1:3" x14ac:dyDescent="0.25">
      <c r="A34" t="s">
        <v>138</v>
      </c>
      <c r="C34" t="s">
        <v>228</v>
      </c>
    </row>
    <row r="35" spans="1:3" x14ac:dyDescent="0.25">
      <c r="A35" t="s">
        <v>139</v>
      </c>
      <c r="C35" t="s">
        <v>229</v>
      </c>
    </row>
    <row r="36" spans="1:3" x14ac:dyDescent="0.25">
      <c r="A36" t="s">
        <v>140</v>
      </c>
      <c r="C36" t="s">
        <v>230</v>
      </c>
    </row>
    <row r="37" spans="1:3" x14ac:dyDescent="0.25">
      <c r="A37" t="s">
        <v>141</v>
      </c>
      <c r="C37" t="s">
        <v>231</v>
      </c>
    </row>
    <row r="38" spans="1:3" x14ac:dyDescent="0.25">
      <c r="A38" t="s">
        <v>142</v>
      </c>
      <c r="C38" t="s">
        <v>232</v>
      </c>
    </row>
    <row r="39" spans="1:3" x14ac:dyDescent="0.25">
      <c r="A39" t="s">
        <v>143</v>
      </c>
      <c r="C39" t="s">
        <v>233</v>
      </c>
    </row>
    <row r="40" spans="1:3" x14ac:dyDescent="0.25">
      <c r="A40" t="s">
        <v>144</v>
      </c>
      <c r="C40" t="s">
        <v>234</v>
      </c>
    </row>
    <row r="41" spans="1:3" x14ac:dyDescent="0.25">
      <c r="A41" t="s">
        <v>145</v>
      </c>
      <c r="C41" t="s">
        <v>235</v>
      </c>
    </row>
    <row r="42" spans="1:3" x14ac:dyDescent="0.25">
      <c r="A42" t="s">
        <v>146</v>
      </c>
      <c r="C42" t="s">
        <v>236</v>
      </c>
    </row>
    <row r="43" spans="1:3" x14ac:dyDescent="0.25">
      <c r="A43" t="s">
        <v>147</v>
      </c>
      <c r="C43" t="s">
        <v>237</v>
      </c>
    </row>
    <row r="44" spans="1:3" x14ac:dyDescent="0.25">
      <c r="A44" t="s">
        <v>148</v>
      </c>
      <c r="C44" t="s">
        <v>238</v>
      </c>
    </row>
    <row r="45" spans="1:3" x14ac:dyDescent="0.25">
      <c r="A45" t="s">
        <v>149</v>
      </c>
      <c r="C45" t="s">
        <v>239</v>
      </c>
    </row>
    <row r="46" spans="1:3" x14ac:dyDescent="0.25">
      <c r="A46" t="s">
        <v>150</v>
      </c>
      <c r="C46" t="s">
        <v>240</v>
      </c>
    </row>
    <row r="47" spans="1:3" x14ac:dyDescent="0.25">
      <c r="A47" t="s">
        <v>151</v>
      </c>
      <c r="C47" t="s">
        <v>241</v>
      </c>
    </row>
    <row r="48" spans="1:3" x14ac:dyDescent="0.25">
      <c r="A48" t="s">
        <v>152</v>
      </c>
      <c r="C48" t="s">
        <v>242</v>
      </c>
    </row>
    <row r="49" spans="1:3" x14ac:dyDescent="0.25">
      <c r="A49" t="s">
        <v>153</v>
      </c>
      <c r="C49" t="s">
        <v>243</v>
      </c>
    </row>
    <row r="50" spans="1:3" x14ac:dyDescent="0.25">
      <c r="A50" t="s">
        <v>154</v>
      </c>
      <c r="C50" t="s">
        <v>244</v>
      </c>
    </row>
    <row r="51" spans="1:3" x14ac:dyDescent="0.25">
      <c r="A51" t="s">
        <v>155</v>
      </c>
      <c r="C51" t="s">
        <v>245</v>
      </c>
    </row>
    <row r="52" spans="1:3" x14ac:dyDescent="0.25">
      <c r="A52" t="s">
        <v>156</v>
      </c>
      <c r="C52" t="s">
        <v>246</v>
      </c>
    </row>
    <row r="53" spans="1:3" x14ac:dyDescent="0.25">
      <c r="A53" t="s">
        <v>157</v>
      </c>
      <c r="C53" t="s">
        <v>247</v>
      </c>
    </row>
    <row r="54" spans="1:3" x14ac:dyDescent="0.25">
      <c r="A54" t="s">
        <v>158</v>
      </c>
      <c r="C54" t="s">
        <v>248</v>
      </c>
    </row>
    <row r="55" spans="1:3" x14ac:dyDescent="0.25">
      <c r="A55" t="s">
        <v>159</v>
      </c>
      <c r="C55" t="s">
        <v>249</v>
      </c>
    </row>
    <row r="56" spans="1:3" x14ac:dyDescent="0.25">
      <c r="A56" t="s">
        <v>160</v>
      </c>
      <c r="C56" t="s">
        <v>250</v>
      </c>
    </row>
    <row r="57" spans="1:3" x14ac:dyDescent="0.25">
      <c r="A57" t="s">
        <v>161</v>
      </c>
      <c r="C57" t="s">
        <v>251</v>
      </c>
    </row>
    <row r="58" spans="1:3" x14ac:dyDescent="0.25">
      <c r="A58" t="s">
        <v>162</v>
      </c>
      <c r="C58" t="s">
        <v>252</v>
      </c>
    </row>
    <row r="59" spans="1:3" x14ac:dyDescent="0.25">
      <c r="A59" t="s">
        <v>163</v>
      </c>
      <c r="C59" t="s">
        <v>253</v>
      </c>
    </row>
    <row r="60" spans="1:3" x14ac:dyDescent="0.25">
      <c r="A60" t="s">
        <v>164</v>
      </c>
      <c r="C60" t="s">
        <v>254</v>
      </c>
    </row>
    <row r="61" spans="1:3" x14ac:dyDescent="0.25">
      <c r="A61" t="s">
        <v>165</v>
      </c>
      <c r="C61" t="s">
        <v>255</v>
      </c>
    </row>
    <row r="62" spans="1:3" x14ac:dyDescent="0.25">
      <c r="A62" t="s">
        <v>166</v>
      </c>
      <c r="C62" t="s">
        <v>256</v>
      </c>
    </row>
    <row r="63" spans="1:3" x14ac:dyDescent="0.25">
      <c r="A63" t="s">
        <v>167</v>
      </c>
      <c r="C63" t="s">
        <v>257</v>
      </c>
    </row>
    <row r="64" spans="1:3" x14ac:dyDescent="0.25">
      <c r="A64" t="s">
        <v>168</v>
      </c>
      <c r="C64" t="s">
        <v>258</v>
      </c>
    </row>
    <row r="65" spans="1:3" x14ac:dyDescent="0.25">
      <c r="A65" t="s">
        <v>169</v>
      </c>
      <c r="C65" t="s">
        <v>259</v>
      </c>
    </row>
    <row r="66" spans="1:3" x14ac:dyDescent="0.25">
      <c r="A66" t="s">
        <v>170</v>
      </c>
      <c r="C66" t="s">
        <v>260</v>
      </c>
    </row>
    <row r="67" spans="1:3" x14ac:dyDescent="0.25">
      <c r="A67" t="s">
        <v>171</v>
      </c>
      <c r="C67" t="s">
        <v>261</v>
      </c>
    </row>
    <row r="68" spans="1:3" x14ac:dyDescent="0.25">
      <c r="A68" t="s">
        <v>172</v>
      </c>
      <c r="C68" t="s">
        <v>262</v>
      </c>
    </row>
    <row r="69" spans="1:3" x14ac:dyDescent="0.25">
      <c r="A69" t="s">
        <v>173</v>
      </c>
      <c r="C69" t="s">
        <v>263</v>
      </c>
    </row>
    <row r="70" spans="1:3" x14ac:dyDescent="0.25">
      <c r="A70" t="s">
        <v>174</v>
      </c>
      <c r="C70" t="s">
        <v>264</v>
      </c>
    </row>
    <row r="71" spans="1:3" x14ac:dyDescent="0.25">
      <c r="A71" t="s">
        <v>175</v>
      </c>
      <c r="C71" t="s">
        <v>265</v>
      </c>
    </row>
    <row r="72" spans="1:3" x14ac:dyDescent="0.25">
      <c r="A72" t="s">
        <v>176</v>
      </c>
      <c r="C72" t="s">
        <v>266</v>
      </c>
    </row>
    <row r="73" spans="1:3" x14ac:dyDescent="0.25">
      <c r="A73" t="s">
        <v>177</v>
      </c>
      <c r="C73" t="s">
        <v>267</v>
      </c>
    </row>
    <row r="74" spans="1:3" x14ac:dyDescent="0.25">
      <c r="A74" t="s">
        <v>178</v>
      </c>
      <c r="C74" t="s">
        <v>268</v>
      </c>
    </row>
    <row r="75" spans="1:3" x14ac:dyDescent="0.25">
      <c r="A75" t="s">
        <v>179</v>
      </c>
      <c r="C75" t="s">
        <v>269</v>
      </c>
    </row>
    <row r="76" spans="1:3" x14ac:dyDescent="0.25">
      <c r="A76" t="s">
        <v>180</v>
      </c>
      <c r="C76" t="s">
        <v>270</v>
      </c>
    </row>
    <row r="77" spans="1:3" x14ac:dyDescent="0.25">
      <c r="A77" t="s">
        <v>181</v>
      </c>
      <c r="C77"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ImportAsset</vt:lpstr>
      <vt:lpstr>Nguồn hình thànhNguồn NSNN cấp</vt:lpstr>
      <vt:lpstr>AssetCategories</vt:lpstr>
      <vt:lpstr>Stt10_Quyềnsửdụngđất</vt:lpstr>
      <vt:lpstr>Stt3_Nhàcôngtrìnhxâydựng</vt:lpstr>
      <vt:lpstr>Stt4_Vậtkiếntrúc</vt:lpstr>
      <vt:lpstr>Stt5_Xeôtô</vt:lpstr>
      <vt:lpstr>Stt6_Phươngtiệnvậntảikhác</vt:lpstr>
      <vt:lpstr>Stt7_Máymócthiếtbị</vt:lpstr>
      <vt:lpstr>Stt8_Câylâunămsúcvậtlàmviệc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dc:creator>
  <cp:lastModifiedBy>Phuong Trung Kien 20241124M</cp:lastModifiedBy>
  <dcterms:created xsi:type="dcterms:W3CDTF">2015-06-05T18:17:20Z</dcterms:created>
  <dcterms:modified xsi:type="dcterms:W3CDTF">2024-10-07T16:43:28Z</dcterms:modified>
</cp:coreProperties>
</file>