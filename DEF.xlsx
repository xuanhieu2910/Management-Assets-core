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D:\CompanyBk\CSVC\csvc-hust\"/>
    </mc:Choice>
  </mc:AlternateContent>
  <xr:revisionPtr revIDLastSave="0" documentId="13_ncr:1_{81AD0FDC-D1E5-4BD9-B14E-7BD9A322ED18}" xr6:coauthVersionLast="47" xr6:coauthVersionMax="47" xr10:uidLastSave="{00000000-0000-0000-0000-000000000000}"/>
  <bookViews>
    <workbookView xWindow="-120" yWindow="-120" windowWidth="20730" windowHeight="11160" xr2:uid="{71050258-D013-4370-AEE7-AC2797CFA723}"/>
  </bookViews>
  <sheets>
    <sheet name="ImportAsset" sheetId="1" r:id="rId1"/>
    <sheet name="Hướng dẫn nhập thông tin" sheetId="2" r:id="rId2"/>
    <sheet name="AssetCategories" sheetId="3" state="hidden" r:id="rId3"/>
    <sheet name="Location" sheetId="4" state="hidden" r:id="rId4"/>
    <sheet name="Department" sheetId="5" state="hidden" r:id="rId5"/>
    <sheet name="Units" sheetId="6" state="hidden" r:id="rId6"/>
    <sheet name="DocumentAttacks" sheetId="7" state="hidden" r:id="rId7"/>
    <sheet name="Projects" sheetId="8" state="hidden" r:id="rId8"/>
    <sheet name="Provinces" sheetId="9" state="hidden" r:id="rId9"/>
    <sheet name="Districts" sheetId="10" state="hidden" r:id="rId10"/>
    <sheet name="Wards" sheetId="11" state="hidden" r:id="rId11"/>
    <sheet name="AssetDepartment" sheetId="12" state="hidden" r:id="rId12"/>
    <sheet name="Original" sheetId="13" state="hidden" r:id="rId13"/>
    <sheet name="CountryProducer" sheetId="14" state="hidden" r:id="rId14"/>
    <sheet name="UserUsed" sheetId="15" state="hidden" r:id="rId15"/>
    <sheet name="AssetGround" sheetId="16" state="hidden" r:id="rId16"/>
    <sheet name="TypeUsed" sheetId="17" state="hidden" r:id="rId17"/>
    <sheet name="PositionName" sheetId="18" state="hidden" r:id="rId18"/>
    <sheet name="MedicineType" sheetId="19" state="hidden" r:id="rId19"/>
    <sheet name="MedicineGroup" sheetId="20" state="hidden" r:id="rId20"/>
    <sheet name="GoalsUseGround" sheetId="21" state="hidden" r:id="rId21"/>
  </sheets>
  <definedNames>
    <definedName name="category_STT_10_Quyensudungdat">AssetCategories!$A$1:$A$1</definedName>
    <definedName name="category_STT_3_Nhacongtrinhxaydung">AssetCategories!$A$104:$A$111</definedName>
    <definedName name="category_STT_4_Vatkientruc">AssetCategories!$A$113:$A$116</definedName>
    <definedName name="category_STT_5_Xeoto">AssetCategories!$A$5:$A$81</definedName>
    <definedName name="category_STT_6_Phuongtienvantaikhac">AssetCategories!$A$83:$A$97</definedName>
    <definedName name="category_STT_7_Maymocthietbi">AssetCategories!$A$118:$A$194</definedName>
    <definedName name="category_STT_8_Caylaunamsucvatlamviec">AssetCategories!$A$99:$A$102</definedName>
    <definedName name="category_STT_9_Taisancodinhhuuhinhkhac">AssetCategories!$A$3:$A$3</definedName>
    <definedName name="districts_STT_001_BaDinh">Wards!$AH$2:$AH$14</definedName>
    <definedName name="districts_STT_002_HoanKiem">Wards!$NI$2:$NI$18</definedName>
    <definedName name="districts_STT_003_TayHo">Wards!$KB$2:$KB$8</definedName>
    <definedName name="districts_STT_004_LongBien">Wards!$MX$2:$MX$14</definedName>
    <definedName name="districts_STT_005_CauGiay">Wards!$AL$2:$AL$8</definedName>
    <definedName name="districts_STT_006_DongDa">Wards!$ZD$2:$ZD$21</definedName>
    <definedName name="districts_STT_007_HaiBaTrung">Wards!$ZU$2:$ZU$18</definedName>
    <definedName name="districts_STT_008_HoangMai">Wards!$WW$2:$WW$14</definedName>
    <definedName name="districts_STT_009_ThanhXuan">Wards!$CY$2:$CY$11</definedName>
    <definedName name="districts_STT_016_SocSon">Wards!$UR$2:$UR$26</definedName>
    <definedName name="districts_STT_017_DongAnh">Wards!$UY$2:$UY$24</definedName>
    <definedName name="districts_STT_018_GiaLam">Wards!$XR$2:$XR$22</definedName>
    <definedName name="districts_STT_019_NamTuLiem">Wards!$HX$2:$HX$10</definedName>
    <definedName name="districts_STT_020_ThanhTri">Wards!$DW$2:$DW$16</definedName>
    <definedName name="districts_STT_021_BacTuLiem">Wards!$PO$2:$PO$13</definedName>
    <definedName name="districts_STT_024_HaGiang">Wards!$KX$2:$KX$8</definedName>
    <definedName name="districts_STT_026_DongVan">Wards!$AM$2:$AM$19</definedName>
    <definedName name="districts_STT_027_MeoVac">Wards!$DT$2:$DT$18</definedName>
    <definedName name="districts_STT_028_YenMinh">Wards!$IQ$2:$IQ$18</definedName>
    <definedName name="districts_STT_029_QuanBa">Wards!$KC$2:$KC$13</definedName>
    <definedName name="districts_STT_030_ViXuyen">Wards!$QL$2:$QL$24</definedName>
    <definedName name="districts_STT_031_BacMe">Wards!$KU$2:$KU$13</definedName>
    <definedName name="districts_STT_032_HoangSuPhi">Wards!$YJ$2:$YJ$24</definedName>
    <definedName name="districts_STT_033_XinMan">Wards!$GX$2:$GX$18</definedName>
    <definedName name="districts_STT_034_BacQuang">Wards!$JK$2:$JK$23</definedName>
    <definedName name="districts_STT_035_QuangBinh">Wards!$YG$2:$YG$15</definedName>
    <definedName name="districts_STT_040_CaoBang">Wards!$RI$2:$RI$11</definedName>
    <definedName name="districts_STT_042_BaoLam">Wards!$KI$2:$KI$13</definedName>
    <definedName name="districts_STT_043_BaoLac">Wards!$PX$2:$PX$17</definedName>
    <definedName name="districts_STT_045_HaQuang">Wards!$XM$2:$XM$21</definedName>
    <definedName name="districts_STT_047_TrungKhanh">Wards!$VI$2:$VI$21</definedName>
    <definedName name="districts_STT_048_HaLang">Wards!$ZQ$2:$ZQ$13</definedName>
    <definedName name="districts_STT_049_QuangHoa">Wards!$OK$2:$OK$19</definedName>
    <definedName name="districts_STT_051_HoaAn">Wards!$OL$2:$OL$15</definedName>
    <definedName name="districts_STT_052_NguyenBinh">Wards!$XE$2:$XE$17</definedName>
    <definedName name="districts_STT_053_ThachAn">Wards!$TE$2:$TE$14</definedName>
    <definedName name="districts_STT_058_BacKan">Wards!$NU$2:$NU$8</definedName>
    <definedName name="districts_STT_060_PacNam">Wards!$GB$2:$GB$10</definedName>
    <definedName name="districts_STT_061_BaBe">Wards!$BP$2:$BP$15</definedName>
    <definedName name="districts_STT_062_NganSon">Wards!$ME$2:$ME$10</definedName>
    <definedName name="districts_STT_063_BachThong">Wards!$PZ$2:$PZ$14</definedName>
    <definedName name="districts_STT_064_ChoDon">Wards!$DZ$2:$DZ$20</definedName>
    <definedName name="districts_STT_065_ChoMoi">Wards!$WH$2:$WH$14</definedName>
    <definedName name="districts_STT_066_NaRi">Wards!$VJ$2:$VJ$17</definedName>
    <definedName name="districts_STT_070_TuyenQuang">Wards!$SP$2:$SP$15</definedName>
    <definedName name="districts_STT_071_LamBinh">Wards!$BK$2:$BK$10</definedName>
    <definedName name="districts_STT_072_NaHang">Wards!$KZ$2:$KZ$12</definedName>
    <definedName name="districts_STT_073_ChiemHoa">Wards!$BQ$2:$BQ$24</definedName>
    <definedName name="districts_STT_074_HamYen">Wards!$ZO$2:$ZO$18</definedName>
    <definedName name="districts_STT_075_YenSon">Wards!$HT$2:$HT$28</definedName>
    <definedName name="districts_STT_076_SonDuong">Wards!$HE$2:$HE$30</definedName>
    <definedName name="districts_STT_080_LaoCai">Wards!$NV$2:$NV$17</definedName>
    <definedName name="districts_STT_082_BatXat">Wards!$KN$2:$KN$21</definedName>
    <definedName name="districts_STT_083_MuongKhuong">Wards!$YP$2:$YP$16</definedName>
    <definedName name="districts_STT_084_SiMaCai">Wards!$SV$2:$SV$10</definedName>
    <definedName name="districts_STT_085_BacHa">Wards!$JF$2:$JF$19</definedName>
    <definedName name="districts_STT_086_BaoThang">Wards!$NA$2:$NA$14</definedName>
    <definedName name="districts_STT_087_BaoYen">Wards!$US$2:$US$17</definedName>
    <definedName name="districts_STT_088_SaPa">Wards!$MC$2:$MC$16</definedName>
    <definedName name="districts_STT_089_VanBan">Wards!$AC$2:$AC$22</definedName>
    <definedName name="districts_STT_094_DienBienPhu">Wards!$ZG$2:$ZG$12</definedName>
    <definedName name="districts_STT_095_MuongLay">Wards!$NW$2:$NW$3</definedName>
    <definedName name="districts_STT_096_MuongNhe">Wards!$YZ$2:$YZ$11</definedName>
    <definedName name="districts_STT_097_MuongCha">Wards!$ZH$2:$ZH$12</definedName>
    <definedName name="districts_STT_098_TuaChua">Wards!$RY$2:$RY$12</definedName>
    <definedName name="districts_STT_099_TuanGiao">Wards!$CO$2:$CO$19</definedName>
    <definedName name="districts_STT_100_DienBien">Wards!$R$2:$R$21</definedName>
    <definedName name="districts_STT_101_DienBienDong">Wards!$MS$2:$MS$14</definedName>
    <definedName name="districts_STT_102_Muongng">Wards!$IH$2:$IH$10</definedName>
    <definedName name="districts_STT_103_NamPo">Wards!$XW$2:$XW$15</definedName>
    <definedName name="districts_STT_105_LaiChau">Wards!$JZ$2:$JZ$7</definedName>
    <definedName name="districts_STT_106_TamDuong">Wards!$FJ$2:$FJ$13</definedName>
    <definedName name="districts_STT_107_MuongTe">Wards!$PE$2:$PE$14</definedName>
    <definedName name="districts_STT_108_SinHo">Wards!$VR$2:$VR$22</definedName>
    <definedName name="districts_STT_109_PhongTho">Wards!$PR$2:$PR$17</definedName>
    <definedName name="districts_STT_110_ThanUyen">Wards!$VG$2:$VG$12</definedName>
    <definedName name="districts_STT_111_TanUyen">Wards!$QA$2:$QA$10</definedName>
    <definedName name="districts_STT_112_NamNhun">Wards!$SL$2:$SL$11</definedName>
    <definedName name="districts_STT_116_SonLa">Wards!$AY$2:$AY$12</definedName>
    <definedName name="districts_STT_118_QuynhNhai">Wards!$TK$2:$TK$11</definedName>
    <definedName name="districts_STT_119_ThuanChau">Wards!$KK$2:$KK$29</definedName>
    <definedName name="districts_STT_120_MuongLa">Wards!$IV$2:$IV$16</definedName>
    <definedName name="districts_STT_121_BacYen">Wards!$EJ$2:$EJ$16</definedName>
    <definedName name="districts_STT_122_PhuYen">Wards!$LZ$2:$LZ$27</definedName>
    <definedName name="districts_STT_123_MocChau">Wards!$KV$2:$KV$15</definedName>
    <definedName name="districts_STT_124_YenChau">Wards!$FF$2:$FF$15</definedName>
    <definedName name="districts_STT_125_MaiSon">Wards!$OB$2:$OB$22</definedName>
    <definedName name="districts_STT_126_SongMa">Wards!$YE$2:$YE$19</definedName>
    <definedName name="districts_STT_127_SopCop">Wards!$CJ$2:$CJ$8</definedName>
    <definedName name="districts_STT_128_VanHo">Wards!$KS$2:$KS$14</definedName>
    <definedName name="districts_STT_132_YenBai">Wards!$KL$2:$KL$15</definedName>
    <definedName name="districts_STT_133_NghiaLo">Wards!$WN$2:$WN$14</definedName>
    <definedName name="districts_STT_135_LucYen">Wards!$LS$2:$LS$24</definedName>
    <definedName name="districts_STT_136_VanYen">Wards!$GN$2:$GN$25</definedName>
    <definedName name="districts_STT_137_MuCangChai">Wards!$DM$2:$DM$14</definedName>
    <definedName name="districts_STT_138_TranYen">Wards!$ER$2:$ER$21</definedName>
    <definedName name="districts_STT_139_TramTau">Wards!$UW$2:$UW$12</definedName>
    <definedName name="districts_STT_140_VanChan">Wards!$FK$2:$FK$24</definedName>
    <definedName name="districts_STT_141_YenBinh">Wards!$QI$2:$QI$24</definedName>
    <definedName name="districts_STT_148_HoaBinh">Wards!$GK$2:$GK$19</definedName>
    <definedName name="districts_STT_150_DaBac">Wards!$VS$2:$VS$17</definedName>
    <definedName name="districts_STT_152_LuongSon">Wards!$XQ$2:$XQ$11</definedName>
    <definedName name="districts_STT_153_KimBoi">Wards!$VH$2:$VH$17</definedName>
    <definedName name="districts_STT_154_CaoPhong">Wards!$AR$2:$AR$10</definedName>
    <definedName name="districts_STT_155_TanLac">Wards!$BM$2:$BM$16</definedName>
    <definedName name="districts_STT_156_MaiChau">Wards!$NJ$2:$NJ$16</definedName>
    <definedName name="districts_STT_157_LacSon">Wards!$HR$2:$HR$24</definedName>
    <definedName name="districts_STT_158_YenThuy">Wards!$RX$2:$RX$11</definedName>
    <definedName name="districts_STT_159_LacThuy">Wards!$LD$2:$LD$10</definedName>
    <definedName name="districts_STT_164_ThaiNguyen">Wards!$QN$2:$QN$32</definedName>
    <definedName name="districts_STT_165_SongCong">Wards!$WE$2:$WE$10</definedName>
    <definedName name="districts_STT_167_DinhHoa">Wards!$I$2:$I$23</definedName>
    <definedName name="districts_STT_168_PhuLuong">Wards!$YO$2:$YO$15</definedName>
    <definedName name="districts_STT_169_DongHy">Wards!$TQ$2:$TQ$15</definedName>
    <definedName name="districts_STT_170_VoNhai">Wards!$EW$2:$EW$15</definedName>
    <definedName name="districts_STT_171_DaiTu">Wards!$EC$2:$EC$29</definedName>
    <definedName name="districts_STT_172_PhoYen">Wards!$TZ$2:$TZ$18</definedName>
    <definedName name="districts_STT_173_PhuBinh">Wards!$GO$2:$GO$20</definedName>
    <definedName name="districts_STT_178_LangSon">Wards!$J$2:$J$8</definedName>
    <definedName name="districts_STT_180_TrangDinh">Wards!$VE$2:$VE$22</definedName>
    <definedName name="districts_STT_181_BinhGia">Wards!$E$2:$E$19</definedName>
    <definedName name="districts_STT_182_VanLang">Wards!$KO$2:$KO$17</definedName>
    <definedName name="districts_STT_183_CaoLoc">Wards!$IR$2:$IR$22</definedName>
    <definedName name="districts_STT_184_VanQuan">Wards!$UQ$2:$UQ$17</definedName>
    <definedName name="districts_STT_185_BacSon">Wards!$BV$2:$BV$18</definedName>
    <definedName name="districts_STT_186_HuuLung">Wards!$NG$2:$NG$24</definedName>
    <definedName name="districts_STT_187_ChiLang">Wards!$JI$2:$JI$20</definedName>
    <definedName name="districts_STT_188_LocBinh">Wards!$WL$2:$WL$21</definedName>
    <definedName name="districts_STT_189_DinhLap">Wards!$CT$2:$CT$12</definedName>
    <definedName name="districts_STT_193_HaLong">Wards!$IO$2:$IO$33</definedName>
    <definedName name="districts_STT_194_MongCai">Wards!$X$2:$X$17</definedName>
    <definedName name="districts_STT_195_CamPha">Wards!$TT$2:$TT$16</definedName>
    <definedName name="districts_STT_196_UongBi">Wards!$GQ$2:$GQ$10</definedName>
    <definedName name="districts_STT_198_BinhLieu">Wards!$RO$2:$RO$7</definedName>
    <definedName name="districts_STT_199_TienYen">Wards!$JW$2:$JW$11</definedName>
    <definedName name="districts_STT_200_DamHa">Wards!$HM$2:$HM$9</definedName>
    <definedName name="districts_STT_201_HaiHa">Wards!$AA$2:$AA$11</definedName>
    <definedName name="districts_STT_202_BaChe">Wards!$KW$2:$KW$8</definedName>
    <definedName name="districts_STT_203_VanDon">Wards!$IK$2:$IK$12</definedName>
    <definedName name="districts_STT_205_DongTrieu">Wards!$QY$2:$QY$21</definedName>
    <definedName name="districts_STT_206_QuangYen">Wards!$OU$2:$OU$19</definedName>
    <definedName name="districts_STT_207_CoTo">Wards!$ET$2:$ET$3</definedName>
    <definedName name="districts_STT_213_BacGiang">Wards!$PF$2:$PF$16</definedName>
    <definedName name="districts_STT_215_YenThe">Wards!$XT$2:$XT$19</definedName>
    <definedName name="districts_STT_216_TanYen">Wards!$ES$2:$ES$22</definedName>
    <definedName name="districts_STT_217_LangGiang">Wards!$YR$2:$YR$21</definedName>
    <definedName name="districts_STT_218_LucNam">Wards!$NP$2:$NP$25</definedName>
    <definedName name="districts_STT_219_LucNgan">Wards!$MI$2:$MI$29</definedName>
    <definedName name="districts_STT_220_SonDong">Wards!$ZA$2:$ZA$17</definedName>
    <definedName name="districts_STT_221_YenDung">Wards!$VF$2:$VF$18</definedName>
    <definedName name="districts_STT_222_VietYen">Wards!$UT$2:$UT$17</definedName>
    <definedName name="districts_STT_223_HiepHoa">Wards!$UF$2:$UF$25</definedName>
    <definedName name="districts_STT_227_VietTri">Wards!$CF$2:$CF$22</definedName>
    <definedName name="districts_STT_228_PhuTho">Wards!$OR$2:$OR$9</definedName>
    <definedName name="districts_STT_230_DoanHung">Wards!$SJ$2:$SJ$22</definedName>
    <definedName name="districts_STT_231_HaHoa">Wards!$EN$2:$EN$20</definedName>
    <definedName name="districts_STT_232_ThanhBa">Wards!$JY$2:$JY$19</definedName>
    <definedName name="districts_STT_233_PhuNinh">Wards!$G$2:$G$17</definedName>
    <definedName name="districts_STT_234_YenLap">Wards!$FO$2:$FO$17</definedName>
    <definedName name="districts_STT_235_CamKhe">Wards!$HI$2:$HI$24</definedName>
    <definedName name="districts_STT_236_TamNong">Wards!$EI$2:$EI$12</definedName>
    <definedName name="districts_STT_237_LamThao">Wards!$QC$2:$QC$12</definedName>
    <definedName name="districts_STT_238_ThanhSon">Wards!$JL$2:$JL$23</definedName>
    <definedName name="districts_STT_239_ThanhThuy">Wards!$YK$2:$YK$11</definedName>
    <definedName name="districts_STT_240_TanSon">Wards!$ST$2:$ST$17</definedName>
    <definedName name="districts_STT_243_VinhYen">Wards!$RK$2:$RK$9</definedName>
    <definedName name="districts_STT_244_PhucYen">Wards!$YL$2:$YL$10</definedName>
    <definedName name="districts_STT_246_LapThach">Wards!$QE$2:$QE$20</definedName>
    <definedName name="districts_STT_247_TamDuong">Wards!$TS$2:$TS$13</definedName>
    <definedName name="districts_STT_248_TamDao">Wards!$UA$2:$UA$9</definedName>
    <definedName name="districts_STT_249_BinhXuyen">Wards!$UL$2:$UL$13</definedName>
    <definedName name="districts_STT_250_MeLinh">Wards!$ZS$2:$ZS$18</definedName>
    <definedName name="districts_STT_251_YenLac">Wards!$QF$2:$QF$17</definedName>
    <definedName name="districts_STT_252_VinhTuong">Wards!$AZ$2:$AZ$28</definedName>
    <definedName name="districts_STT_253_SongLo">Wards!$DX$2:$DX$17</definedName>
    <definedName name="districts_STT_256_BacNinh">Wards!$QB$2:$QB$19</definedName>
    <definedName name="districts_STT_258_YenPhong">Wards!$RE$2:$RE$14</definedName>
    <definedName name="districts_STT_259_QueVo">Wards!$FH$2:$FH$21</definedName>
    <definedName name="districts_STT_260_TienDu">Wards!$DY$2:$DY$14</definedName>
    <definedName name="districts_STT_261_TuSon">Wards!$HB$2:$HB$12</definedName>
    <definedName name="districts_STT_262_ThuanThanh">Wards!$NX$2:$NX$18</definedName>
    <definedName name="districts_STT_263_GiaBinh">Wards!$GJ$2:$GJ$14</definedName>
    <definedName name="districts_STT_264_LuongTai">Wards!$AJ$2:$AJ$14</definedName>
    <definedName name="districts_STT_268_HaDong">Wards!$RM$2:$RM$17</definedName>
    <definedName name="districts_STT_269_SonTay">Wards!$YM$2:$YM$15</definedName>
    <definedName name="districts_STT_271_BaVi">Wards!$PL$2:$PL$31</definedName>
    <definedName name="districts_STT_272_PhucTho">Wards!$UB$2:$UB$21</definedName>
    <definedName name="districts_STT_273_DanPhuong">Wards!$HP$2:$HP$16</definedName>
    <definedName name="districts_STT_274_HoaiDuc">Wards!$IN$2:$IN$20</definedName>
    <definedName name="districts_STT_275_QuocOai">Wards!$FQ$2:$FQ$21</definedName>
    <definedName name="districts_STT_276_ThachThat">Wards!$DJ$2:$DJ$23</definedName>
    <definedName name="districts_STT_277_ChuongMy">Wards!$HG$2:$HG$32</definedName>
    <definedName name="districts_STT_278_ThanhOai">Wards!$UO$2:$UO$21</definedName>
    <definedName name="districts_STT_279_ThuongTin">Wards!$PA$2:$PA$29</definedName>
    <definedName name="districts_STT_280_PhuXuyen">Wards!$Z$2:$Z$27</definedName>
    <definedName name="districts_STT_281_UngHoa">Wards!$VY$2:$VY$29</definedName>
    <definedName name="districts_STT_282_MyDuc">Wards!$GW$2:$GW$22</definedName>
    <definedName name="districts_STT_288_HaiDuong">Wards!$RV$2:$RV$25</definedName>
    <definedName name="districts_STT_290_ChiLinh">Wards!$S$2:$S$19</definedName>
    <definedName name="districts_STT_291_NamSach">Wards!$ZP$2:$ZP$19</definedName>
    <definedName name="districts_STT_292_KinhMon">Wards!$NN$2:$NN$23</definedName>
    <definedName name="districts_STT_293_KimThanh">Wards!$KQ$2:$KQ$18</definedName>
    <definedName name="districts_STT_294_ThanhHa">Wards!$BN$2:$BN$20</definedName>
    <definedName name="districts_STT_295_CamGiang">Wards!$VK$2:$VK$17</definedName>
    <definedName name="districts_STT_296_BinhGiang">Wards!$PC$2:$PC$16</definedName>
    <definedName name="districts_STT_297_GiaLoc">Wards!$JP$2:$JP$18</definedName>
    <definedName name="districts_STT_298_TuKy">Wards!$Q$2:$Q$23</definedName>
    <definedName name="districts_STT_299_NinhGiang">Wards!$EB$2:$EB$20</definedName>
    <definedName name="districts_STT_300_ThanhMien">Wards!$UG$2:$UG$17</definedName>
    <definedName name="districts_STT_303_HongBang">Wards!$VO$2:$VO$9</definedName>
    <definedName name="districts_STT_304_NgoQuyen">Wards!$C$2:$C$12</definedName>
    <definedName name="districts_STT_305_LeChan">Wards!$AE$2:$AE$15</definedName>
    <definedName name="districts_STT_306_HaiAn">Wards!$SQ$2:$SQ$8</definedName>
    <definedName name="districts_STT_307_KienAn">Wards!$K$2:$K$10</definedName>
    <definedName name="districts_STT_308_DoSon">Wards!$DI$2:$DI$6</definedName>
    <definedName name="districts_STT_309_DuongKinh">Wards!$IG$2:$IG$6</definedName>
    <definedName name="districts_STT_311_ThuyNguyen">Wards!$QS$2:$QS$37</definedName>
    <definedName name="districts_STT_312_AnDuong">Wards!$CC$2:$CC$16</definedName>
    <definedName name="districts_STT_313_AnLao">Wards!$UK$2:$UK$17</definedName>
    <definedName name="districts_STT_314_KienThuy">Wards!$CV$2:$CV$18</definedName>
    <definedName name="districts_STT_315_TienLang">Wards!$AG$2:$AG$21</definedName>
    <definedName name="districts_STT_316_VinhBao">Wards!$TD$2:$TD$30</definedName>
    <definedName name="districts_STT_317_CatHai">Wards!$IX$2:$IX$12</definedName>
    <definedName name="districts_STT_323_HungYen">Wards!$AP$2:$AP$17</definedName>
    <definedName name="districts_STT_325_VanLam">Wards!$WK$2:$WK$11</definedName>
    <definedName name="districts_STT_326_VanGiang">Wards!$FE$2:$FE$11</definedName>
    <definedName name="districts_STT_327_YenMy">Wards!$RQ$2:$RQ$17</definedName>
    <definedName name="districts_STT_328_MyHao">Wards!$PD$2:$PD$13</definedName>
    <definedName name="districts_STT_329_AnThi">Wards!$TV$2:$TV$21</definedName>
    <definedName name="districts_STT_330_KhoaiChau">Wards!$PQ$2:$PQ$25</definedName>
    <definedName name="districts_STT_331_KimDong">Wards!$HY$2:$HY$17</definedName>
    <definedName name="districts_STT_332_TienLu">Wards!$SI$2:$SI$15</definedName>
    <definedName name="districts_STT_333_PhuCu">Wards!$UI$2:$UI$14</definedName>
    <definedName name="districts_STT_336_ThaiBinh">Wards!$BE$2:$BE$19</definedName>
    <definedName name="districts_STT_338_QuynhPhu">Wards!$BD$2:$BD$37</definedName>
    <definedName name="districts_STT_339_HungHa">Wards!$VT$2:$VT$35</definedName>
    <definedName name="districts_STT_340_DongHung">Wards!$DF$2:$DF$38</definedName>
    <definedName name="districts_STT_341_ThaiThuy">Wards!$RZ$2:$RZ$36</definedName>
    <definedName name="districts_STT_342_TienHai">Wards!$CW$2:$CW$32</definedName>
    <definedName name="districts_STT_343_KienXuong">Wards!$DA$2:$DA$33</definedName>
    <definedName name="districts_STT_344_VuThu">Wards!$SH$2:$SH$30</definedName>
    <definedName name="districts_STT_347_PhuLy">Wards!$JR$2:$JR$21</definedName>
    <definedName name="districts_STT_349_DuyTien">Wards!$ED$2:$ED$16</definedName>
    <definedName name="districts_STT_350_KimBang">Wards!$WV$2:$WV$18</definedName>
    <definedName name="districts_STT_351_ThanhLiem">Wards!$TL$2:$TL$16</definedName>
    <definedName name="districts_STT_352_BinhLuc">Wards!$AK$2:$AK$17</definedName>
    <definedName name="districts_STT_353_LyNhan">Wards!$ZI$2:$ZI$21</definedName>
    <definedName name="districts_STT_356_NamDinh">Wards!$XF$2:$XF$21</definedName>
    <definedName name="districts_STT_359_VuBan">Wards!$ZV$2:$ZV$14</definedName>
    <definedName name="districts_STT_360_YYen">Wards!$XA$2:$XA$23</definedName>
    <definedName name="districts_STT_361_NghiaHung">Wards!$BC$2:$BC$20</definedName>
    <definedName name="districts_STT_362_NamTruc">Wards!$RN$2:$RN$18</definedName>
    <definedName name="districts_STT_363_TrucNinh">Wards!$BI$2:$BI$21</definedName>
    <definedName name="districts_STT_364_XuanTruong">Wards!$EA$2:$EA$14</definedName>
    <definedName name="districts_STT_365_GiaoThuy">Wards!$WX$2:$WX$20</definedName>
    <definedName name="districts_STT_366_HaiHau">Wards!$NM$2:$NM$24</definedName>
    <definedName name="districts_STT_369_NinhBinh">Wards!$ZB$2:$ZB$14</definedName>
    <definedName name="districts_STT_370_TamDiep">Wards!$QX$2:$QX$9</definedName>
    <definedName name="districts_STT_372_NhoQuan">Wards!$OH$2:$OH$27</definedName>
    <definedName name="districts_STT_373_GiaVien">Wards!$BJ$2:$BJ$21</definedName>
    <definedName name="districts_STT_374_HoaLu">Wards!$CI$2:$CI$11</definedName>
    <definedName name="districts_STT_375_YenKhanh">Wards!$II$2:$II$19</definedName>
    <definedName name="districts_STT_376_KimSon">Wards!$YT$2:$YT$25</definedName>
    <definedName name="districts_STT_377_YenMo">Wards!$UX$2:$UX$17</definedName>
    <definedName name="districts_STT_380_ThanhHoa">Wards!$WD$2:$WD$34</definedName>
    <definedName name="districts_STT_381_BimSon">Wards!$IL$2:$IL$7</definedName>
    <definedName name="districts_STT_382_SamSon">Wards!$AF$2:$AF$11</definedName>
    <definedName name="districts_STT_384_MuongLat">Wards!$BL$2:$BL$8</definedName>
    <definedName name="districts_STT_385_QuanHoa">Wards!$GS$2:$GS$15</definedName>
    <definedName name="districts_STT_386_BaThuoc">Wards!$YU$2:$YU$21</definedName>
    <definedName name="districts_STT_387_QuanSon">Wards!$QV$2:$QV$12</definedName>
    <definedName name="districts_STT_388_LangChanh">Wards!$OX$2:$OX$10</definedName>
    <definedName name="districts_STT_389_NgocLac">Wards!$XC$2:$XC$21</definedName>
    <definedName name="districts_STT_390_CamThuy">Wards!$WY$2:$WY$17</definedName>
    <definedName name="districts_STT_391_ThachThanh">Wards!$IJ$2:$IJ$25</definedName>
    <definedName name="districts_STT_392_HaTrung">Wards!$SX$2:$SX$20</definedName>
    <definedName name="districts_STT_393_VinhLoc">Wards!$ZE$2:$ZE$13</definedName>
    <definedName name="districts_STT_394_YenDinh">Wards!$KY$2:$KY$26</definedName>
    <definedName name="districts_STT_395_ThoXuan">Wards!$LF$2:$LF$30</definedName>
    <definedName name="districts_STT_396_ThuongXuan">Wards!$QO$2:$QO$16</definedName>
    <definedName name="districts_STT_397_TrieuSon">Wards!$UJ$2:$UJ$34</definedName>
    <definedName name="districts_STT_398_ThieuHoa">Wards!$GT$2:$GT$24</definedName>
    <definedName name="districts_STT_399_HoangHoa">Wards!$TR$2:$TR$37</definedName>
    <definedName name="districts_STT_400_HauLoc">Wards!$SD$2:$SD$23</definedName>
    <definedName name="districts_STT_401_NgaSon">Wards!$JN$2:$JN$24</definedName>
    <definedName name="districts_STT_402_NhuXuan">Wards!$SZ$2:$SZ$16</definedName>
    <definedName name="districts_STT_403_NhuThanh">Wards!$YI$2:$YI$14</definedName>
    <definedName name="districts_STT_404_NongCong">Wards!$WR$2:$WR$29</definedName>
    <definedName name="districts_STT_405_DongSon">Wards!$PS$2:$PS$14</definedName>
    <definedName name="districts_STT_406_QuangXuong">Wards!$JA$2:$JA$26</definedName>
    <definedName name="districts_STT_407_NghiSon">Wards!$UV$2:$UV$31</definedName>
    <definedName name="districts_STT_412_Vinh">Wards!$PT$2:$PT$25</definedName>
    <definedName name="districts_STT_413_CuaLo">Wards!$CE$2:$CE$7</definedName>
    <definedName name="districts_STT_414_ThaiHoa">Wards!$WP$2:$WP$9</definedName>
    <definedName name="districts_STT_415_QuePhong">Wards!$WI$2:$WI$13</definedName>
    <definedName name="districts_STT_416_QuyChau">Wards!$FM$2:$FM$12</definedName>
    <definedName name="districts_STT_417_KySon">Wards!$NK$2:$NK$21</definedName>
    <definedName name="districts_STT_418_TuongDuong">Wards!$RA$2:$RA$17</definedName>
    <definedName name="districts_STT_419_NghiaDan">Wards!$EF$2:$EF$23</definedName>
    <definedName name="districts_STT_420_QuyHop">Wards!$WJ$2:$WJ$21</definedName>
    <definedName name="districts_STT_421_QuynhLuu">Wards!$AV$2:$AV$33</definedName>
    <definedName name="districts_STT_422_ConCuong">Wards!$A$2:$A$13</definedName>
    <definedName name="districts_STT_423_TanKy">Wards!$YY$2:$YY$22</definedName>
    <definedName name="districts_STT_424_AnhSon">Wards!$YD$2:$YD$21</definedName>
    <definedName name="districts_STT_425_DienChau">Wards!$UH$2:$UH$37</definedName>
    <definedName name="districts_STT_426_YenThanh">Wards!$GP$2:$GP$39</definedName>
    <definedName name="districts_STT_427_DoLuong">Wards!$RC$2:$RC$33</definedName>
    <definedName name="districts_STT_428_ThanhChuong">Wards!$U$2:$U$38</definedName>
    <definedName name="districts_STT_429_NghiLoc">Wards!$N$2:$N$29</definedName>
    <definedName name="districts_STT_430_NamDan">Wards!$XY$2:$XY$19</definedName>
    <definedName name="districts_STT_431_HungNguyen">Wards!$ZC$2:$ZC$18</definedName>
    <definedName name="districts_STT_432_HoangMai">Wards!$GH$2:$GH$10</definedName>
    <definedName name="districts_STT_436_HaTinh">Wards!$T$2:$T$15</definedName>
    <definedName name="districts_STT_437_HongLinh">Wards!$WA$2:$WA$6</definedName>
    <definedName name="districts_STT_439_HuongSon">Wards!$BS$2:$BS$25</definedName>
    <definedName name="districts_STT_440_DucTho">Wards!$BG$2:$BG$16</definedName>
    <definedName name="districts_STT_441_VuQuang">Wards!$IB$2:$IB$10</definedName>
    <definedName name="districts_STT_442_NghiXuan">Wards!$DH$2:$DH$17</definedName>
    <definedName name="districts_STT_443_CanLoc">Wards!$ND$2:$ND$18</definedName>
    <definedName name="districts_STT_444_HuongKhe">Wards!$YW$2:$YW$21</definedName>
    <definedName name="districts_STT_445_ThachHa">Wards!$NE$2:$NE$22</definedName>
    <definedName name="districts_STT_446_CamXuyen">Wards!$AS$2:$AS$23</definedName>
    <definedName name="districts_STT_447_KyAnh">Wards!$FX$2:$FX$20</definedName>
    <definedName name="districts_STT_448_LocHa">Wards!$OO$2:$OO$12</definedName>
    <definedName name="districts_STT_449_KyAnh">Wards!$OP$2:$OP$11</definedName>
    <definedName name="districts_STT_450_DongHoi">Wards!$YS$2:$YS$15</definedName>
    <definedName name="districts_STT_452_MinhHoa">Wards!$BO$2:$BO$15</definedName>
    <definedName name="districts_STT_453_TuyenHoa">Wards!$NL$2:$NL$19</definedName>
    <definedName name="districts_STT_454_QuangTrach">Wards!$XG$2:$XG$17</definedName>
    <definedName name="districts_STT_455_BoTrach">Wards!$WU$2:$WU$28</definedName>
    <definedName name="districts_STT_456_QuangNinh">Wards!$KH$2:$KH$15</definedName>
    <definedName name="districts_STT_457_LeThuy">Wards!$LP$2:$LP$26</definedName>
    <definedName name="districts_STT_458_BaDon">Wards!$L$2:$L$16</definedName>
    <definedName name="districts_STT_461_DongHa">Wards!$MD$2:$MD$9</definedName>
    <definedName name="districts_STT_462_QuangTri">Wards!$AD$2:$AD$5</definedName>
    <definedName name="districts_STT_464_VinhLinh">Wards!$BA$2:$BA$18</definedName>
    <definedName name="districts_STT_465_HuongHoa">Wards!$HJ$2:$HJ$21</definedName>
    <definedName name="districts_STT_466_GioLinh">Wards!$RF$2:$RF$17</definedName>
    <definedName name="districts_STT_467_DaKrong">Wards!$JH$2:$JH$13</definedName>
    <definedName name="districts_STT_468_CamLo">Wards!$MQ$2:$MQ$8</definedName>
    <definedName name="districts_STT_469_TrieuPhong">Wards!$LN$2:$LN$18</definedName>
    <definedName name="districts_STT_470_HaiLang">Wards!$CS$2:$CS$16</definedName>
    <definedName name="districts_STT_474_Hue">Wards!$WS$2:$WS$36</definedName>
    <definedName name="districts_STT_476_PhongDien">Wards!$QZ$2:$QZ$16</definedName>
    <definedName name="districts_STT_477_QuangDien">Wards!$NS$2:$NS$11</definedName>
    <definedName name="districts_STT_478_PhuVang">Wards!$RU$2:$RU$14</definedName>
    <definedName name="districts_STT_479_HuongThuy">Wards!$MM$2:$MM$10</definedName>
    <definedName name="districts_STT_480_HuongTra">Wards!$YN$2:$YN$9</definedName>
    <definedName name="districts_STT_481_ALuoi">Wards!$UZ$2:$UZ$18</definedName>
    <definedName name="districts_STT_482_PhuLoc">Wards!$HQ$2:$HQ$17</definedName>
    <definedName name="districts_STT_483_NamDong">Wards!$NQ$2:$NQ$10</definedName>
    <definedName name="districts_STT_490_LienChieu">Wards!$VP$2:$VP$5</definedName>
    <definedName name="districts_STT_491_ThanhKhe">Wards!$SM$2:$SM$10</definedName>
    <definedName name="districts_STT_492_HaiChau">Wards!$CG$2:$CG$13</definedName>
    <definedName name="districts_STT_493_SonTra">Wards!$MF$2:$MF$7</definedName>
    <definedName name="districts_STT_494_NguHanhSon">Wards!$PW$2:$PW$4</definedName>
    <definedName name="districts_STT_495_CamLe">Wards!$MP$2:$MP$6</definedName>
    <definedName name="districts_STT_497_HoaVang">Wards!$HU$2:$HU$11</definedName>
    <definedName name="districts_STT_502_TamKy">Wards!$LK$2:$LK$13</definedName>
    <definedName name="districts_STT_503_HoiAn">Wards!$TY$2:$TY$13</definedName>
    <definedName name="districts_STT_504_TayGiang">Wards!$EU$2:$EU$10</definedName>
    <definedName name="districts_STT_505_DongGiang">Wards!$QR$2:$QR$11</definedName>
    <definedName name="districts_STT_506_DaiLoc">Wards!$AT$2:$AT$18</definedName>
    <definedName name="districts_STT_507_DienBan">Wards!$ZT$2:$ZT$20</definedName>
    <definedName name="districts_STT_508_DuyXuyen">Wards!$TH$2:$TH$14</definedName>
    <definedName name="districts_STT_509_QueSon">Wards!$YA$2:$YA$13</definedName>
    <definedName name="districts_STT_510_NamGiang">Wards!$MO$2:$MO$12</definedName>
    <definedName name="districts_STT_511_PhuocSon">Wards!$FI$2:$FI$12</definedName>
    <definedName name="districts_STT_512_HiepDuc">Wards!$XJ$2:$XJ$11</definedName>
    <definedName name="districts_STT_513_ThangBinh">Wards!$F$2:$F$22</definedName>
    <definedName name="districts_STT_514_TienPhuoc">Wards!$Y$2:$Y$15</definedName>
    <definedName name="districts_STT_515_BacTraMy">Wards!$SB$2:$SB$13</definedName>
    <definedName name="districts_STT_516_NamTraMy">Wards!$EE$2:$EE$10</definedName>
    <definedName name="districts_STT_517_NuiThanh">Wards!$YQ$2:$YQ$17</definedName>
    <definedName name="districts_STT_518_PhuNinh">Wards!$QT$2:$QT$11</definedName>
    <definedName name="districts_STT_519_NongSon">Wards!$ID$2:$ID$6</definedName>
    <definedName name="districts_STT_522_QuangNgai">Wards!$CB$2:$CB$23</definedName>
    <definedName name="districts_STT_524_BinhSon">Wards!$ZW$2:$ZW$22</definedName>
    <definedName name="districts_STT_525_TraBong">Wards!$PP$2:$PP$16</definedName>
    <definedName name="districts_STT_527_SonTinh">Wards!$IE$2:$IE$11</definedName>
    <definedName name="districts_STT_528_TuNghia">Wards!$CD$2:$CD$14</definedName>
    <definedName name="districts_STT_529_SonHa">Wards!$HA$2:$HA$14</definedName>
    <definedName name="districts_STT_530_SonTay">Wards!$VM$2:$VM$9</definedName>
    <definedName name="districts_STT_531_MinhLong">Wards!$GC$2:$GC$5</definedName>
    <definedName name="districts_STT_532_NghiaHanh">Wards!$JS$2:$JS$12</definedName>
    <definedName name="districts_STT_533_MoDuc">Wards!$XX$2:$XX$13</definedName>
    <definedName name="districts_STT_534_DucPho">Wards!$HC$2:$HC$15</definedName>
    <definedName name="districts_STT_535_BaTo">Wards!$XH$2:$XH$19</definedName>
    <definedName name="districts_STT_540_QuyNhon">Wards!$YB$2:$YB$21</definedName>
    <definedName name="districts_STT_542_AnLao">Wards!$RG$2:$RG$10</definedName>
    <definedName name="districts_STT_543_HoaiNhon">Wards!$EK$2:$EK$17</definedName>
    <definedName name="districts_STT_544_HoaiAn">Wards!$KM$2:$KM$15</definedName>
    <definedName name="districts_STT_545_PhuMy">Wards!$ZK$2:$ZK$19</definedName>
    <definedName name="districts_STT_546_VinhThanh">Wards!$HZ$2:$HZ$9</definedName>
    <definedName name="districts_STT_547_TaySon">Wards!$IA$2:$IA$15</definedName>
    <definedName name="districts_STT_548_PhuCat">Wards!$TW$2:$TW$18</definedName>
    <definedName name="districts_STT_549_AnNhon">Wards!$RP$2:$RP$15</definedName>
    <definedName name="districts_STT_550_TuyPhuoc">Wards!$VC$2:$VC$13</definedName>
    <definedName name="districts_STT_551_VanCanh">Wards!$IY$2:$IY$7</definedName>
    <definedName name="districts_STT_555_TuyHoa">Wards!$LA$2:$LA$16</definedName>
    <definedName name="districts_STT_557_SongCau">Wards!$VX$2:$VX$13</definedName>
    <definedName name="districts_STT_558_DongXuan">Wards!$BF$2:$BF$11</definedName>
    <definedName name="districts_STT_559_TuyAn">Wards!$LW$2:$LW$15</definedName>
    <definedName name="districts_STT_560_SonHoa">Wards!$MA$2:$MA$14</definedName>
    <definedName name="districts_STT_561_SongHinh">Wards!$GL$2:$GL$11</definedName>
    <definedName name="districts_STT_562_TayHoa">Wards!$MN$2:$MN$11</definedName>
    <definedName name="districts_STT_563_PhuHoa">Wards!$MJ$2:$MJ$9</definedName>
    <definedName name="districts_STT_564_DongHoa">Wards!$LJ$2:$LJ$10</definedName>
    <definedName name="districts_STT_568_NhaTrang">Wards!$EQ$2:$EQ$27</definedName>
    <definedName name="districts_STT_569_CamRanh">Wards!$XD$2:$XD$15</definedName>
    <definedName name="districts_STT_570_CamLam">Wards!$SC$2:$SC$14</definedName>
    <definedName name="districts_STT_571_VanNinh">Wards!$FS$2:$FS$13</definedName>
    <definedName name="districts_STT_572_NinhHoa">Wards!$SU$2:$SU$27</definedName>
    <definedName name="districts_STT_573_KhanhVinh">Wards!$AW$2:$AW$14</definedName>
    <definedName name="districts_STT_574_DienKhanh">Wards!$NR$2:$NR$18</definedName>
    <definedName name="districts_STT_575_KhanhSon">Wards!$PM$2:$PM$8</definedName>
    <definedName name="districts_STT_576_TruongSa">Wards!$JQ$2:$JQ$3</definedName>
    <definedName name="districts_STT_582_PhanRangThapCham">Wards!$FV$2:$FV$16</definedName>
    <definedName name="districts_STT_584_BacAi">Wards!$GD$2:$GD$9</definedName>
    <definedName name="districts_STT_585_NinhSon">Wards!$JT$2:$JT$8</definedName>
    <definedName name="districts_STT_586_NinhHai">Wards!$LH$2:$LH$9</definedName>
    <definedName name="districts_STT_587_NinhPhuoc">Wards!$UU$2:$UU$9</definedName>
    <definedName name="districts_STT_588_ThuanBac">Wards!$TA$2:$TA$6</definedName>
    <definedName name="districts_STT_589_ThuanNam">Wards!$FY$2:$FY$8</definedName>
    <definedName name="districts_STT_593_PhanThiet">Wards!$MT$2:$MT$18</definedName>
    <definedName name="districts_STT_594_LaGi">Wards!$EG$2:$EG$9</definedName>
    <definedName name="districts_STT_595_TuyPhong">Wards!$BH$2:$BH$11</definedName>
    <definedName name="districts_STT_596_BacBinh">Wards!$FU$2:$FU$18</definedName>
    <definedName name="districts_STT_597_HamThuanBac">Wards!$NO$2:$NO$17</definedName>
    <definedName name="districts_STT_598_HamThuanNam">Wards!$LI$2:$LI$13</definedName>
    <definedName name="districts_STT_599_TanhLinh">Wards!$ZF$2:$ZF$13</definedName>
    <definedName name="districts_STT_600_DucLinh">Wards!$DB$2:$DB$12</definedName>
    <definedName name="districts_STT_601_HamTan">Wards!$WQ$2:$WQ$10</definedName>
    <definedName name="districts_STT_602_PhuQui">Wards!$CK$2:$CK$3</definedName>
    <definedName name="districts_STT_608_KonTum">Wards!$EH$2:$EH$21</definedName>
    <definedName name="districts_STT_610_DakGlei">Wards!$PI$2:$PI$12</definedName>
    <definedName name="districts_STT_611_NgocHoi">Wards!$MH$2:$MH$8</definedName>
    <definedName name="districts_STT_612_DakTo">Wards!$IP$2:$IP$9</definedName>
    <definedName name="districts_STT_613_KonPlong">Wards!$YF$2:$YF$9</definedName>
    <definedName name="districts_STT_614_KonRay">Wards!$UD$2:$UD$7</definedName>
    <definedName name="districts_STT_615_DakHa">Wards!$JB$2:$JB$11</definedName>
    <definedName name="districts_STT_616_SaThay">Wards!$JD$2:$JD$11</definedName>
    <definedName name="districts_STT_617_TuMoRong">Wards!$FC$2:$FC$11</definedName>
    <definedName name="districts_STT_618_IaHDrai">Wards!$AN$2:$AN$3</definedName>
    <definedName name="districts_STT_622_Pleiku">Wards!$LE$2:$LE$22</definedName>
    <definedName name="districts_STT_623_AnKhe">Wards!$WZ$2:$WZ$11</definedName>
    <definedName name="districts_STT_624_AyunPa">Wards!$VU$2:$VU$8</definedName>
    <definedName name="districts_STT_625_KBang">Wards!$DN$2:$DN$14</definedName>
    <definedName name="districts_STT_626_DakDoa">Wards!$FT$2:$FT$17</definedName>
    <definedName name="districts_STT_627_ChuPah">Wards!$XK$2:$XK$14</definedName>
    <definedName name="districts_STT_628_IaGrai">Wards!$VD$2:$VD$13</definedName>
    <definedName name="districts_STT_629_MangYang">Wards!$IS$2:$IS$12</definedName>
    <definedName name="districts_STT_630_KongChro">Wards!$XZ$2:$XZ$14</definedName>
    <definedName name="districts_STT_631_DucCo">Wards!$DQ$2:$DQ$10</definedName>
    <definedName name="districts_STT_632_ChuProng">Wards!$GF$2:$GF$20</definedName>
    <definedName name="districts_STT_633_ChuSe">Wards!$OQ$2:$OQ$15</definedName>
    <definedName name="districts_STT_634_DakPo">Wards!$WO$2:$WO$8</definedName>
    <definedName name="districts_STT_635_IaPa">Wards!$SK$2:$SK$9</definedName>
    <definedName name="districts_STT_637_KrongPa">Wards!$AX$2:$AX$14</definedName>
    <definedName name="districts_STT_638_PhuThien">Wards!$IC$2:$IC$10</definedName>
    <definedName name="districts_STT_639_ChuPuh">Wards!$WB$2:$WB$9</definedName>
    <definedName name="districts_STT_643_BuonMaThuot">Wards!$UC$2:$UC$21</definedName>
    <definedName name="districts_STT_644_BuonHo">Wards!$ZJ$2:$ZJ$12</definedName>
    <definedName name="districts_STT_645_EaHleo">Wards!$JJ$2:$JJ$12</definedName>
    <definedName name="districts_STT_646_EaSup">Wards!$GA$2:$GA$10</definedName>
    <definedName name="districts_STT_647_BuonDon">Wards!$JU$2:$JU$7</definedName>
    <definedName name="districts_STT_648_CuMgar">Wards!$HD$2:$HD$17</definedName>
    <definedName name="districts_STT_649_KrongBuk">Wards!$SG$2:$SG$7</definedName>
    <definedName name="districts_STT_650_KrongNang">Wards!$OE$2:$OE$12</definedName>
    <definedName name="districts_STT_651_EaKar">Wards!$BT$2:$BT$16</definedName>
    <definedName name="districts_STT_652_MDrak">Wards!$QM$2:$QM$13</definedName>
    <definedName name="districts_STT_653_KrongBong">Wards!$WM$2:$WM$14</definedName>
    <definedName name="districts_STT_654_KrongPac">Wards!$OY$2:$OY$16</definedName>
    <definedName name="districts_STT_655_KrongANa">Wards!$BZ$2:$BZ$8</definedName>
    <definedName name="districts_STT_656_Lak">Wards!$TI$2:$TI$11</definedName>
    <definedName name="districts_STT_657_CuKuin">Wards!$BB$2:$BB$8</definedName>
    <definedName name="districts_STT_660_GiaNghia">Wards!$TJ$2:$TJ$8</definedName>
    <definedName name="districts_STT_661_DakGlong">Wards!$EL$2:$EL$7</definedName>
    <definedName name="districts_STT_662_CuJut">Wards!$KE$2:$KE$8</definedName>
    <definedName name="districts_STT_663_DakMil">Wards!$NB$2:$NB$10</definedName>
    <definedName name="districts_STT_664_KrongNo">Wards!$PJ$2:$PJ$12</definedName>
    <definedName name="districts_STT_665_DakSong">Wards!$DL$2:$DL$9</definedName>
    <definedName name="districts_STT_666_DakRLap">Wards!$NF$2:$NF$11</definedName>
    <definedName name="districts_STT_667_TuyDuc">Wards!$JG$2:$JG$6</definedName>
    <definedName name="districts_STT_672_DaLat">Wards!$WF$2:$WF$16</definedName>
    <definedName name="districts_STT_673_BaoLoc">Wards!$QP$2:$QP$11</definedName>
    <definedName name="districts_STT_674_DamRong">Wards!$HN$2:$HN$8</definedName>
    <definedName name="districts_STT_675_LacDuong">Wards!$KT$2:$KT$6</definedName>
    <definedName name="districts_STT_676_LamHa">Wards!$LL$2:$LL$16</definedName>
    <definedName name="districts_STT_677_DonDuong">Wards!$RR$2:$RR$10</definedName>
    <definedName name="districts_STT_678_DucTrong">Wards!$OC$2:$OC$15</definedName>
    <definedName name="districts_STT_679_DiLinh">Wards!$XI$2:$XI$19</definedName>
    <definedName name="districts_STT_680_BaoLam">Wards!$KR$2:$KR$14</definedName>
    <definedName name="districts_STT_681_DaHuoai">Wards!$SR$2:$SR$9</definedName>
    <definedName name="districts_STT_682_DaTeh">Wards!$CL$2:$CL$9</definedName>
    <definedName name="districts_STT_683_CatTien">Wards!$OT$2:$OT$9</definedName>
    <definedName name="districts_STT_688_PhuocLong">Wards!$CP$2:$CP$7</definedName>
    <definedName name="districts_STT_689_DongXoai">Wards!$HO$2:$HO$8</definedName>
    <definedName name="districts_STT_690_BinhLong">Wards!$O$2:$O$6</definedName>
    <definedName name="districts_STT_691_BuGiaMap">Wards!$PU$2:$PU$8</definedName>
    <definedName name="districts_STT_692_LocNinh">Wards!$ZL$2:$ZL$16</definedName>
    <definedName name="districts_STT_693_BuDop">Wards!$FL$2:$FL$7</definedName>
    <definedName name="districts_STT_694_HonQuan">Wards!$GY$2:$GY$13</definedName>
    <definedName name="districts_STT_695_DongPhu">Wards!$HW$2:$HW$11</definedName>
    <definedName name="districts_STT_696_BuDang">Wards!$OF$2:$OF$16</definedName>
    <definedName name="districts_STT_697_ChonThanh">Wards!$RH$2:$RH$9</definedName>
    <definedName name="districts_STT_698_PhuRieng">Wards!$H$2:$H$10</definedName>
    <definedName name="districts_STT_703_TayNinh">Wards!$RD$2:$RD$10</definedName>
    <definedName name="districts_STT_705_TanBien">Wards!$EM$2:$EM$10</definedName>
    <definedName name="districts_STT_706_TanChau">Wards!$IW$2:$IW$12</definedName>
    <definedName name="districts_STT_707_DuongMinhChau">Wards!$TX$2:$TX$11</definedName>
    <definedName name="districts_STT_708_ChauThanh">Wards!$M$2:$M$15</definedName>
    <definedName name="districts_STT_709_HoaThanh">Wards!$CN$2:$CN$8</definedName>
    <definedName name="districts_STT_710_GoDau">Wards!$MU$2:$MU$9</definedName>
    <definedName name="districts_STT_711_BenCau">Wards!$MV$2:$MV$9</definedName>
    <definedName name="districts_STT_712_TrangBang">Wards!$ML$2:$ML$10</definedName>
    <definedName name="districts_STT_718_ThuDauMot">Wards!$LX$2:$LX$14</definedName>
    <definedName name="districts_STT_719_BauBang">Wards!$DU$2:$DU$7</definedName>
    <definedName name="districts_STT_720_DauTieng">Wards!$CZ$2:$CZ$12</definedName>
    <definedName name="districts_STT_721_BenCat">Wards!$EP$2:$EP$8</definedName>
    <definedName name="districts_STT_722_PhuGiao">Wards!$LU$2:$LU$11</definedName>
    <definedName name="districts_STT_723_TanUyen">Wards!$IU$2:$IU$12</definedName>
    <definedName name="districts_STT_724_DiAn">Wards!$XU$2:$XU$7</definedName>
    <definedName name="districts_STT_725_ThuanAn">Wards!$DV$2:$DV$10</definedName>
    <definedName name="districts_STT_726_BacTanUyen">Wards!$QK$2:$QK$10</definedName>
    <definedName name="districts_STT_731_BienHoa">Wards!$YC$2:$YC$30</definedName>
    <definedName name="districts_STT_732_LongKhanh">Wards!$BX$2:$BX$15</definedName>
    <definedName name="districts_STT_734_TanPhu">Wards!$XL$2:$XL$18</definedName>
    <definedName name="districts_STT_735_VinhCuu">Wards!$XS$2:$XS$12</definedName>
    <definedName name="districts_STT_736_DinhQuan">Wards!$DG$2:$DG$14</definedName>
    <definedName name="districts_STT_737_TrangBom">Wards!$FD$2:$FD$17</definedName>
    <definedName name="districts_STT_738_ThongNhat">Wards!$UP$2:$UP$10</definedName>
    <definedName name="districts_STT_739_CamMy">Wards!$PH$2:$PH$13</definedName>
    <definedName name="districts_STT_740_LongThanh">Wards!$UN$2:$UN$14</definedName>
    <definedName name="districts_STT_741_XuanLoc">Wards!$CM$2:$CM$15</definedName>
    <definedName name="districts_STT_742_NhonTrach">Wards!$CX$2:$CX$12</definedName>
    <definedName name="districts_STT_747_VungTau">Wards!$OV$2:$OV$17</definedName>
    <definedName name="districts_STT_748_BaRia">Wards!$IT$2:$IT$11</definedName>
    <definedName name="districts_STT_750_ChauDuc">Wards!$DP$2:$DP$16</definedName>
    <definedName name="districts_STT_751_XuyenMoc">Wards!$FB$2:$FB$13</definedName>
    <definedName name="districts_STT_752_LongDien">Wards!$NY$2:$NY$7</definedName>
    <definedName name="districts_STT_753_DatDo">Wards!$RL$2:$RL$8</definedName>
    <definedName name="districts_STT_754_PhuMy">Wards!$QD$2:$QD$10</definedName>
    <definedName name="districts_STT_760_1">Wards!$XN$2:$XN$10</definedName>
    <definedName name="districts_STT_761_12">Wards!$JC$2:$JC$11</definedName>
    <definedName name="districts_STT_764_GoVap">Wards!$D$2:$D$16</definedName>
    <definedName name="districts_STT_765_BinhThanh">Wards!$DR$2:$DR$20</definedName>
    <definedName name="districts_STT_766_TanBinh">Wards!$XB$2:$XB$15</definedName>
    <definedName name="districts_STT_767_TanPhu">Wards!$NT$2:$NT$11</definedName>
    <definedName name="districts_STT_768_PhuNhuan">Wards!$CA$2:$CA$13</definedName>
    <definedName name="districts_STT_769_ThuDuc">Wards!$GV$2:$GV$34</definedName>
    <definedName name="districts_STT_770_3">Wards!$TB$2:$TB$12</definedName>
    <definedName name="districts_STT_771_10">Wards!$MB$2:$MB$14</definedName>
    <definedName name="districts_STT_772_11">Wards!$HL$2:$HL$16</definedName>
    <definedName name="districts_STT_773_4">Wards!$YH$2:$YH$13</definedName>
    <definedName name="districts_STT_774_5">Wards!$MK$2:$MK$14</definedName>
    <definedName name="districts_STT_775_6">Wards!$PN$2:$PN$14</definedName>
    <definedName name="districts_STT_776_8">Wards!$RB$2:$RB$16</definedName>
    <definedName name="districts_STT_777_BinhTan">Wards!$KF$2:$KF$10</definedName>
    <definedName name="districts_STT_778_7">Wards!$GZ$2:$GZ$10</definedName>
    <definedName name="districts_STT_783_CuChi">Wards!$QQ$2:$QQ$21</definedName>
    <definedName name="districts_STT_784_HocMon">Wards!$VL$2:$VL$12</definedName>
    <definedName name="districts_STT_785_BinhChanh">Wards!$V$2:$V$16</definedName>
    <definedName name="districts_STT_786_NhaBe">Wards!$LQ$2:$LQ$7</definedName>
    <definedName name="districts_STT_787_CanGio">Wards!$EZ$2:$EZ$7</definedName>
    <definedName name="districts_STT_794_TanAn">Wards!$LV$2:$LV$14</definedName>
    <definedName name="districts_STT_795_KienTuong">Wards!$VA$2:$VA$8</definedName>
    <definedName name="districts_STT_796_TanHung">Wards!$OA$2:$OA$12</definedName>
    <definedName name="districts_STT_797_VinhHung">Wards!$KD$2:$KD$10</definedName>
    <definedName name="districts_STT_798_MocHoa">Wards!$PK$2:$PK$7</definedName>
    <definedName name="districts_STT_799_TanThanh">Wards!$TM$2:$TM$13</definedName>
    <definedName name="districts_STT_800_ThanhHoa">Wards!$SY$2:$SY$11</definedName>
    <definedName name="districts_STT_801_DucHue">Wards!$MY$2:$MY$11</definedName>
    <definedName name="districts_STT_802_DucHoa">Wards!$OW$2:$OW$20</definedName>
    <definedName name="districts_STT_803_BenLuc">Wards!$MW$2:$MW$15</definedName>
    <definedName name="districts_STT_804_ThuThua">Wards!$BR$2:$BR$12</definedName>
    <definedName name="districts_STT_805_TanTru">Wards!$VZ$2:$VZ$10</definedName>
    <definedName name="districts_STT_806_CanDuoc">Wards!$IF$2:$IF$17</definedName>
    <definedName name="districts_STT_807_CanGiuoc">Wards!$OI$2:$OI$15</definedName>
    <definedName name="districts_STT_808_ChauThanh">Wards!$P$2:$P$13</definedName>
    <definedName name="districts_STT_815_MyTho">Wards!$MZ$2:$MZ$17</definedName>
    <definedName name="districts_STT_816_GoCong">Wards!$DC$2:$DC$10</definedName>
    <definedName name="districts_STT_817_CaiLay">Wards!$NZ$2:$NZ$16</definedName>
    <definedName name="districts_STT_818_TanPhuoc">Wards!$DK$2:$DK$12</definedName>
    <definedName name="districts_STT_819_CaiBe">Wards!$SF$2:$SF$25</definedName>
    <definedName name="districts_STT_820_CaiLay">Wards!$JO$2:$JO$16</definedName>
    <definedName name="districts_STT_821_ChauThanh">Wards!$OG$2:$OG$23</definedName>
    <definedName name="districts_STT_822_ChoGao">Wards!$TO$2:$TO$19</definedName>
    <definedName name="districts_STT_823_GoCongTay">Wards!$HF$2:$HF$13</definedName>
    <definedName name="districts_STT_824_GoCongDong">Wards!$XO$2:$XO$13</definedName>
    <definedName name="districts_STT_825_TanPhuDong">Wards!$TG$2:$TG$6</definedName>
    <definedName name="districts_STT_829_BenTre">Wards!$LO$2:$LO$14</definedName>
    <definedName name="districts_STT_831_ChauThanh">Wards!$AI$2:$AI$21</definedName>
    <definedName name="districts_STT_832_ChoLach">Wards!$TN$2:$TN$11</definedName>
    <definedName name="districts_STT_833_MoCayNam">Wards!$PV$2:$PV$16</definedName>
    <definedName name="districts_STT_834_GiongTrom">Wards!$BU$2:$BU$21</definedName>
    <definedName name="districts_STT_835_BinhDai">Wards!$BY$2:$BY$20</definedName>
    <definedName name="districts_STT_836_BaTri">Wards!$DE$2:$DE$23</definedName>
    <definedName name="districts_STT_837_ThanhPhu">Wards!$OJ$2:$OJ$18</definedName>
    <definedName name="districts_STT_838_MoCayBac">Wards!$DD$2:$DD$13</definedName>
    <definedName name="districts_STT_842_TraVinh">Wards!$OS$2:$OS$10</definedName>
    <definedName name="districts_STT_844_CangLong">Wards!$YV$2:$YV$14</definedName>
    <definedName name="districts_STT_845_CauKe">Wards!$OM$2:$OM$11</definedName>
    <definedName name="districts_STT_846_TieuCan">Wards!$KA$2:$KA$11</definedName>
    <definedName name="districts_STT_847_ChauThanh">Wards!$HK$2:$HK$14</definedName>
    <definedName name="districts_STT_848_CauNgang">Wards!$FZ$2:$FZ$15</definedName>
    <definedName name="districts_STT_849_TraCu">Wards!$YX$2:$YX$17</definedName>
    <definedName name="districts_STT_850_DuyenHai">Wards!$CQ$2:$CQ$7</definedName>
    <definedName name="districts_STT_851_DuyenHai">Wards!$IM$2:$IM$7</definedName>
    <definedName name="districts_STT_855_VinhLong">Wards!$AQ$2:$AQ$11</definedName>
    <definedName name="districts_STT_857_LongHo">Wards!$VQ$2:$VQ$15</definedName>
    <definedName name="districts_STT_858_MangThit">Wards!$EV$2:$EV$12</definedName>
    <definedName name="districts_STT_859_VungLiem">Wards!$CU$2:$CU$20</definedName>
    <definedName name="districts_STT_860_TamBinh">Wards!$WC$2:$WC$17</definedName>
    <definedName name="districts_STT_861_BinhMinh">Wards!$CR$2:$CR$8</definedName>
    <definedName name="districts_STT_862_TraOn">Wards!$MG$2:$MG$14</definedName>
    <definedName name="districts_STT_863_BinhTan">Wards!$VB$2:$VB$10</definedName>
    <definedName name="districts_STT_866_CaoLanh">Wards!$JX$2:$JX$15</definedName>
    <definedName name="districts_STT_867_SaDec">Wards!$FW$2:$FW$9</definedName>
    <definedName name="districts_STT_868_HongNgu">Wards!$BW$2:$BW$7</definedName>
    <definedName name="districts_STT_869_TanHong">Wards!$LM$2:$LM$9</definedName>
    <definedName name="districts_STT_870_HongNgu">Wards!$UE$2:$UE$10</definedName>
    <definedName name="districts_STT_871_TamNong">Wards!$TC$2:$TC$12</definedName>
    <definedName name="districts_STT_872_ThapMuoi">Wards!$QG$2:$QG$13</definedName>
    <definedName name="districts_STT_873_CaoLanh">Wards!$AO$2:$AO$18</definedName>
    <definedName name="districts_STT_874_ThanhBinh">Wards!$XP$2:$XP$13</definedName>
    <definedName name="districts_STT_875_LapVo">Wards!$PG$2:$PG$13</definedName>
    <definedName name="districts_STT_876_LaiVung">Wards!$JM$2:$JM$12</definedName>
    <definedName name="districts_STT_877_ChauThanh">Wards!$RW$2:$RW$12</definedName>
    <definedName name="districts_STT_883_LongXuyen">Wards!$TP$2:$TP$13</definedName>
    <definedName name="districts_STT_884_ChauDoc">Wards!$OZ$2:$OZ$7</definedName>
    <definedName name="districts_STT_886_AnPhu">Wards!$LB$2:$LB$14</definedName>
    <definedName name="districts_STT_887_TanChau">Wards!$NH$2:$NH$14</definedName>
    <definedName name="districts_STT_888_PhuTan">Wards!$QW$2:$QW$18</definedName>
    <definedName name="districts_STT_889_ChauPhu">Wards!$ZM$2:$ZM$13</definedName>
    <definedName name="districts_STT_890_TinhBien">Wards!$SW$2:$SW$14</definedName>
    <definedName name="districts_STT_891_TriTon">Wards!$SS$2:$SS$15</definedName>
    <definedName name="districts_STT_892_ChauThanh">Wards!$W$2:$W$13</definedName>
    <definedName name="districts_STT_893_ChoMoi">Wards!$DS$2:$DS$18</definedName>
    <definedName name="districts_STT_894_ThoaiSon">Wards!$RJ$2:$RJ$17</definedName>
    <definedName name="districts_STT_899_RachGia">Wards!$ZN$2:$ZN$12</definedName>
    <definedName name="districts_STT_900_HaTien">Wards!$FP$2:$FP$7</definedName>
    <definedName name="districts_STT_902_KienLuong">Wards!$WT$2:$WT$8</definedName>
    <definedName name="districts_STT_903_HonDat">Wards!$WG$2:$WG$14</definedName>
    <definedName name="districts_STT_904_TanHiep">Wards!$GE$2:$GE$11</definedName>
    <definedName name="districts_STT_905_ChauThanh">Wards!$QU$2:$QU$10</definedName>
    <definedName name="districts_STT_906_GiongRieng">Wards!$KP$2:$KP$19</definedName>
    <definedName name="districts_STT_907_GoQuao">Wards!$GU$2:$GU$11</definedName>
    <definedName name="districts_STT_908_AnBien">Wards!$RT$2:$RT$9</definedName>
    <definedName name="districts_STT_909_AnMinh">Wards!$TU$2:$TU$11</definedName>
    <definedName name="districts_STT_910_VinhThuan">Wards!$MR$2:$MR$8</definedName>
    <definedName name="districts_STT_911_PhuQuoc">Wards!$EO$2:$EO$9</definedName>
    <definedName name="districts_STT_912_KienHai">Wards!$TF$2:$TF$4</definedName>
    <definedName name="districts_STT_913_UMinhThuong">Wards!$SA$2:$SA$6</definedName>
    <definedName name="districts_STT_914_GiangThanh">Wards!$NC$2:$NC$5</definedName>
    <definedName name="districts_STT_916_NinhKieu">Wards!$GR$2:$GR$11</definedName>
    <definedName name="districts_STT_917_OMon">Wards!$QJ$2:$QJ$7</definedName>
    <definedName name="districts_STT_918_BinhThuy">Wards!$JV$2:$JV$8</definedName>
    <definedName name="districts_STT_919_CaiRang">Wards!$IZ$2:$IZ$7</definedName>
    <definedName name="districts_STT_923_ThotNot">Wards!$SO$2:$SO$9</definedName>
    <definedName name="districts_STT_924_VinhThanh">Wards!$XV$2:$XV$11</definedName>
    <definedName name="districts_STT_925_CoDo">Wards!$B$2:$B$10</definedName>
    <definedName name="districts_STT_926_PhongDien">Wards!$VV$2:$VV$7</definedName>
    <definedName name="districts_STT_927_ThoiLai">Wards!$DO$2:$DO$13</definedName>
    <definedName name="districts_STT_930_ViThanh">Wards!$KG$2:$KG$9</definedName>
    <definedName name="districts_STT_931_NgaBay">Wards!$PB$2:$PB$6</definedName>
    <definedName name="districts_STT_932_ChauThanhA">Wards!$AB$2:$AB$10</definedName>
    <definedName name="districts_STT_933_ChauThanh">Wards!$EX$2:$EX$8</definedName>
    <definedName name="districts_STT_934_PhungHiep">Wards!$PY$2:$PY$15</definedName>
    <definedName name="districts_STT_935_ViThuy">Wards!$HS$2:$HS$10</definedName>
    <definedName name="districts_STT_936_LongMy">Wards!$KJ$2:$KJ$8</definedName>
    <definedName name="districts_STT_937_LongMy">Wards!$EY$2:$EY$9</definedName>
    <definedName name="districts_STT_941_SocTrang">Wards!$CH$2:$CH$9</definedName>
    <definedName name="districts_STT_942_ChauThanh">Wards!$VW$2:$VW$8</definedName>
    <definedName name="districts_STT_943_KeSach">Wards!$VN$2:$VN$13</definedName>
    <definedName name="districts_STT_944_MyTu">Wards!$UM$2:$UM$9</definedName>
    <definedName name="districts_STT_945_CuLaoDung">Wards!$GI$2:$GI$8</definedName>
    <definedName name="districts_STT_946_LongPhu">Wards!$FG$2:$FG$11</definedName>
    <definedName name="districts_STT_947_MyXuyen">Wards!$LT$2:$LT$11</definedName>
    <definedName name="districts_STT_948_NgaNam">Wards!$SN$2:$SN$8</definedName>
    <definedName name="districts_STT_949_ThanhTri">Wards!$FR$2:$FR$10</definedName>
    <definedName name="districts_STT_950_VinhChau">Wards!$SE$2:$SE$10</definedName>
    <definedName name="districts_STT_951_TranDe">Wards!$GM$2:$GM$11</definedName>
    <definedName name="districts_STT_954_BacLieu">Wards!$ZR$2:$ZR$10</definedName>
    <definedName name="districts_STT_956_HongDan">Wards!$LR$2:$LR$9</definedName>
    <definedName name="districts_STT_957_PhuocLong">Wards!$QH$2:$QH$8</definedName>
    <definedName name="districts_STT_958_VinhLoi">Wards!$ON$2:$ON$8</definedName>
    <definedName name="districts_STT_959_GiaRai">Wards!$RS$2:$RS$10</definedName>
    <definedName name="districts_STT_960_DongHai">Wards!$LY$2:$LY$11</definedName>
    <definedName name="districts_STT_961_HoaBinh">Wards!$OD$2:$OD$8</definedName>
    <definedName name="districts_STT_964_CaMau">Wards!$LC$2:$LC$17</definedName>
    <definedName name="districts_STT_966_UMinh">Wards!$HV$2:$HV$8</definedName>
    <definedName name="districts_STT_967_ThoiBinh">Wards!$FN$2:$FN$12</definedName>
    <definedName name="districts_STT_968_TranVanThoi">Wards!$GG$2:$GG$13</definedName>
    <definedName name="districts_STT_969_CaiNuoc">Wards!$LG$2:$LG$11</definedName>
    <definedName name="districts_STT_970_DamDoi">Wards!$AU$2:$AU$16</definedName>
    <definedName name="districts_STT_971_NamCan">Wards!$HH$2:$HH$8</definedName>
    <definedName name="districts_STT_972_PhuTan">Wards!$JE$2:$JE$9</definedName>
    <definedName name="districts_STT_973_NgocHien">Wards!$FA$2:$FA$7</definedName>
    <definedName name="documents_STT_11_Phongbanso1Viendaotaoquocte">DocumentAttacks!$C$2:$C$4</definedName>
    <definedName name="documents_STT_12_Phongbanso2Viendaotaoquocte1">DocumentAttacks!$A$2:$A$4</definedName>
    <definedName name="documents_STT_8_VienDaotaoQuocteveKhoahocVatlieuITIMS">DocumentAttacks!$B$2:$B$4</definedName>
    <definedName name="location_STT_11_Phongbanso1Viendaotaoquocte">Location!$C$2:$C$3</definedName>
    <definedName name="location_STT_12_Phongbanso2Viendaotaoquocte1">Location!$A$2:$A$3</definedName>
    <definedName name="location_STT_8_VienDaotaoQuocteveKhoahocVatlieuITIMS">Location!$B$2:$B$4</definedName>
    <definedName name="original_STT_10_Quyensudungdat">Original!$A$2:$A$7</definedName>
    <definedName name="original_STT_3_Nhacongtrinhxaydung">Original!$F$2:$F$7</definedName>
    <definedName name="original_STT_4_Vatkientruc">Original!$G$2:$G$7</definedName>
    <definedName name="original_STT_5_Xeoto">Original!$C$2:$C$7</definedName>
    <definedName name="original_STT_6_Phuongtienvantaikhac">Original!$D$2:$D$7</definedName>
    <definedName name="original_STT_7_Maymocthietbi">Original!$H$2:$H$7</definedName>
    <definedName name="original_STT_8_Caylaunamsucvatlamviec">Original!$E$2:$E$7</definedName>
    <definedName name="original_STT_9_Taisancodinhhuuhinhkhac">Original!$B$2:$B$7</definedName>
    <definedName name="provinces_STT_01_HaNoi">Districts!$BE$2:$BE$30</definedName>
    <definedName name="provinces_STT_02_HaGiang">Districts!$S$2:$S$11</definedName>
    <definedName name="provinces_STT_04_CaoBang">Districts!$V$2:$V$10</definedName>
    <definedName name="provinces_STT_06_BacKan">Districts!$BJ$2:$BJ$8</definedName>
    <definedName name="provinces_STT_08_TuyenQuang">Districts!$E$2:$E$7</definedName>
    <definedName name="provinces_STT_10_LaoCai">Districts!$AS$2:$AS$9</definedName>
    <definedName name="provinces_STT_11_DienBien">Districts!$P$2:$P$10</definedName>
    <definedName name="provinces_STT_12_LaiChau">Districts!$R$2:$R$8</definedName>
    <definedName name="provinces_STT_14_SonLa">Districts!$BF$2:$BF$12</definedName>
    <definedName name="provinces_STT_15_YenBai">Districts!$AX$2:$AX$9</definedName>
    <definedName name="provinces_STT_17_HoaBinh">Districts!$F$2:$F$10</definedName>
    <definedName name="provinces_STT_19_ThaiNguyen">Districts!$BB$2:$BB$9</definedName>
    <definedName name="provinces_STT_20_LangSon">Districts!$Q$2:$Q$11</definedName>
    <definedName name="provinces_STT_22_QuangNinh">Districts!$BH$2:$BH$13</definedName>
    <definedName name="provinces_STT_24_BacGiang">Districts!$AB$2:$AB$10</definedName>
    <definedName name="provinces_STT_25_PhuTho">Districts!$AL$2:$AL$13</definedName>
    <definedName name="provinces_STT_26_VinhPhuc">Districts!$AT$2:$AT$9</definedName>
    <definedName name="provinces_STT_27_BacNinh">Districts!$AG$2:$AG$8</definedName>
    <definedName name="provinces_STT_30_HaiDuong">Districts!$AK$2:$AK$12</definedName>
    <definedName name="provinces_STT_31_HaiPhong">Districts!$AJ$2:$AJ$14</definedName>
    <definedName name="provinces_STT_33_HungYen">Districts!$O$2:$O$10</definedName>
    <definedName name="provinces_STT_34_ThaiBinh">Districts!$A$2:$A$8</definedName>
    <definedName name="provinces_STT_35_HaNam">Districts!$W$2:$W$6</definedName>
    <definedName name="provinces_STT_36_NamDinh">Districts!$K$2:$K$9</definedName>
    <definedName name="provinces_STT_37_NinhBinh">Districts!$T$2:$T$8</definedName>
    <definedName name="provinces_STT_38_ThanhHoa">Districts!$AU$2:$AU$27</definedName>
    <definedName name="provinces_STT_40_NgheAn">Districts!$AF$2:$AF$21</definedName>
    <definedName name="provinces_STT_42_HaTinh">Districts!$AN$2:$AN$13</definedName>
    <definedName name="provinces_STT_44_QuangBinh">Districts!$AO$2:$AO$8</definedName>
    <definedName name="provinces_STT_45_QuangTri">Districts!$L$2:$L$9</definedName>
    <definedName name="provinces_STT_46_ThuaThienHue">Districts!$J$2:$J$9</definedName>
    <definedName name="provinces_STT_48_DaNang">Districts!$BG$2:$BG$7</definedName>
    <definedName name="provinces_STT_49_QuangNam">Districts!$U$2:$U$18</definedName>
    <definedName name="provinces_STT_51_QuangNgai">Districts!$AZ$2:$AZ$12</definedName>
    <definedName name="provinces_STT_52_BinhDinh">Districts!$Y$2:$Y$11</definedName>
    <definedName name="provinces_STT_54_PhuYen">Districts!$AQ$2:$AQ$9</definedName>
    <definedName name="provinces_STT_56_KhanhHoa">Districts!$M$2:$M$9</definedName>
    <definedName name="provinces_STT_58_NinhThuan">Districts!$B$2:$B$7</definedName>
    <definedName name="provinces_STT_60_BinhThuan">Districts!$BD$2:$BD$10</definedName>
    <definedName name="provinces_STT_62_KonTum">Districts!$AH$2:$AH$10</definedName>
    <definedName name="provinces_STT_64_GiaLai">Districts!$N$2:$N$17</definedName>
    <definedName name="provinces_STT_66_DakLak">Districts!$BI$2:$BI$15</definedName>
    <definedName name="provinces_STT_67_DakNong">Districts!$BA$2:$BA$8</definedName>
    <definedName name="provinces_STT_68_LamDong">Districts!$AM$2:$AM$12</definedName>
    <definedName name="provinces_STT_70_BinhPhuoc">Districts!$G$2:$G$11</definedName>
    <definedName name="provinces_STT_72_TayNinh">Districts!$D$2:$D$9</definedName>
    <definedName name="provinces_STT_74_BinhDuong">Districts!$AE$2:$AE$9</definedName>
    <definedName name="provinces_STT_75_DongNai">Districts!$BK$2:$BK$11</definedName>
    <definedName name="provinces_STT_77_BaRiaVungTau">Districts!$C$2:$C$7</definedName>
    <definedName name="provinces_STT_79_HoChiMinh">Districts!$H$2:$H$22</definedName>
    <definedName name="provinces_STT_80_LongAn">Districts!$AI$2:$AI$15</definedName>
    <definedName name="provinces_STT_82_TienGiang">Districts!$AW$2:$AW$11</definedName>
    <definedName name="provinces_STT_83_BenTre">Districts!$AP$2:$AP$9</definedName>
    <definedName name="provinces_STT_84_TraVinh">Districts!$I$2:$I$9</definedName>
    <definedName name="provinces_STT_86_VinhLong">Districts!$X$2:$X$8</definedName>
    <definedName name="provinces_STT_87_DongThap">Districts!$AD$2:$AD$12</definedName>
    <definedName name="provinces_STT_89_AnGiang">Districts!$AV$2:$AV$11</definedName>
    <definedName name="provinces_STT_91_KienGiang">Districts!$AA$2:$AA$15</definedName>
    <definedName name="provinces_STT_92_CanTho">Districts!$BC$2:$BC$9</definedName>
    <definedName name="provinces_STT_93_HauGiang">Districts!$AY$2:$AY$8</definedName>
    <definedName name="provinces_STT_94_SocTrang">Districts!$AC$2:$AC$11</definedName>
    <definedName name="provinces_STT_95_BacLieu">Districts!$AR$2:$AR$7</definedName>
    <definedName name="provinces_STT_96_CaMau">Districts!$Z$2:$Z$9</definedName>
    <definedName name="unit_STT_10_Quyensudungdat">Units!$A$2:$A$5</definedName>
    <definedName name="unit_STT_3_Nhacongtrinhxaydung">Units!$F$2:$F$4</definedName>
    <definedName name="unit_STT_4_Vatkientruc">Units!$G$2:$G$5</definedName>
    <definedName name="unit_STT_5_Xeoto">Units!$C$2:$C$5</definedName>
    <definedName name="unit_STT_6_Phuongtienvantaikhac">Units!$D$2:$D$5</definedName>
    <definedName name="unit_STT_7_Maymocthietbi">Units!$H$2:$H$5</definedName>
    <definedName name="unit_STT_8_Caylaunamsucvatlamviec">Units!$E$2:$E$5</definedName>
    <definedName name="unit_STT_9_Taisancodinhhuuhinhkhac">Units!$B$2:$B$5</definedName>
    <definedName name="userused_STT_8_VienDaotaoQuocteveKhoahocVatlieuITIMS">Original!$A$2:$A$7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O4" i="1" l="1"/>
  <c r="DO5" i="1"/>
  <c r="DO6" i="1"/>
  <c r="DO7" i="1"/>
  <c r="DO8" i="1"/>
  <c r="DO9" i="1"/>
  <c r="DO10" i="1"/>
  <c r="DO11" i="1"/>
  <c r="DO12" i="1"/>
  <c r="DO13" i="1"/>
  <c r="DO14" i="1"/>
  <c r="DO15" i="1"/>
  <c r="DO16" i="1"/>
  <c r="DO17" i="1"/>
  <c r="DO18" i="1"/>
  <c r="DO19" i="1"/>
  <c r="DO20" i="1"/>
  <c r="DO21" i="1"/>
  <c r="DO22" i="1"/>
  <c r="DO23" i="1"/>
  <c r="DO24" i="1"/>
  <c r="DO25" i="1"/>
  <c r="DO26" i="1"/>
  <c r="DO27" i="1"/>
  <c r="DO28" i="1"/>
  <c r="DO29" i="1"/>
  <c r="DO30" i="1"/>
  <c r="DO31" i="1"/>
  <c r="DO32" i="1"/>
  <c r="DO33" i="1"/>
  <c r="DO34" i="1"/>
  <c r="DO35" i="1"/>
  <c r="DO36" i="1"/>
  <c r="DO37" i="1"/>
  <c r="DO38" i="1"/>
  <c r="DO39" i="1"/>
  <c r="DO40" i="1"/>
  <c r="DO41" i="1"/>
  <c r="DO42" i="1"/>
  <c r="DO43" i="1"/>
  <c r="DO44" i="1"/>
  <c r="DO45" i="1"/>
  <c r="DO46" i="1"/>
  <c r="DO47" i="1"/>
  <c r="DO48" i="1"/>
  <c r="DO49" i="1"/>
  <c r="DO50" i="1"/>
  <c r="DO51" i="1"/>
  <c r="DO52" i="1"/>
  <c r="DO53" i="1"/>
  <c r="DO54" i="1"/>
  <c r="DO55" i="1"/>
  <c r="DO56" i="1"/>
  <c r="DO57" i="1"/>
  <c r="DO58" i="1"/>
  <c r="DO59" i="1"/>
  <c r="DO60" i="1"/>
  <c r="DO61" i="1"/>
  <c r="DO62" i="1"/>
  <c r="DO63" i="1"/>
  <c r="DO64" i="1"/>
  <c r="DO65" i="1"/>
  <c r="DO66" i="1"/>
  <c r="DO67" i="1"/>
  <c r="DO68" i="1"/>
  <c r="DO69" i="1"/>
  <c r="DO70" i="1"/>
  <c r="DO71" i="1"/>
  <c r="DO72" i="1"/>
  <c r="DO73" i="1"/>
  <c r="DO74" i="1"/>
  <c r="DO75" i="1"/>
  <c r="DO76" i="1"/>
  <c r="DO77" i="1"/>
  <c r="DO78" i="1"/>
  <c r="DO79" i="1"/>
  <c r="DO80" i="1"/>
  <c r="DO81" i="1"/>
  <c r="DO82" i="1"/>
  <c r="DO83" i="1"/>
  <c r="DO84" i="1"/>
  <c r="DO85" i="1"/>
  <c r="DO86" i="1"/>
  <c r="DO87" i="1"/>
  <c r="DO88" i="1"/>
  <c r="DO89" i="1"/>
  <c r="DO90" i="1"/>
  <c r="DO91" i="1"/>
  <c r="DO92" i="1"/>
  <c r="DO93" i="1"/>
  <c r="DO94" i="1"/>
  <c r="DO95" i="1"/>
  <c r="DO96" i="1"/>
  <c r="DO97" i="1"/>
  <c r="DO98" i="1"/>
  <c r="DO99" i="1"/>
  <c r="DO100" i="1"/>
  <c r="DO101" i="1"/>
  <c r="DO102" i="1"/>
  <c r="DO103" i="1"/>
  <c r="DO104" i="1"/>
  <c r="DO105" i="1"/>
  <c r="DO106" i="1"/>
  <c r="DO107" i="1"/>
  <c r="DO108" i="1"/>
  <c r="DO109" i="1"/>
  <c r="DO110" i="1"/>
  <c r="DO111" i="1"/>
  <c r="DO112" i="1"/>
  <c r="DO113" i="1"/>
  <c r="DO114" i="1"/>
  <c r="DO115" i="1"/>
  <c r="DO116" i="1"/>
  <c r="DO117" i="1"/>
  <c r="DO118" i="1"/>
  <c r="DO119" i="1"/>
  <c r="DO120" i="1"/>
  <c r="DO121" i="1"/>
  <c r="DO122" i="1"/>
  <c r="DO123" i="1"/>
  <c r="DO124" i="1"/>
  <c r="DO125" i="1"/>
  <c r="DO126" i="1"/>
  <c r="DO127" i="1"/>
  <c r="DO128" i="1"/>
  <c r="DO129" i="1"/>
  <c r="DO130" i="1"/>
  <c r="DO131" i="1"/>
  <c r="DO132" i="1"/>
  <c r="DO133" i="1"/>
  <c r="DO134" i="1"/>
  <c r="DO135" i="1"/>
  <c r="DO136" i="1"/>
  <c r="DO137" i="1"/>
  <c r="DO138" i="1"/>
  <c r="DO139" i="1"/>
  <c r="DO140" i="1"/>
  <c r="DO141" i="1"/>
  <c r="DO142" i="1"/>
  <c r="DO143" i="1"/>
  <c r="DO144" i="1"/>
  <c r="DO145" i="1"/>
  <c r="DO146" i="1"/>
  <c r="DO147" i="1"/>
  <c r="DO148" i="1"/>
  <c r="DO149" i="1"/>
  <c r="DO150" i="1"/>
  <c r="DO151" i="1"/>
  <c r="DO152" i="1"/>
  <c r="DO153" i="1"/>
  <c r="DO154" i="1"/>
  <c r="DO155" i="1"/>
  <c r="DO156" i="1"/>
  <c r="DO157" i="1"/>
  <c r="DO158" i="1"/>
  <c r="DO159" i="1"/>
  <c r="DO160" i="1"/>
  <c r="DO161" i="1"/>
  <c r="DO162" i="1"/>
  <c r="DO163" i="1"/>
  <c r="DO164" i="1"/>
  <c r="DO165" i="1"/>
  <c r="DO166" i="1"/>
  <c r="DO167" i="1"/>
  <c r="DO168" i="1"/>
  <c r="DO169" i="1"/>
  <c r="DO170" i="1"/>
  <c r="DO171" i="1"/>
  <c r="DO172" i="1"/>
  <c r="DO173" i="1"/>
  <c r="DO174" i="1"/>
  <c r="DO175" i="1"/>
  <c r="DO176" i="1"/>
  <c r="DO177" i="1"/>
  <c r="DO178" i="1"/>
  <c r="DO179" i="1"/>
  <c r="DO180" i="1"/>
  <c r="DO181" i="1"/>
  <c r="DO182" i="1"/>
  <c r="DO183" i="1"/>
  <c r="DO184" i="1"/>
  <c r="DO185" i="1"/>
  <c r="DO186" i="1"/>
  <c r="DO187" i="1"/>
  <c r="DO188" i="1"/>
  <c r="DO189" i="1"/>
  <c r="DO190" i="1"/>
  <c r="DO191" i="1"/>
  <c r="DO192" i="1"/>
  <c r="DO193" i="1"/>
  <c r="DO194" i="1"/>
  <c r="DO195" i="1"/>
  <c r="DO196" i="1"/>
  <c r="DO197" i="1"/>
  <c r="DO198" i="1"/>
  <c r="DO199" i="1"/>
  <c r="DO200" i="1"/>
  <c r="DO201" i="1"/>
  <c r="DO202" i="1"/>
  <c r="DO203" i="1"/>
  <c r="DO204" i="1"/>
  <c r="DO205" i="1"/>
  <c r="DO206" i="1"/>
  <c r="DO207" i="1"/>
  <c r="DO208" i="1"/>
  <c r="DO209" i="1"/>
  <c r="DO210" i="1"/>
  <c r="DO211" i="1"/>
  <c r="DO212" i="1"/>
  <c r="DO213" i="1"/>
  <c r="DO214" i="1"/>
  <c r="DO215" i="1"/>
  <c r="DO216" i="1"/>
  <c r="DO217" i="1"/>
  <c r="DO218" i="1"/>
  <c r="DO219" i="1"/>
  <c r="DO220" i="1"/>
  <c r="DO221" i="1"/>
  <c r="DO222" i="1"/>
  <c r="DO223" i="1"/>
  <c r="DO224" i="1"/>
  <c r="DO225" i="1"/>
  <c r="DO226" i="1"/>
  <c r="DO227" i="1"/>
  <c r="DO228" i="1"/>
  <c r="DO229" i="1"/>
  <c r="DO230" i="1"/>
  <c r="DO231" i="1"/>
  <c r="DO232" i="1"/>
  <c r="DO233" i="1"/>
  <c r="DO234" i="1"/>
  <c r="DO235" i="1"/>
  <c r="DO236" i="1"/>
  <c r="DO237" i="1"/>
  <c r="DO238" i="1"/>
  <c r="DO239" i="1"/>
  <c r="DO240" i="1"/>
  <c r="DO241" i="1"/>
  <c r="DO242" i="1"/>
  <c r="DO243" i="1"/>
  <c r="DO244" i="1"/>
  <c r="DO245" i="1"/>
  <c r="DO246" i="1"/>
  <c r="DO247" i="1"/>
  <c r="DO248" i="1"/>
  <c r="DO249" i="1"/>
  <c r="DO250" i="1"/>
  <c r="DO251" i="1"/>
  <c r="DO252" i="1"/>
  <c r="DO253" i="1"/>
  <c r="DO254" i="1"/>
  <c r="DO255" i="1"/>
  <c r="DO256" i="1"/>
  <c r="DO257" i="1"/>
  <c r="DO258" i="1"/>
  <c r="DO259" i="1"/>
  <c r="DO260" i="1"/>
  <c r="DO261" i="1"/>
  <c r="DO262" i="1"/>
  <c r="DO263" i="1"/>
  <c r="DO264" i="1"/>
  <c r="DO265" i="1"/>
  <c r="DO266" i="1"/>
  <c r="DO267" i="1"/>
  <c r="DO268" i="1"/>
  <c r="DO269" i="1"/>
  <c r="DO270" i="1"/>
  <c r="DO271" i="1"/>
  <c r="DO272" i="1"/>
  <c r="DO273" i="1"/>
  <c r="DO274" i="1"/>
  <c r="DO275" i="1"/>
  <c r="DO276" i="1"/>
  <c r="DO277" i="1"/>
  <c r="DO278" i="1"/>
  <c r="DO279" i="1"/>
  <c r="DO280" i="1"/>
  <c r="DO281" i="1"/>
  <c r="DO282" i="1"/>
  <c r="DO283" i="1"/>
  <c r="DO284" i="1"/>
  <c r="DO285" i="1"/>
  <c r="DO286" i="1"/>
  <c r="DO287" i="1"/>
  <c r="DO288" i="1"/>
  <c r="DO289" i="1"/>
  <c r="DO290" i="1"/>
  <c r="DO291" i="1"/>
  <c r="DO292" i="1"/>
  <c r="DO293" i="1"/>
  <c r="DO294" i="1"/>
  <c r="DO295" i="1"/>
  <c r="DO296" i="1"/>
  <c r="DO297" i="1"/>
  <c r="DO298" i="1"/>
  <c r="DO299" i="1"/>
  <c r="DO300" i="1"/>
  <c r="DO301" i="1"/>
  <c r="DO302" i="1"/>
  <c r="DO303" i="1"/>
  <c r="DO304" i="1"/>
  <c r="DO305" i="1"/>
  <c r="DO306" i="1"/>
  <c r="DO307" i="1"/>
  <c r="DO308" i="1"/>
  <c r="DO309" i="1"/>
  <c r="DO310" i="1"/>
  <c r="DO311" i="1"/>
  <c r="DO312" i="1"/>
  <c r="DO313" i="1"/>
  <c r="DO314" i="1"/>
  <c r="DO315" i="1"/>
  <c r="DO316" i="1"/>
  <c r="DO317" i="1"/>
  <c r="DO318" i="1"/>
  <c r="DO319" i="1"/>
  <c r="DO320" i="1"/>
  <c r="DO321" i="1"/>
  <c r="DO322" i="1"/>
  <c r="DO323" i="1"/>
  <c r="DO324" i="1"/>
  <c r="DO325" i="1"/>
  <c r="DO326" i="1"/>
  <c r="DO327" i="1"/>
  <c r="DO328" i="1"/>
  <c r="DO329" i="1"/>
  <c r="DO330" i="1"/>
  <c r="DO331" i="1"/>
  <c r="DO332" i="1"/>
  <c r="DO333" i="1"/>
  <c r="DO334" i="1"/>
  <c r="DO335" i="1"/>
  <c r="DO336" i="1"/>
  <c r="DO337" i="1"/>
  <c r="DO338" i="1"/>
  <c r="DO339" i="1"/>
  <c r="DO340" i="1"/>
  <c r="DO341" i="1"/>
  <c r="DO342" i="1"/>
  <c r="DO343" i="1"/>
  <c r="DO344" i="1"/>
  <c r="DO345" i="1"/>
  <c r="DO346" i="1"/>
  <c r="DO347" i="1"/>
  <c r="DO348" i="1"/>
  <c r="DO349" i="1"/>
  <c r="DO350" i="1"/>
  <c r="DO351" i="1"/>
  <c r="DO352" i="1"/>
  <c r="DO353" i="1"/>
  <c r="DO354" i="1"/>
  <c r="DO355" i="1"/>
  <c r="DO356" i="1"/>
  <c r="DO357" i="1"/>
  <c r="DO358" i="1"/>
  <c r="DO359" i="1"/>
  <c r="DO360" i="1"/>
  <c r="DO361" i="1"/>
  <c r="DO362" i="1"/>
  <c r="DO363" i="1"/>
  <c r="DO364" i="1"/>
  <c r="DO365" i="1"/>
  <c r="DO366" i="1"/>
  <c r="DO367" i="1"/>
  <c r="DO368" i="1"/>
  <c r="DO369" i="1"/>
  <c r="DO370" i="1"/>
  <c r="DO371" i="1"/>
  <c r="DO372" i="1"/>
  <c r="DO373" i="1"/>
  <c r="DO374" i="1"/>
  <c r="DO375" i="1"/>
  <c r="DO376" i="1"/>
  <c r="DO377" i="1"/>
  <c r="DO378" i="1"/>
  <c r="DO379" i="1"/>
  <c r="DO380" i="1"/>
  <c r="DO381" i="1"/>
  <c r="DO382" i="1"/>
  <c r="DO383" i="1"/>
  <c r="DO384" i="1"/>
  <c r="DO385" i="1"/>
  <c r="DO386" i="1"/>
  <c r="DO387" i="1"/>
  <c r="DO388" i="1"/>
  <c r="DO389" i="1"/>
  <c r="DO390" i="1"/>
  <c r="DO391" i="1"/>
  <c r="DO392" i="1"/>
  <c r="DO393" i="1"/>
  <c r="DO394" i="1"/>
  <c r="DO395" i="1"/>
  <c r="DO396" i="1"/>
  <c r="DO397" i="1"/>
  <c r="DO398" i="1"/>
  <c r="DO399" i="1"/>
  <c r="DO400" i="1"/>
  <c r="DO401" i="1"/>
  <c r="DO402" i="1"/>
  <c r="DO403" i="1"/>
  <c r="DO404" i="1"/>
  <c r="DO405" i="1"/>
  <c r="DO406" i="1"/>
  <c r="DO407" i="1"/>
  <c r="DO408" i="1"/>
  <c r="DO409" i="1"/>
  <c r="DO410" i="1"/>
  <c r="DO411" i="1"/>
  <c r="DO412" i="1"/>
  <c r="DO413" i="1"/>
  <c r="DO414" i="1"/>
  <c r="DO415" i="1"/>
  <c r="DO416" i="1"/>
  <c r="DO417" i="1"/>
  <c r="DO418" i="1"/>
  <c r="DO419" i="1"/>
  <c r="DO420" i="1"/>
  <c r="DO421" i="1"/>
  <c r="DO422" i="1"/>
  <c r="DO423" i="1"/>
  <c r="DO424" i="1"/>
  <c r="DO425" i="1"/>
  <c r="DO426" i="1"/>
  <c r="DO427" i="1"/>
  <c r="DO428" i="1"/>
  <c r="DO429" i="1"/>
  <c r="DO430" i="1"/>
  <c r="DO431" i="1"/>
  <c r="DO432" i="1"/>
  <c r="DO433" i="1"/>
  <c r="DO434" i="1"/>
  <c r="DO435" i="1"/>
  <c r="DO436" i="1"/>
  <c r="DO437" i="1"/>
  <c r="DO438" i="1"/>
  <c r="DO439" i="1"/>
  <c r="DO440" i="1"/>
  <c r="DO441" i="1"/>
  <c r="DO442" i="1"/>
  <c r="DO443" i="1"/>
  <c r="DO444" i="1"/>
  <c r="DO445" i="1"/>
  <c r="DO446" i="1"/>
  <c r="DO447" i="1"/>
  <c r="DO448" i="1"/>
  <c r="DO449" i="1"/>
  <c r="DO450" i="1"/>
  <c r="DO451" i="1"/>
  <c r="DO452" i="1"/>
  <c r="DO453" i="1"/>
  <c r="DO454" i="1"/>
  <c r="DO455" i="1"/>
  <c r="DO456" i="1"/>
  <c r="DO457" i="1"/>
  <c r="DO458" i="1"/>
  <c r="DO459" i="1"/>
  <c r="DO460" i="1"/>
  <c r="DO461" i="1"/>
  <c r="DO462" i="1"/>
  <c r="DO463" i="1"/>
  <c r="DO464" i="1"/>
  <c r="DO465" i="1"/>
  <c r="DO466" i="1"/>
  <c r="DO467" i="1"/>
  <c r="DO468" i="1"/>
  <c r="DO469" i="1"/>
  <c r="DO470" i="1"/>
  <c r="DO471" i="1"/>
  <c r="DO472" i="1"/>
  <c r="DO473" i="1"/>
  <c r="DO474" i="1"/>
  <c r="DO475" i="1"/>
  <c r="DO476" i="1"/>
  <c r="DO477" i="1"/>
  <c r="DO478" i="1"/>
  <c r="DO479" i="1"/>
  <c r="DO480" i="1"/>
  <c r="DO481" i="1"/>
  <c r="DO482" i="1"/>
  <c r="DO483" i="1"/>
  <c r="DO484" i="1"/>
  <c r="DO485" i="1"/>
  <c r="DO486" i="1"/>
  <c r="DO487" i="1"/>
  <c r="DO488" i="1"/>
  <c r="DO489" i="1"/>
  <c r="DO490" i="1"/>
  <c r="DO491" i="1"/>
  <c r="DO492" i="1"/>
  <c r="DO493" i="1"/>
  <c r="DO494" i="1"/>
  <c r="DO495" i="1"/>
  <c r="DO496" i="1"/>
  <c r="DO497" i="1"/>
  <c r="DO498" i="1"/>
  <c r="DO499" i="1"/>
  <c r="DO500" i="1"/>
  <c r="DO501" i="1"/>
  <c r="DO502" i="1"/>
  <c r="DO503" i="1"/>
  <c r="DO504" i="1"/>
  <c r="DO505" i="1"/>
  <c r="DO506" i="1"/>
  <c r="DO507" i="1"/>
  <c r="DO508" i="1"/>
  <c r="DO509" i="1"/>
  <c r="DO510" i="1"/>
  <c r="DO511" i="1"/>
  <c r="DO512" i="1"/>
  <c r="DO513" i="1"/>
  <c r="DO514" i="1"/>
  <c r="DO515" i="1"/>
  <c r="DO516" i="1"/>
  <c r="DO517" i="1"/>
  <c r="DO518" i="1"/>
  <c r="DO519" i="1"/>
  <c r="DO520" i="1"/>
  <c r="DO521" i="1"/>
  <c r="DO522" i="1"/>
  <c r="DO523" i="1"/>
  <c r="DO524" i="1"/>
  <c r="DO525" i="1"/>
  <c r="DO526" i="1"/>
  <c r="DO527" i="1"/>
  <c r="DO528" i="1"/>
  <c r="DO529" i="1"/>
  <c r="DO530" i="1"/>
  <c r="DO531" i="1"/>
  <c r="DO532" i="1"/>
  <c r="DO533" i="1"/>
  <c r="DO534" i="1"/>
  <c r="DO535" i="1"/>
  <c r="DO536" i="1"/>
  <c r="DO537" i="1"/>
  <c r="DO538" i="1"/>
  <c r="DO539" i="1"/>
  <c r="DO540" i="1"/>
  <c r="DO541" i="1"/>
  <c r="DO542" i="1"/>
  <c r="DO543" i="1"/>
  <c r="DO544" i="1"/>
  <c r="DO545" i="1"/>
  <c r="DO546" i="1"/>
  <c r="DO547" i="1"/>
  <c r="DO548" i="1"/>
  <c r="DO549" i="1"/>
  <c r="DO550" i="1"/>
  <c r="DO551" i="1"/>
  <c r="DO552" i="1"/>
  <c r="DO553" i="1"/>
  <c r="DO554" i="1"/>
  <c r="DO555" i="1"/>
  <c r="DO556" i="1"/>
  <c r="DO557" i="1"/>
  <c r="DO558" i="1"/>
  <c r="DO559" i="1"/>
  <c r="DO560" i="1"/>
  <c r="DO561" i="1"/>
  <c r="DO562" i="1"/>
  <c r="DO563" i="1"/>
  <c r="DO564" i="1"/>
  <c r="DO565" i="1"/>
  <c r="DO566" i="1"/>
  <c r="DO567" i="1"/>
  <c r="DO568" i="1"/>
  <c r="DO569" i="1"/>
  <c r="DO570" i="1"/>
  <c r="DO571" i="1"/>
  <c r="DO572" i="1"/>
  <c r="DO573" i="1"/>
  <c r="DO574" i="1"/>
  <c r="DO575" i="1"/>
  <c r="DO576" i="1"/>
  <c r="DO577" i="1"/>
  <c r="DO578" i="1"/>
  <c r="DO579" i="1"/>
  <c r="DO580" i="1"/>
  <c r="DO581" i="1"/>
  <c r="DO582" i="1"/>
  <c r="DO583" i="1"/>
  <c r="DO584" i="1"/>
  <c r="DO585" i="1"/>
  <c r="DO586" i="1"/>
  <c r="DO587" i="1"/>
  <c r="DO588" i="1"/>
  <c r="DO589" i="1"/>
  <c r="DO590" i="1"/>
  <c r="DO591" i="1"/>
  <c r="DO592" i="1"/>
  <c r="DO593" i="1"/>
  <c r="DO594" i="1"/>
  <c r="DO595" i="1"/>
  <c r="DO596" i="1"/>
  <c r="DO597" i="1"/>
  <c r="DO598" i="1"/>
  <c r="DO599" i="1"/>
  <c r="DO600" i="1"/>
  <c r="DO601" i="1"/>
  <c r="DO602" i="1"/>
  <c r="DO603" i="1"/>
  <c r="DO604" i="1"/>
  <c r="DO605" i="1"/>
  <c r="DO606" i="1"/>
  <c r="DO607" i="1"/>
  <c r="DO608" i="1"/>
  <c r="DO609" i="1"/>
  <c r="DO610" i="1"/>
  <c r="DO611" i="1"/>
  <c r="DO612" i="1"/>
  <c r="DO613" i="1"/>
  <c r="DO614" i="1"/>
  <c r="DO615" i="1"/>
  <c r="DO616" i="1"/>
  <c r="DO617" i="1"/>
  <c r="DO618" i="1"/>
  <c r="DO619" i="1"/>
  <c r="DO620" i="1"/>
  <c r="DO621" i="1"/>
  <c r="DO622" i="1"/>
  <c r="DO623" i="1"/>
  <c r="DO624" i="1"/>
  <c r="DO625" i="1"/>
  <c r="DO626" i="1"/>
  <c r="DO627" i="1"/>
  <c r="DO628" i="1"/>
  <c r="DO629" i="1"/>
  <c r="DO630" i="1"/>
  <c r="DO631" i="1"/>
  <c r="DO632" i="1"/>
  <c r="DO633" i="1"/>
  <c r="DO634" i="1"/>
  <c r="DO635" i="1"/>
  <c r="DO636" i="1"/>
  <c r="DO637" i="1"/>
  <c r="DO638" i="1"/>
  <c r="DO639" i="1"/>
  <c r="DO640" i="1"/>
  <c r="DO641" i="1"/>
  <c r="DO642" i="1"/>
  <c r="DO643" i="1"/>
  <c r="DO644" i="1"/>
  <c r="DO645" i="1"/>
  <c r="DO646" i="1"/>
  <c r="DO647" i="1"/>
  <c r="DO648" i="1"/>
  <c r="DO649" i="1"/>
  <c r="DO650" i="1"/>
  <c r="DO651" i="1"/>
  <c r="DO652" i="1"/>
  <c r="DO653" i="1"/>
  <c r="DO654" i="1"/>
  <c r="DO655" i="1"/>
  <c r="DO656" i="1"/>
  <c r="DO657" i="1"/>
  <c r="DO658" i="1"/>
  <c r="DO659" i="1"/>
  <c r="DO660" i="1"/>
  <c r="DO661" i="1"/>
  <c r="DO662" i="1"/>
  <c r="DO663" i="1"/>
  <c r="DO664" i="1"/>
  <c r="DO665" i="1"/>
  <c r="DO666" i="1"/>
  <c r="DO667" i="1"/>
  <c r="DO668" i="1"/>
  <c r="DO669" i="1"/>
  <c r="DO670" i="1"/>
  <c r="DO671" i="1"/>
  <c r="DO672" i="1"/>
  <c r="DO673" i="1"/>
  <c r="DO674" i="1"/>
  <c r="DO675" i="1"/>
  <c r="DO676" i="1"/>
  <c r="DO677" i="1"/>
  <c r="DO678" i="1"/>
  <c r="DO679" i="1"/>
  <c r="DO680" i="1"/>
  <c r="DO681" i="1"/>
  <c r="DO682" i="1"/>
  <c r="DO683" i="1"/>
  <c r="DO684" i="1"/>
  <c r="DO685" i="1"/>
  <c r="DO686" i="1"/>
  <c r="DO687" i="1"/>
  <c r="DO688" i="1"/>
  <c r="DO689" i="1"/>
  <c r="DO690" i="1"/>
  <c r="DO691" i="1"/>
  <c r="DO692" i="1"/>
  <c r="DO693" i="1"/>
  <c r="DO694" i="1"/>
  <c r="DO695" i="1"/>
  <c r="DO696" i="1"/>
  <c r="DO697" i="1"/>
  <c r="DO698" i="1"/>
  <c r="DO699" i="1"/>
  <c r="DO700" i="1"/>
  <c r="DO701" i="1"/>
  <c r="DO702" i="1"/>
  <c r="DO703" i="1"/>
  <c r="DO704" i="1"/>
  <c r="DO705" i="1"/>
  <c r="DO706" i="1"/>
  <c r="DO707" i="1"/>
  <c r="DO708" i="1"/>
  <c r="DO709" i="1"/>
  <c r="DO710" i="1"/>
  <c r="DO711" i="1"/>
  <c r="DO712" i="1"/>
  <c r="DO713" i="1"/>
  <c r="DO714" i="1"/>
  <c r="DO715" i="1"/>
  <c r="DO716" i="1"/>
  <c r="DO717" i="1"/>
  <c r="DO718" i="1"/>
  <c r="DO719" i="1"/>
  <c r="DO720" i="1"/>
  <c r="DO721" i="1"/>
  <c r="DO722" i="1"/>
  <c r="DO723" i="1"/>
  <c r="DO724" i="1"/>
  <c r="DO725" i="1"/>
  <c r="DO726" i="1"/>
  <c r="DO727" i="1"/>
  <c r="DO728" i="1"/>
  <c r="DO729" i="1"/>
  <c r="DO730" i="1"/>
  <c r="DO731" i="1"/>
  <c r="DO732" i="1"/>
  <c r="DO733" i="1"/>
  <c r="DO734" i="1"/>
  <c r="DO735" i="1"/>
  <c r="DO736" i="1"/>
  <c r="DO737" i="1"/>
  <c r="DO738" i="1"/>
  <c r="DO739" i="1"/>
  <c r="DO740" i="1"/>
  <c r="DO741" i="1"/>
  <c r="DO742" i="1"/>
  <c r="DO743" i="1"/>
  <c r="DO744" i="1"/>
  <c r="DO745" i="1"/>
  <c r="DO746" i="1"/>
  <c r="DO747" i="1"/>
  <c r="DO748" i="1"/>
  <c r="DO749" i="1"/>
  <c r="DO750" i="1"/>
  <c r="DO751" i="1"/>
  <c r="DO752" i="1"/>
  <c r="DO753" i="1"/>
  <c r="DO754" i="1"/>
  <c r="DO755" i="1"/>
  <c r="DO756" i="1"/>
  <c r="DO757" i="1"/>
  <c r="DO758" i="1"/>
  <c r="DO759" i="1"/>
  <c r="DO760" i="1"/>
  <c r="DO761" i="1"/>
  <c r="DO762" i="1"/>
  <c r="DO763" i="1"/>
  <c r="DO764" i="1"/>
  <c r="DO765" i="1"/>
  <c r="DO766" i="1"/>
  <c r="DO767" i="1"/>
  <c r="DO768" i="1"/>
  <c r="DO769" i="1"/>
  <c r="DO770" i="1"/>
  <c r="DO771" i="1"/>
  <c r="DO772" i="1"/>
  <c r="DO773" i="1"/>
  <c r="DO774" i="1"/>
  <c r="DO775" i="1"/>
  <c r="DO776" i="1"/>
  <c r="DO777" i="1"/>
  <c r="DO778" i="1"/>
  <c r="DO779" i="1"/>
  <c r="DO780" i="1"/>
  <c r="DO781" i="1"/>
  <c r="DO782" i="1"/>
  <c r="DO783" i="1"/>
  <c r="DO784" i="1"/>
  <c r="DO785" i="1"/>
  <c r="DO786" i="1"/>
  <c r="DO787" i="1"/>
  <c r="DO788" i="1"/>
  <c r="DO789" i="1"/>
  <c r="DO790" i="1"/>
  <c r="DO791" i="1"/>
  <c r="DO792" i="1"/>
  <c r="DO793" i="1"/>
  <c r="DO794" i="1"/>
  <c r="DO795" i="1"/>
  <c r="DO796" i="1"/>
  <c r="DO797" i="1"/>
  <c r="DO798" i="1"/>
  <c r="DO799" i="1"/>
  <c r="DO800" i="1"/>
  <c r="DO801" i="1"/>
  <c r="DO802" i="1"/>
  <c r="DO803" i="1"/>
  <c r="DO804" i="1"/>
  <c r="DO805" i="1"/>
  <c r="DO806" i="1"/>
  <c r="DO807" i="1"/>
  <c r="DO808" i="1"/>
  <c r="DO809" i="1"/>
  <c r="DO810" i="1"/>
  <c r="DO811" i="1"/>
  <c r="DO812" i="1"/>
  <c r="DO813" i="1"/>
  <c r="DO814" i="1"/>
  <c r="DO815" i="1"/>
  <c r="DO816" i="1"/>
  <c r="DO817" i="1"/>
  <c r="DO818" i="1"/>
  <c r="DO819" i="1"/>
  <c r="DO820" i="1"/>
  <c r="DO821" i="1"/>
  <c r="DO822" i="1"/>
  <c r="DO823" i="1"/>
  <c r="DO824" i="1"/>
  <c r="DO825" i="1"/>
  <c r="DO826" i="1"/>
  <c r="DO827" i="1"/>
  <c r="DO828" i="1"/>
  <c r="DO829" i="1"/>
  <c r="DO830" i="1"/>
  <c r="DO831" i="1"/>
  <c r="DO832" i="1"/>
  <c r="DO833" i="1"/>
  <c r="DO834" i="1"/>
  <c r="DO835" i="1"/>
  <c r="DO836" i="1"/>
  <c r="DO837" i="1"/>
  <c r="DO838" i="1"/>
  <c r="DO839" i="1"/>
  <c r="DO840" i="1"/>
  <c r="DO841" i="1"/>
  <c r="DO842" i="1"/>
  <c r="DO843" i="1"/>
  <c r="DO844" i="1"/>
  <c r="DO845" i="1"/>
  <c r="DO846" i="1"/>
  <c r="DO847" i="1"/>
  <c r="DO848" i="1"/>
  <c r="DO849" i="1"/>
  <c r="DO850" i="1"/>
  <c r="DO851" i="1"/>
  <c r="DO852" i="1"/>
  <c r="DO853" i="1"/>
  <c r="DO854" i="1"/>
  <c r="DO855" i="1"/>
  <c r="DO856" i="1"/>
  <c r="DO857" i="1"/>
  <c r="DO858" i="1"/>
  <c r="DO859" i="1"/>
  <c r="DO860" i="1"/>
  <c r="DO861" i="1"/>
  <c r="DO862" i="1"/>
  <c r="DO863" i="1"/>
  <c r="DO864" i="1"/>
  <c r="DO865" i="1"/>
  <c r="DO866" i="1"/>
  <c r="DO867" i="1"/>
  <c r="DO868" i="1"/>
  <c r="DO869" i="1"/>
  <c r="DO870" i="1"/>
  <c r="DO871" i="1"/>
  <c r="DO872" i="1"/>
  <c r="DO873" i="1"/>
  <c r="DO874" i="1"/>
  <c r="DO875" i="1"/>
  <c r="DO876" i="1"/>
  <c r="DO877" i="1"/>
  <c r="DO878" i="1"/>
  <c r="DO879" i="1"/>
  <c r="DO880" i="1"/>
  <c r="DO881" i="1"/>
  <c r="DO882" i="1"/>
  <c r="DO883" i="1"/>
  <c r="DO884" i="1"/>
  <c r="DO885" i="1"/>
  <c r="DO886" i="1"/>
  <c r="DO887" i="1"/>
  <c r="DO888" i="1"/>
  <c r="DO889" i="1"/>
  <c r="DO890" i="1"/>
  <c r="DO891" i="1"/>
  <c r="DO892" i="1"/>
  <c r="DO893" i="1"/>
  <c r="DO894" i="1"/>
  <c r="DO895" i="1"/>
  <c r="DO896" i="1"/>
  <c r="DO897" i="1"/>
  <c r="DO898" i="1"/>
  <c r="DO899" i="1"/>
  <c r="DO900" i="1"/>
  <c r="DO901" i="1"/>
  <c r="DO902" i="1"/>
  <c r="DO903" i="1"/>
  <c r="DO904" i="1"/>
  <c r="DO905" i="1"/>
  <c r="DO906" i="1"/>
  <c r="DO907" i="1"/>
  <c r="DO908" i="1"/>
  <c r="DO909" i="1"/>
  <c r="DO910" i="1"/>
  <c r="DO911" i="1"/>
  <c r="DO912" i="1"/>
  <c r="DO913" i="1"/>
  <c r="DO914" i="1"/>
  <c r="DO915" i="1"/>
  <c r="DO916" i="1"/>
  <c r="DO917" i="1"/>
  <c r="DO918" i="1"/>
  <c r="DO919" i="1"/>
  <c r="DO920" i="1"/>
  <c r="DO921" i="1"/>
  <c r="DO922" i="1"/>
  <c r="DO923" i="1"/>
  <c r="DO924" i="1"/>
  <c r="DO925" i="1"/>
  <c r="DO926" i="1"/>
  <c r="DO927" i="1"/>
  <c r="DO928" i="1"/>
  <c r="DO929" i="1"/>
  <c r="DO930" i="1"/>
  <c r="DO931" i="1"/>
  <c r="DO932" i="1"/>
  <c r="DO933" i="1"/>
  <c r="DO934" i="1"/>
  <c r="DO935" i="1"/>
  <c r="DO936" i="1"/>
  <c r="DO937" i="1"/>
  <c r="DO938" i="1"/>
  <c r="DO939" i="1"/>
  <c r="DO940" i="1"/>
  <c r="DO941" i="1"/>
  <c r="DO942" i="1"/>
  <c r="DO943" i="1"/>
  <c r="DO944" i="1"/>
  <c r="DO945" i="1"/>
  <c r="DO946" i="1"/>
  <c r="DO947" i="1"/>
  <c r="DO948" i="1"/>
  <c r="DO949" i="1"/>
  <c r="DO950" i="1"/>
  <c r="DO951" i="1"/>
  <c r="DO952" i="1"/>
  <c r="DO953" i="1"/>
  <c r="DO954" i="1"/>
  <c r="DO955" i="1"/>
  <c r="DO956" i="1"/>
  <c r="DO957" i="1"/>
  <c r="DO958" i="1"/>
  <c r="DO959" i="1"/>
  <c r="DO960" i="1"/>
  <c r="DO961" i="1"/>
  <c r="DO962" i="1"/>
  <c r="DO963" i="1"/>
  <c r="DO964" i="1"/>
  <c r="DO965" i="1"/>
  <c r="DO966" i="1"/>
  <c r="DO967" i="1"/>
  <c r="DO968" i="1"/>
  <c r="DO969" i="1"/>
  <c r="DO970" i="1"/>
  <c r="DO971" i="1"/>
  <c r="DO972" i="1"/>
  <c r="DO973" i="1"/>
  <c r="DO974" i="1"/>
  <c r="DO975" i="1"/>
  <c r="DO976" i="1"/>
  <c r="DO977" i="1"/>
  <c r="DO978" i="1"/>
  <c r="DO979" i="1"/>
  <c r="DO980" i="1"/>
  <c r="DO981" i="1"/>
  <c r="DO982" i="1"/>
  <c r="DO983" i="1"/>
  <c r="DO984" i="1"/>
  <c r="DO985" i="1"/>
  <c r="DO986" i="1"/>
  <c r="DO987" i="1"/>
  <c r="DO988" i="1"/>
  <c r="DO989" i="1"/>
  <c r="DO990" i="1"/>
  <c r="DO991" i="1"/>
  <c r="DO992" i="1"/>
  <c r="DO993" i="1"/>
  <c r="DO994" i="1"/>
  <c r="DO995" i="1"/>
  <c r="DO996" i="1"/>
  <c r="DO997" i="1"/>
  <c r="DO998" i="1"/>
  <c r="DO999" i="1"/>
  <c r="DO1000" i="1"/>
  <c r="DO1001" i="1"/>
  <c r="DO1002" i="1"/>
  <c r="DO1003" i="1"/>
  <c r="DO1004" i="1"/>
  <c r="DO1005" i="1"/>
  <c r="DO1006" i="1"/>
  <c r="DO1007" i="1"/>
  <c r="DO1008" i="1"/>
  <c r="DO1009" i="1"/>
  <c r="DO1010" i="1"/>
  <c r="DO1011" i="1"/>
  <c r="DO1012" i="1"/>
  <c r="DO1013" i="1"/>
  <c r="DO1014" i="1"/>
  <c r="DO1015" i="1"/>
  <c r="DO1016" i="1"/>
  <c r="DO1017" i="1"/>
  <c r="DO1018" i="1"/>
  <c r="DO1019" i="1"/>
  <c r="DO1020" i="1"/>
  <c r="DO1021" i="1"/>
  <c r="DO1022" i="1"/>
  <c r="DO1023" i="1"/>
  <c r="DO1024" i="1"/>
  <c r="DO1025" i="1"/>
  <c r="DO1026" i="1"/>
  <c r="DO1027" i="1"/>
  <c r="DO1028" i="1"/>
  <c r="DO1029" i="1"/>
  <c r="DO1030" i="1"/>
  <c r="DO1031" i="1"/>
  <c r="DO1032" i="1"/>
  <c r="DO1033" i="1"/>
  <c r="DO1034" i="1"/>
  <c r="DO1035" i="1"/>
  <c r="DO1036" i="1"/>
  <c r="DO1037" i="1"/>
  <c r="DO1038" i="1"/>
  <c r="DO1039" i="1"/>
  <c r="DO1040" i="1"/>
  <c r="DO1041" i="1"/>
  <c r="DO1042" i="1"/>
  <c r="DO1043" i="1"/>
  <c r="DO1044" i="1"/>
  <c r="DO1045" i="1"/>
  <c r="DO1046" i="1"/>
  <c r="DO1047" i="1"/>
  <c r="DO1048" i="1"/>
  <c r="DO1049" i="1"/>
  <c r="DO1050" i="1"/>
  <c r="DO1051" i="1"/>
  <c r="DO1052" i="1"/>
  <c r="DO1053" i="1"/>
  <c r="DO1054" i="1"/>
  <c r="DO1055" i="1"/>
  <c r="DO1056" i="1"/>
  <c r="DO1057" i="1"/>
  <c r="DO1058" i="1"/>
  <c r="DO1059" i="1"/>
  <c r="DO1060" i="1"/>
  <c r="DO1061" i="1"/>
  <c r="DO1062" i="1"/>
  <c r="DO1063" i="1"/>
  <c r="DO1064" i="1"/>
  <c r="DO1065" i="1"/>
  <c r="DO1066" i="1"/>
  <c r="DO1067" i="1"/>
  <c r="DO1068" i="1"/>
  <c r="DO1069" i="1"/>
  <c r="DO1070" i="1"/>
  <c r="DO1071" i="1"/>
  <c r="DO1072" i="1"/>
  <c r="DO1073" i="1"/>
  <c r="DO1074" i="1"/>
  <c r="DO1075" i="1"/>
  <c r="DO1076" i="1"/>
  <c r="DO1077" i="1"/>
  <c r="DO1078" i="1"/>
  <c r="DO1079" i="1"/>
  <c r="DO1080" i="1"/>
  <c r="DO1081" i="1"/>
  <c r="DO1082" i="1"/>
  <c r="DO1083" i="1"/>
  <c r="DO1084" i="1"/>
  <c r="DO1085" i="1"/>
  <c r="DO1086" i="1"/>
  <c r="DO1087" i="1"/>
  <c r="DO1088" i="1"/>
  <c r="DO1089" i="1"/>
  <c r="DO1090" i="1"/>
  <c r="DO1091" i="1"/>
  <c r="DO1092" i="1"/>
  <c r="DO1093" i="1"/>
  <c r="DO1094" i="1"/>
  <c r="DO1095" i="1"/>
  <c r="DO1096" i="1"/>
  <c r="DO1097" i="1"/>
  <c r="DO1098" i="1"/>
  <c r="DO1099" i="1"/>
  <c r="DO1100" i="1"/>
  <c r="DO1101" i="1"/>
  <c r="DO1102" i="1"/>
  <c r="DO1103" i="1"/>
  <c r="DO1104" i="1"/>
  <c r="DO1105" i="1"/>
  <c r="DO1106" i="1"/>
  <c r="DO1107" i="1"/>
  <c r="DO1108" i="1"/>
  <c r="DO1109" i="1"/>
  <c r="DO1110" i="1"/>
  <c r="DO1111" i="1"/>
  <c r="DO1112" i="1"/>
  <c r="DO1113" i="1"/>
  <c r="DO1114" i="1"/>
  <c r="DO1115" i="1"/>
  <c r="DO1116" i="1"/>
  <c r="DO1117" i="1"/>
  <c r="DO1118" i="1"/>
  <c r="DO1119" i="1"/>
  <c r="DO1120" i="1"/>
  <c r="DO1121" i="1"/>
  <c r="DO1122" i="1"/>
  <c r="DO1123" i="1"/>
  <c r="DO1124" i="1"/>
  <c r="DO1125" i="1"/>
  <c r="DO1126" i="1"/>
  <c r="DO1127" i="1"/>
  <c r="DO1128" i="1"/>
  <c r="DO1129" i="1"/>
  <c r="DO1130" i="1"/>
  <c r="DO1131" i="1"/>
  <c r="DO1132" i="1"/>
  <c r="DO1133" i="1"/>
  <c r="DO1134" i="1"/>
  <c r="DO1135" i="1"/>
  <c r="DO1136" i="1"/>
  <c r="DO1137" i="1"/>
  <c r="DO1138" i="1"/>
  <c r="DO1139" i="1"/>
  <c r="DO1140" i="1"/>
  <c r="DO1141" i="1"/>
  <c r="DO1142" i="1"/>
  <c r="DO1143" i="1"/>
  <c r="DO1144" i="1"/>
  <c r="DO1145" i="1"/>
  <c r="DO1146" i="1"/>
  <c r="DO1147" i="1"/>
  <c r="DO1148" i="1"/>
  <c r="DO1149" i="1"/>
  <c r="DO1150" i="1"/>
  <c r="DO1151" i="1"/>
  <c r="DO1152" i="1"/>
  <c r="DO1153" i="1"/>
  <c r="DO1154" i="1"/>
  <c r="DO1155" i="1"/>
  <c r="DO1156" i="1"/>
  <c r="DO1157" i="1"/>
  <c r="DO1158" i="1"/>
  <c r="DO1159" i="1"/>
  <c r="DO1160" i="1"/>
  <c r="DO1161" i="1"/>
  <c r="DO1162" i="1"/>
  <c r="DO1163" i="1"/>
  <c r="DO1164" i="1"/>
  <c r="DO1165" i="1"/>
  <c r="DO1166" i="1"/>
  <c r="DO1167" i="1"/>
  <c r="DO1168" i="1"/>
  <c r="DO1169" i="1"/>
  <c r="DO1170" i="1"/>
  <c r="DO1171" i="1"/>
  <c r="DO1172" i="1"/>
  <c r="DO1173" i="1"/>
  <c r="DO1174" i="1"/>
  <c r="DO1175" i="1"/>
  <c r="DO1176" i="1"/>
  <c r="DO1177" i="1"/>
  <c r="DO1178" i="1"/>
  <c r="DO1179" i="1"/>
  <c r="DO1180" i="1"/>
  <c r="DO1181" i="1"/>
  <c r="DO1182" i="1"/>
  <c r="DO1183" i="1"/>
  <c r="DO1184" i="1"/>
  <c r="DO1185" i="1"/>
  <c r="DO1186" i="1"/>
  <c r="DO1187" i="1"/>
  <c r="DO1188" i="1"/>
  <c r="DO1189" i="1"/>
  <c r="DO1190" i="1"/>
  <c r="DO1191" i="1"/>
  <c r="DO1192" i="1"/>
  <c r="DO1193" i="1"/>
  <c r="DO1194" i="1"/>
  <c r="DO1195" i="1"/>
  <c r="DO1196" i="1"/>
  <c r="DO1197" i="1"/>
  <c r="DO1198" i="1"/>
  <c r="DO1199" i="1"/>
  <c r="DO1200" i="1"/>
  <c r="DO1201" i="1"/>
  <c r="DO1202" i="1"/>
  <c r="DO1203" i="1"/>
  <c r="DO1204" i="1"/>
  <c r="DO1205" i="1"/>
  <c r="DO1206" i="1"/>
  <c r="DO1207" i="1"/>
  <c r="DO1208" i="1"/>
  <c r="DO1209" i="1"/>
  <c r="DO1210" i="1"/>
  <c r="DO1211" i="1"/>
  <c r="DO1212" i="1"/>
  <c r="DO1213" i="1"/>
  <c r="DO1214" i="1"/>
  <c r="DO1215" i="1"/>
  <c r="DO1216" i="1"/>
  <c r="DO1217" i="1"/>
  <c r="DO1218" i="1"/>
  <c r="DO1219" i="1"/>
  <c r="DO1220" i="1"/>
  <c r="DO1221" i="1"/>
  <c r="DO1222" i="1"/>
  <c r="DO1223" i="1"/>
  <c r="DO1224" i="1"/>
  <c r="DO1225" i="1"/>
  <c r="DO1226" i="1"/>
  <c r="DO1227" i="1"/>
  <c r="DO1228" i="1"/>
  <c r="DO1229" i="1"/>
  <c r="DO1230" i="1"/>
  <c r="DO1231" i="1"/>
  <c r="DO1232" i="1"/>
  <c r="DO1233" i="1"/>
  <c r="DO1234" i="1"/>
  <c r="DO1235" i="1"/>
  <c r="DO1236" i="1"/>
  <c r="DO1237" i="1"/>
  <c r="DO1238" i="1"/>
  <c r="DO1239" i="1"/>
  <c r="DO1240" i="1"/>
  <c r="DO1241" i="1"/>
  <c r="DO1242" i="1"/>
  <c r="DO1243" i="1"/>
  <c r="DO1244" i="1"/>
  <c r="DO1245" i="1"/>
  <c r="DO1246" i="1"/>
  <c r="DO1247" i="1"/>
  <c r="DO1248" i="1"/>
  <c r="DO1249" i="1"/>
  <c r="DO1250" i="1"/>
  <c r="DO1251" i="1"/>
  <c r="DO1252" i="1"/>
  <c r="DO1253" i="1"/>
  <c r="DO1254" i="1"/>
  <c r="DO1255" i="1"/>
  <c r="DO1256" i="1"/>
  <c r="DO1257" i="1"/>
  <c r="DO1258" i="1"/>
  <c r="DO1259" i="1"/>
  <c r="DO1260" i="1"/>
  <c r="DO1261" i="1"/>
  <c r="DO1262" i="1"/>
  <c r="DO1263" i="1"/>
  <c r="DO1264" i="1"/>
  <c r="DO1265" i="1"/>
  <c r="DO1266" i="1"/>
  <c r="DO1267" i="1"/>
  <c r="DO1268" i="1"/>
  <c r="DO1269" i="1"/>
  <c r="DO1270" i="1"/>
  <c r="DO1271" i="1"/>
  <c r="DO1272" i="1"/>
  <c r="DO1273" i="1"/>
  <c r="DO1274" i="1"/>
  <c r="DO1275" i="1"/>
  <c r="DO1276" i="1"/>
  <c r="DO1277" i="1"/>
  <c r="DO1278" i="1"/>
  <c r="DO1279" i="1"/>
  <c r="DO1280" i="1"/>
  <c r="DO1281" i="1"/>
  <c r="DO1282" i="1"/>
  <c r="DO1283" i="1"/>
  <c r="DO1284" i="1"/>
  <c r="DO1285" i="1"/>
  <c r="DO1286" i="1"/>
  <c r="DO1287" i="1"/>
  <c r="DO1288" i="1"/>
  <c r="DO1289" i="1"/>
  <c r="DO1290" i="1"/>
  <c r="DO1291" i="1"/>
  <c r="DO1292" i="1"/>
  <c r="DO1293" i="1"/>
  <c r="DO1294" i="1"/>
  <c r="DO1295" i="1"/>
  <c r="DO1296" i="1"/>
  <c r="DO1297" i="1"/>
  <c r="DO1298" i="1"/>
  <c r="DO1299" i="1"/>
  <c r="DO1300" i="1"/>
  <c r="DO1301" i="1"/>
  <c r="DO1302" i="1"/>
  <c r="DO1303" i="1"/>
  <c r="DO1304" i="1"/>
  <c r="DO1305" i="1"/>
  <c r="DO1306" i="1"/>
  <c r="DO1307" i="1"/>
  <c r="DO1308" i="1"/>
  <c r="DO1309" i="1"/>
  <c r="DO1310" i="1"/>
  <c r="DO1311" i="1"/>
  <c r="DO1312" i="1"/>
  <c r="DO1313" i="1"/>
  <c r="DO1314" i="1"/>
  <c r="DO1315" i="1"/>
  <c r="DO1316" i="1"/>
  <c r="DO1317" i="1"/>
  <c r="DO1318" i="1"/>
  <c r="DO1319" i="1"/>
  <c r="DO1320" i="1"/>
  <c r="DO1321" i="1"/>
  <c r="DO1322" i="1"/>
  <c r="DO1323" i="1"/>
  <c r="DO1324" i="1"/>
  <c r="DO1325" i="1"/>
  <c r="DO1326" i="1"/>
  <c r="DO1327" i="1"/>
  <c r="DO1328" i="1"/>
  <c r="DO1329" i="1"/>
  <c r="DO1330" i="1"/>
  <c r="DO1331" i="1"/>
  <c r="DO1332" i="1"/>
  <c r="DO1333" i="1"/>
  <c r="DO1334" i="1"/>
  <c r="DO1335" i="1"/>
  <c r="DO1336" i="1"/>
  <c r="DO1337" i="1"/>
  <c r="DO1338" i="1"/>
  <c r="DO1339" i="1"/>
  <c r="DO1340" i="1"/>
  <c r="DO1341" i="1"/>
  <c r="DO1342" i="1"/>
  <c r="DO1343" i="1"/>
  <c r="DO1344" i="1"/>
  <c r="DO1345" i="1"/>
  <c r="DO1346" i="1"/>
  <c r="DO1347" i="1"/>
  <c r="DO1348" i="1"/>
  <c r="DO1349" i="1"/>
  <c r="DO1350" i="1"/>
  <c r="DO1351" i="1"/>
  <c r="DO1352" i="1"/>
  <c r="DO1353" i="1"/>
  <c r="DO1354" i="1"/>
  <c r="DO1355" i="1"/>
  <c r="DO1356" i="1"/>
  <c r="DO1357" i="1"/>
  <c r="DO1358" i="1"/>
  <c r="DO1359" i="1"/>
  <c r="DO1360" i="1"/>
  <c r="DO1361" i="1"/>
  <c r="DO1362" i="1"/>
  <c r="DO1363" i="1"/>
  <c r="DO1364" i="1"/>
  <c r="DO1365" i="1"/>
  <c r="DO1366" i="1"/>
  <c r="DO1367" i="1"/>
  <c r="DO1368" i="1"/>
  <c r="DO1369" i="1"/>
  <c r="DO1370" i="1"/>
  <c r="DO1371" i="1"/>
  <c r="DO1372" i="1"/>
  <c r="DO1373" i="1"/>
  <c r="DO1374" i="1"/>
  <c r="DO1375" i="1"/>
  <c r="DO1376" i="1"/>
  <c r="DO1377" i="1"/>
  <c r="DO1378" i="1"/>
  <c r="DO1379" i="1"/>
  <c r="DO1380" i="1"/>
  <c r="DO1381" i="1"/>
  <c r="DO1382" i="1"/>
  <c r="DO1383" i="1"/>
  <c r="DO1384" i="1"/>
  <c r="DO1385" i="1"/>
  <c r="DO1386" i="1"/>
  <c r="DO1387" i="1"/>
  <c r="DO1388" i="1"/>
  <c r="DO1389" i="1"/>
  <c r="DO1390" i="1"/>
  <c r="DO1391" i="1"/>
  <c r="DO1392" i="1"/>
  <c r="DO1393" i="1"/>
  <c r="DO1394" i="1"/>
  <c r="DO1395" i="1"/>
  <c r="DO1396" i="1"/>
  <c r="DO1397" i="1"/>
  <c r="DO1398" i="1"/>
  <c r="DO1399" i="1"/>
  <c r="DO1400" i="1"/>
  <c r="DO1401" i="1"/>
  <c r="DO1402" i="1"/>
  <c r="DO1403" i="1"/>
  <c r="DO1404" i="1"/>
  <c r="DO1405" i="1"/>
  <c r="DO1406" i="1"/>
  <c r="DO1407" i="1"/>
  <c r="DO1408" i="1"/>
  <c r="DO1409" i="1"/>
  <c r="DO1410" i="1"/>
  <c r="DO1411" i="1"/>
  <c r="DO1412" i="1"/>
  <c r="DO1413" i="1"/>
  <c r="DO1414" i="1"/>
  <c r="DO1415" i="1"/>
  <c r="DO1416" i="1"/>
  <c r="DO1417" i="1"/>
  <c r="DO1418" i="1"/>
  <c r="DO1419" i="1"/>
  <c r="DO1420" i="1"/>
  <c r="DO1421" i="1"/>
  <c r="DO1422" i="1"/>
  <c r="DO1423" i="1"/>
  <c r="DO1424" i="1"/>
  <c r="DO1425" i="1"/>
  <c r="DO1426" i="1"/>
  <c r="DO1427" i="1"/>
  <c r="DO1428" i="1"/>
  <c r="DO1429" i="1"/>
  <c r="DO1430" i="1"/>
  <c r="DO1431" i="1"/>
  <c r="DO1432" i="1"/>
  <c r="DO1433" i="1"/>
  <c r="DO1434" i="1"/>
  <c r="DO1435" i="1"/>
  <c r="DO1436" i="1"/>
  <c r="DO1437" i="1"/>
  <c r="DO1438" i="1"/>
  <c r="DO1439" i="1"/>
  <c r="DO1440" i="1"/>
  <c r="DO1441" i="1"/>
  <c r="DO1442" i="1"/>
  <c r="DO1443" i="1"/>
  <c r="DO1444" i="1"/>
  <c r="DO1445" i="1"/>
  <c r="DO1446" i="1"/>
  <c r="DO1447" i="1"/>
  <c r="DO1448" i="1"/>
  <c r="DO1449" i="1"/>
  <c r="DO1450" i="1"/>
  <c r="DO1451" i="1"/>
  <c r="DO1452" i="1"/>
  <c r="DO1453" i="1"/>
  <c r="DO1454" i="1"/>
  <c r="DO1455" i="1"/>
  <c r="DO1456" i="1"/>
  <c r="DO1457" i="1"/>
  <c r="DO1458" i="1"/>
  <c r="DO1459" i="1"/>
  <c r="DO1460" i="1"/>
  <c r="DO1461" i="1"/>
  <c r="DO1462" i="1"/>
  <c r="DO1463" i="1"/>
  <c r="DO1464" i="1"/>
  <c r="DO1465" i="1"/>
  <c r="DO1466" i="1"/>
  <c r="DO1467" i="1"/>
  <c r="DO1468" i="1"/>
  <c r="DO1469" i="1"/>
  <c r="DO1470" i="1"/>
  <c r="DO1471" i="1"/>
  <c r="DO1472" i="1"/>
  <c r="DO1473" i="1"/>
  <c r="DO1474" i="1"/>
  <c r="DO1475" i="1"/>
  <c r="DO1476" i="1"/>
  <c r="DO1477" i="1"/>
  <c r="DO1478" i="1"/>
  <c r="DO1479" i="1"/>
  <c r="DO1480" i="1"/>
  <c r="DO1481" i="1"/>
  <c r="DO1482" i="1"/>
  <c r="DO1483" i="1"/>
  <c r="DO1484" i="1"/>
  <c r="DO1485" i="1"/>
  <c r="DO1486" i="1"/>
  <c r="DO1487" i="1"/>
  <c r="DO1488" i="1"/>
  <c r="DO1489" i="1"/>
  <c r="DO1490" i="1"/>
  <c r="DO1491" i="1"/>
  <c r="DO1492" i="1"/>
  <c r="DO1493" i="1"/>
  <c r="DO1494" i="1"/>
  <c r="DO1495" i="1"/>
  <c r="DO1496" i="1"/>
  <c r="DO1497" i="1"/>
  <c r="DO1498" i="1"/>
  <c r="DO1499" i="1"/>
  <c r="DO1500" i="1"/>
  <c r="DO1501" i="1"/>
  <c r="DO1502" i="1"/>
  <c r="DO1503" i="1"/>
  <c r="DO1504" i="1"/>
  <c r="DO1505" i="1"/>
  <c r="DO1506" i="1"/>
  <c r="DO1507" i="1"/>
  <c r="DO1508" i="1"/>
  <c r="DO1509" i="1"/>
  <c r="DO1510" i="1"/>
  <c r="DO1511" i="1"/>
  <c r="DO1512" i="1"/>
  <c r="DO1513" i="1"/>
  <c r="DO1514" i="1"/>
  <c r="DO1515" i="1"/>
  <c r="DO1516" i="1"/>
  <c r="DO1517" i="1"/>
  <c r="DO1518" i="1"/>
  <c r="DO1519" i="1"/>
  <c r="DO1520" i="1"/>
  <c r="DO1521" i="1"/>
  <c r="DO1522" i="1"/>
  <c r="DO1523" i="1"/>
  <c r="DO1524" i="1"/>
  <c r="DO1525" i="1"/>
  <c r="DO1526" i="1"/>
  <c r="DO1527" i="1"/>
  <c r="DO1528" i="1"/>
  <c r="DO1529" i="1"/>
  <c r="DO1530" i="1"/>
  <c r="DO1531" i="1"/>
  <c r="DO1532" i="1"/>
  <c r="DO1533" i="1"/>
  <c r="DO1534" i="1"/>
  <c r="DO1535" i="1"/>
  <c r="DO1536" i="1"/>
  <c r="DO1537" i="1"/>
  <c r="DO1538" i="1"/>
  <c r="DO1539" i="1"/>
  <c r="DO1540" i="1"/>
  <c r="DO1541" i="1"/>
  <c r="DO1542" i="1"/>
  <c r="DO1543" i="1"/>
  <c r="DO1544" i="1"/>
  <c r="DO1545" i="1"/>
  <c r="DO1546" i="1"/>
  <c r="DO1547" i="1"/>
  <c r="DO1548" i="1"/>
  <c r="DO1549" i="1"/>
  <c r="DO1550" i="1"/>
  <c r="DO1551" i="1"/>
  <c r="DO1552" i="1"/>
  <c r="DO1553" i="1"/>
  <c r="DO1554" i="1"/>
  <c r="DO1555" i="1"/>
  <c r="DO1556" i="1"/>
  <c r="DO1557" i="1"/>
  <c r="DO1558" i="1"/>
  <c r="DO1559" i="1"/>
  <c r="DO1560" i="1"/>
  <c r="DO1561" i="1"/>
  <c r="DO1562" i="1"/>
  <c r="DO1563" i="1"/>
  <c r="DO1564" i="1"/>
  <c r="DO1565" i="1"/>
  <c r="DO1566" i="1"/>
  <c r="DO1567" i="1"/>
  <c r="DO1568" i="1"/>
  <c r="DO1569" i="1"/>
  <c r="DO1570" i="1"/>
  <c r="DO1571" i="1"/>
  <c r="DO1572" i="1"/>
  <c r="DO1573" i="1"/>
  <c r="DO1574" i="1"/>
  <c r="DO1575" i="1"/>
  <c r="DO1576" i="1"/>
  <c r="DO1577" i="1"/>
  <c r="DO1578" i="1"/>
  <c r="DO1579" i="1"/>
  <c r="DO1580" i="1"/>
  <c r="DO1581" i="1"/>
  <c r="DO1582" i="1"/>
  <c r="DO1583" i="1"/>
  <c r="DO1584" i="1"/>
  <c r="DO1585" i="1"/>
  <c r="DO1586" i="1"/>
  <c r="DO1587" i="1"/>
  <c r="DO1588" i="1"/>
  <c r="DO1589" i="1"/>
  <c r="DO1590" i="1"/>
  <c r="DO1591" i="1"/>
  <c r="DO1592" i="1"/>
  <c r="DO1593" i="1"/>
  <c r="DO1594" i="1"/>
  <c r="DO1595" i="1"/>
  <c r="DO1596" i="1"/>
  <c r="DO1597" i="1"/>
  <c r="DO1598" i="1"/>
  <c r="DO1599" i="1"/>
  <c r="DO1600" i="1"/>
  <c r="DO1601" i="1"/>
  <c r="DO1602" i="1"/>
  <c r="DO1603" i="1"/>
  <c r="DO1604" i="1"/>
  <c r="DO1605" i="1"/>
  <c r="DO1606" i="1"/>
  <c r="DO1607" i="1"/>
  <c r="DO1608" i="1"/>
  <c r="DO1609" i="1"/>
  <c r="DO1610" i="1"/>
  <c r="DO1611" i="1"/>
  <c r="DO1612" i="1"/>
  <c r="DO1613" i="1"/>
  <c r="DO1614" i="1"/>
  <c r="DO1615" i="1"/>
  <c r="DO1616" i="1"/>
  <c r="DO1617" i="1"/>
  <c r="DO1618" i="1"/>
  <c r="DO1619" i="1"/>
  <c r="DO1620" i="1"/>
  <c r="DO1621" i="1"/>
  <c r="DO1622" i="1"/>
  <c r="DO1623" i="1"/>
  <c r="DO1624" i="1"/>
  <c r="DO1625" i="1"/>
  <c r="DO1626" i="1"/>
  <c r="DO1627" i="1"/>
  <c r="DO1628" i="1"/>
  <c r="DO1629" i="1"/>
  <c r="DO1630" i="1"/>
  <c r="DO1631" i="1"/>
  <c r="DO1632" i="1"/>
  <c r="DO1633" i="1"/>
  <c r="DO1634" i="1"/>
  <c r="DO1635" i="1"/>
  <c r="DO1636" i="1"/>
  <c r="DO1637" i="1"/>
  <c r="DO1638" i="1"/>
  <c r="DO1639" i="1"/>
  <c r="DO1640" i="1"/>
  <c r="DO1641" i="1"/>
  <c r="DO1642" i="1"/>
  <c r="DO1643" i="1"/>
  <c r="DO1644" i="1"/>
  <c r="DO1645" i="1"/>
  <c r="DO1646" i="1"/>
  <c r="DO1647" i="1"/>
  <c r="DO1648" i="1"/>
  <c r="DO1649" i="1"/>
  <c r="DO1650" i="1"/>
  <c r="DO1651" i="1"/>
  <c r="DO1652" i="1"/>
  <c r="DO1653" i="1"/>
  <c r="DO1654" i="1"/>
  <c r="DO1655" i="1"/>
  <c r="DO1656" i="1"/>
  <c r="DO1657" i="1"/>
  <c r="DO1658" i="1"/>
  <c r="DO1659" i="1"/>
  <c r="DO1660" i="1"/>
  <c r="DO1661" i="1"/>
  <c r="DO1662" i="1"/>
  <c r="DO1663" i="1"/>
  <c r="DO1664" i="1"/>
  <c r="DO1665" i="1"/>
  <c r="DO1666" i="1"/>
  <c r="DO1667" i="1"/>
  <c r="DO1668" i="1"/>
  <c r="DO1669" i="1"/>
  <c r="DO1670" i="1"/>
  <c r="DO1671" i="1"/>
  <c r="DO1672" i="1"/>
  <c r="DO1673" i="1"/>
  <c r="DO1674" i="1"/>
  <c r="DO1675" i="1"/>
  <c r="DO1676" i="1"/>
  <c r="DO1677" i="1"/>
  <c r="DO1678" i="1"/>
  <c r="DO1679" i="1"/>
  <c r="DO1680" i="1"/>
  <c r="DO1681" i="1"/>
  <c r="DO1682" i="1"/>
  <c r="DO1683" i="1"/>
  <c r="DO1684" i="1"/>
  <c r="DO1685" i="1"/>
  <c r="DO1686" i="1"/>
  <c r="DO1687" i="1"/>
  <c r="DO1688" i="1"/>
  <c r="DO1689" i="1"/>
  <c r="DO1690" i="1"/>
  <c r="DO1691" i="1"/>
  <c r="DO1692" i="1"/>
  <c r="DO1693" i="1"/>
  <c r="DO1694" i="1"/>
  <c r="DO1695" i="1"/>
  <c r="DO1696" i="1"/>
  <c r="DO1697" i="1"/>
  <c r="DO1698" i="1"/>
  <c r="DO1699" i="1"/>
  <c r="DO1700" i="1"/>
  <c r="DO1701" i="1"/>
  <c r="DO1702" i="1"/>
  <c r="DO1703" i="1"/>
  <c r="DO1704" i="1"/>
  <c r="DO1705" i="1"/>
  <c r="DO1706" i="1"/>
  <c r="DO1707" i="1"/>
  <c r="DO1708" i="1"/>
  <c r="DO1709" i="1"/>
  <c r="DO1710" i="1"/>
  <c r="DO1711" i="1"/>
  <c r="DO1712" i="1"/>
  <c r="DO1713" i="1"/>
  <c r="DO1714" i="1"/>
  <c r="DO1715" i="1"/>
  <c r="DO1716" i="1"/>
  <c r="DO1717" i="1"/>
  <c r="DO1718" i="1"/>
  <c r="DO1719" i="1"/>
  <c r="DO1720" i="1"/>
  <c r="DO1721" i="1"/>
  <c r="DO1722" i="1"/>
  <c r="DO1723" i="1"/>
  <c r="DO1724" i="1"/>
  <c r="DO1725" i="1"/>
  <c r="DO1726" i="1"/>
  <c r="DO1727" i="1"/>
  <c r="DO1728" i="1"/>
  <c r="DO1729" i="1"/>
  <c r="DO1730" i="1"/>
  <c r="DO1731" i="1"/>
  <c r="DO1732" i="1"/>
  <c r="DO1733" i="1"/>
  <c r="DO1734" i="1"/>
  <c r="DO1735" i="1"/>
  <c r="DO1736" i="1"/>
  <c r="DO1737" i="1"/>
  <c r="DO1738" i="1"/>
  <c r="DO1739" i="1"/>
  <c r="DO1740" i="1"/>
  <c r="DO1741" i="1"/>
  <c r="DO1742" i="1"/>
  <c r="DO1743" i="1"/>
  <c r="DO1744" i="1"/>
  <c r="DO1745" i="1"/>
  <c r="DO1746" i="1"/>
  <c r="DO1747" i="1"/>
  <c r="DO1748" i="1"/>
  <c r="DO1749" i="1"/>
  <c r="DO1750" i="1"/>
  <c r="DO1751" i="1"/>
  <c r="DO1752" i="1"/>
  <c r="DO1753" i="1"/>
  <c r="DO1754" i="1"/>
  <c r="DO1755" i="1"/>
  <c r="DO1756" i="1"/>
  <c r="DO1757" i="1"/>
  <c r="DO1758" i="1"/>
  <c r="DO1759" i="1"/>
  <c r="DO1760" i="1"/>
  <c r="DO1761" i="1"/>
  <c r="DO1762" i="1"/>
  <c r="DO1763" i="1"/>
  <c r="DO1764" i="1"/>
  <c r="DO1765" i="1"/>
  <c r="DO1766" i="1"/>
  <c r="DO1767" i="1"/>
  <c r="DO1768" i="1"/>
  <c r="DO1769" i="1"/>
  <c r="DO1770" i="1"/>
  <c r="DO1771" i="1"/>
  <c r="DO1772" i="1"/>
  <c r="DO1773" i="1"/>
  <c r="DO1774" i="1"/>
  <c r="DO1775" i="1"/>
  <c r="DO1776" i="1"/>
  <c r="DO1777" i="1"/>
  <c r="DO1778" i="1"/>
  <c r="DO1779" i="1"/>
  <c r="DO1780" i="1"/>
  <c r="DO1781" i="1"/>
  <c r="DO1782" i="1"/>
  <c r="DO1783" i="1"/>
  <c r="DO1784" i="1"/>
  <c r="DO1785" i="1"/>
  <c r="DO1786" i="1"/>
  <c r="DO1787" i="1"/>
  <c r="DO1788" i="1"/>
  <c r="DO1789" i="1"/>
  <c r="DO1790" i="1"/>
  <c r="DO1791" i="1"/>
  <c r="DO1792" i="1"/>
  <c r="DO1793" i="1"/>
  <c r="DO1794" i="1"/>
  <c r="DO1795" i="1"/>
  <c r="DO1796" i="1"/>
  <c r="DO1797" i="1"/>
  <c r="DO1798" i="1"/>
  <c r="DO1799" i="1"/>
  <c r="DO1800" i="1"/>
  <c r="DO1801" i="1"/>
  <c r="DO1802" i="1"/>
  <c r="DO1803" i="1"/>
  <c r="DO1804" i="1"/>
  <c r="DO1805" i="1"/>
  <c r="DO1806" i="1"/>
  <c r="DO1807" i="1"/>
  <c r="DO1808" i="1"/>
  <c r="DO1809" i="1"/>
  <c r="DO1810" i="1"/>
  <c r="DO1811" i="1"/>
  <c r="DO1812" i="1"/>
  <c r="DO1813" i="1"/>
  <c r="DO1814" i="1"/>
  <c r="DO1815" i="1"/>
  <c r="DO1816" i="1"/>
  <c r="DO1817" i="1"/>
  <c r="DO1818" i="1"/>
  <c r="DO1819" i="1"/>
  <c r="DO1820" i="1"/>
  <c r="DO1821" i="1"/>
  <c r="DO1822" i="1"/>
  <c r="DO1823" i="1"/>
  <c r="DO1824" i="1"/>
  <c r="DO1825" i="1"/>
  <c r="DO1826" i="1"/>
  <c r="DO1827" i="1"/>
  <c r="DO1828" i="1"/>
  <c r="DO1829" i="1"/>
  <c r="DO1830" i="1"/>
  <c r="DO1831" i="1"/>
  <c r="DO1832" i="1"/>
  <c r="DO1833" i="1"/>
  <c r="DO1834" i="1"/>
  <c r="DO1835" i="1"/>
  <c r="DO1836" i="1"/>
  <c r="DO1837" i="1"/>
  <c r="DO1838" i="1"/>
  <c r="DO1839" i="1"/>
  <c r="DO1840" i="1"/>
  <c r="DO1841" i="1"/>
  <c r="DO1842" i="1"/>
  <c r="DO1843" i="1"/>
  <c r="DO1844" i="1"/>
  <c r="DO1845" i="1"/>
  <c r="DO1846" i="1"/>
  <c r="DO1847" i="1"/>
  <c r="DO1848" i="1"/>
  <c r="DO1849" i="1"/>
  <c r="DO1850" i="1"/>
  <c r="DO1851" i="1"/>
  <c r="DO1852" i="1"/>
  <c r="DO1853" i="1"/>
  <c r="DO1854" i="1"/>
  <c r="DO1855" i="1"/>
  <c r="DO1856" i="1"/>
  <c r="DO1857" i="1"/>
  <c r="DO1858" i="1"/>
  <c r="DO1859" i="1"/>
  <c r="DO1860" i="1"/>
  <c r="DO1861" i="1"/>
  <c r="DO1862" i="1"/>
  <c r="DO1863" i="1"/>
  <c r="DO1864" i="1"/>
  <c r="DO1865" i="1"/>
  <c r="DO1866" i="1"/>
  <c r="DO1867" i="1"/>
  <c r="DO1868" i="1"/>
  <c r="DO1869" i="1"/>
  <c r="DO1870" i="1"/>
  <c r="DO1871" i="1"/>
  <c r="DO1872" i="1"/>
  <c r="DO1873" i="1"/>
  <c r="DO1874" i="1"/>
  <c r="DO1875" i="1"/>
  <c r="DO1876" i="1"/>
  <c r="DO1877" i="1"/>
  <c r="DO1878" i="1"/>
  <c r="DO1879" i="1"/>
  <c r="DO1880" i="1"/>
  <c r="DO1881" i="1"/>
  <c r="DO1882" i="1"/>
  <c r="DO1883" i="1"/>
  <c r="DO1884" i="1"/>
  <c r="DO1885" i="1"/>
  <c r="DO1886" i="1"/>
  <c r="DO1887" i="1"/>
  <c r="DO1888" i="1"/>
  <c r="DO1889" i="1"/>
  <c r="DO1890" i="1"/>
  <c r="DO1891" i="1"/>
  <c r="DO1892" i="1"/>
  <c r="DO1893" i="1"/>
  <c r="DO1894" i="1"/>
  <c r="DO1895" i="1"/>
  <c r="DO1896" i="1"/>
  <c r="DO1897" i="1"/>
  <c r="DO1898" i="1"/>
  <c r="DO1899" i="1"/>
  <c r="DO1900" i="1"/>
  <c r="DO1901" i="1"/>
  <c r="DO1902" i="1"/>
  <c r="DO1903" i="1"/>
  <c r="DO1904" i="1"/>
  <c r="DO1905" i="1"/>
  <c r="DO1906" i="1"/>
  <c r="DO1907" i="1"/>
  <c r="DO1908" i="1"/>
  <c r="DO1909" i="1"/>
  <c r="DO1910" i="1"/>
  <c r="DO1911" i="1"/>
  <c r="DO1912" i="1"/>
  <c r="DO1913" i="1"/>
  <c r="DO1914" i="1"/>
  <c r="DO1915" i="1"/>
  <c r="DO1916" i="1"/>
  <c r="DO1917" i="1"/>
  <c r="DO1918" i="1"/>
  <c r="DO1919" i="1"/>
  <c r="DO1920" i="1"/>
  <c r="DO1921" i="1"/>
  <c r="DO1922" i="1"/>
  <c r="DO1923" i="1"/>
  <c r="DO1924" i="1"/>
  <c r="DO1925" i="1"/>
  <c r="DO1926" i="1"/>
  <c r="DO1927" i="1"/>
  <c r="DO1928" i="1"/>
  <c r="DO1929" i="1"/>
  <c r="DO1930" i="1"/>
  <c r="DO1931" i="1"/>
  <c r="DO1932" i="1"/>
  <c r="DO1933" i="1"/>
  <c r="DO1934" i="1"/>
  <c r="DO1935" i="1"/>
  <c r="DO1936" i="1"/>
  <c r="DO1937" i="1"/>
  <c r="DO1938" i="1"/>
  <c r="DO1939" i="1"/>
  <c r="DO1940" i="1"/>
  <c r="DO1941" i="1"/>
  <c r="DO1942" i="1"/>
  <c r="DO1943" i="1"/>
  <c r="DO1944" i="1"/>
  <c r="DO1945" i="1"/>
  <c r="DO1946" i="1"/>
  <c r="DO1947" i="1"/>
  <c r="DO1948" i="1"/>
  <c r="DO1949" i="1"/>
  <c r="DO1950" i="1"/>
  <c r="DO1951" i="1"/>
  <c r="DO1952" i="1"/>
  <c r="DO1953" i="1"/>
  <c r="DO1954" i="1"/>
  <c r="DO1955" i="1"/>
  <c r="DO1956" i="1"/>
  <c r="DO1957" i="1"/>
  <c r="DO1958" i="1"/>
  <c r="DO1959" i="1"/>
  <c r="DO1960" i="1"/>
  <c r="DO1961" i="1"/>
  <c r="DO1962" i="1"/>
  <c r="DO1963" i="1"/>
  <c r="DO1964" i="1"/>
  <c r="DO1965" i="1"/>
  <c r="DO1966" i="1"/>
  <c r="DO1967" i="1"/>
  <c r="DO1968" i="1"/>
  <c r="DO1969" i="1"/>
  <c r="DO1970" i="1"/>
  <c r="DO1971" i="1"/>
  <c r="DO1972" i="1"/>
  <c r="DO1973" i="1"/>
  <c r="DO1974" i="1"/>
  <c r="DO1975" i="1"/>
  <c r="DO1976" i="1"/>
  <c r="DO1977" i="1"/>
  <c r="DO1978" i="1"/>
  <c r="DO1979" i="1"/>
  <c r="DO1980" i="1"/>
  <c r="DO1981" i="1"/>
  <c r="DO1982" i="1"/>
  <c r="DO1983" i="1"/>
  <c r="DO1984" i="1"/>
  <c r="DO1985" i="1"/>
  <c r="DO1986" i="1"/>
  <c r="DO1987" i="1"/>
  <c r="DO1988" i="1"/>
  <c r="DO1989" i="1"/>
  <c r="DO1990" i="1"/>
  <c r="DO1991" i="1"/>
  <c r="DO1992" i="1"/>
  <c r="DO1993" i="1"/>
  <c r="DO1994" i="1"/>
  <c r="DO1995" i="1"/>
  <c r="DO1996" i="1"/>
  <c r="DO1997" i="1"/>
  <c r="DO1998" i="1"/>
  <c r="DO1999" i="1"/>
  <c r="DO2000" i="1"/>
  <c r="DO2001" i="1"/>
  <c r="DO2002" i="1"/>
  <c r="DO2003" i="1"/>
  <c r="DO2004" i="1"/>
  <c r="DO2005" i="1"/>
  <c r="DO2006" i="1"/>
  <c r="DO2007" i="1"/>
  <c r="DO2008" i="1"/>
  <c r="DO2009" i="1"/>
  <c r="DO2010" i="1"/>
  <c r="DO2011" i="1"/>
  <c r="DO2012" i="1"/>
  <c r="DO2013" i="1"/>
  <c r="DO2014" i="1"/>
  <c r="DO2015" i="1"/>
  <c r="DO2016" i="1"/>
  <c r="DO2017" i="1"/>
  <c r="DO2018" i="1"/>
  <c r="DO2019" i="1"/>
  <c r="DO2020" i="1"/>
  <c r="DO2021" i="1"/>
  <c r="DO2022" i="1"/>
  <c r="DO2023" i="1"/>
  <c r="DO2024" i="1"/>
  <c r="DO2025" i="1"/>
  <c r="DO2026" i="1"/>
  <c r="DO2027" i="1"/>
  <c r="DO2028" i="1"/>
  <c r="DO2029" i="1"/>
  <c r="DO2030" i="1"/>
  <c r="DO2031" i="1"/>
  <c r="DO2032" i="1"/>
  <c r="DO2033" i="1"/>
  <c r="DO2034" i="1"/>
  <c r="DO2035" i="1"/>
  <c r="DO2036" i="1"/>
  <c r="DO2037" i="1"/>
  <c r="DO2038" i="1"/>
  <c r="DO2039" i="1"/>
  <c r="DO2040" i="1"/>
  <c r="DO2041" i="1"/>
  <c r="DO2042" i="1"/>
  <c r="DO2043" i="1"/>
  <c r="DO2044" i="1"/>
  <c r="DO2045" i="1"/>
  <c r="DO2046" i="1"/>
  <c r="DO2047" i="1"/>
  <c r="DO2048" i="1"/>
  <c r="DO2049" i="1"/>
  <c r="DO2050" i="1"/>
  <c r="DO2051" i="1"/>
  <c r="DO2052" i="1"/>
  <c r="DO2053" i="1"/>
  <c r="DO2054" i="1"/>
  <c r="DO2055" i="1"/>
  <c r="DO2056" i="1"/>
  <c r="DO2057" i="1"/>
  <c r="DO2058" i="1"/>
  <c r="P5" i="1" a="1"/>
  <c r="P5" i="1" s="1"/>
  <c r="EP5" i="1" s="1"/>
  <c r="P6" i="1" a="1"/>
  <c r="P6" i="1" s="1"/>
  <c r="EP6" i="1" s="1"/>
  <c r="P7" i="1" a="1"/>
  <c r="P7" i="1" s="1"/>
  <c r="EP7" i="1" s="1"/>
  <c r="P8" i="1" a="1"/>
  <c r="P8" i="1" s="1"/>
  <c r="EP8" i="1" s="1"/>
  <c r="P9" i="1" a="1"/>
  <c r="P9" i="1" s="1"/>
  <c r="EP9" i="1" s="1"/>
  <c r="P10" i="1" a="1"/>
  <c r="P10" i="1" s="1"/>
  <c r="EP10" i="1" s="1"/>
  <c r="P11" i="1" a="1"/>
  <c r="P11" i="1" s="1"/>
  <c r="EP11" i="1" s="1"/>
  <c r="P12" i="1" a="1"/>
  <c r="P12" i="1" s="1"/>
  <c r="EP12" i="1" s="1"/>
  <c r="P13" i="1" a="1"/>
  <c r="P13" i="1" s="1"/>
  <c r="EP13" i="1" s="1"/>
  <c r="P14" i="1" a="1"/>
  <c r="P14" i="1" s="1"/>
  <c r="EP14" i="1" s="1"/>
  <c r="P15" i="1" a="1"/>
  <c r="P15" i="1" s="1"/>
  <c r="EP15" i="1" s="1"/>
  <c r="P16" i="1" a="1"/>
  <c r="P16" i="1"/>
  <c r="EP16" i="1" s="1"/>
  <c r="P17" i="1" a="1"/>
  <c r="P17" i="1" s="1"/>
  <c r="EP17" i="1" s="1"/>
  <c r="P18" i="1" a="1"/>
  <c r="P18" i="1" s="1"/>
  <c r="EP18" i="1" s="1"/>
  <c r="P19" i="1" a="1"/>
  <c r="P19" i="1" s="1"/>
  <c r="EP19" i="1" s="1"/>
  <c r="P20" i="1" a="1"/>
  <c r="P20" i="1" s="1"/>
  <c r="EP20" i="1" s="1"/>
  <c r="P21" i="1" a="1"/>
  <c r="P21" i="1" s="1"/>
  <c r="EP21" i="1" s="1"/>
  <c r="P22" i="1" a="1"/>
  <c r="P22" i="1" s="1"/>
  <c r="EP22" i="1" s="1"/>
  <c r="P23" i="1" a="1"/>
  <c r="P23" i="1" s="1"/>
  <c r="EP23" i="1" s="1"/>
  <c r="P24" i="1" a="1"/>
  <c r="P24" i="1"/>
  <c r="EP24" i="1" s="1"/>
  <c r="P25" i="1" a="1"/>
  <c r="P25" i="1" s="1"/>
  <c r="EP25" i="1" s="1"/>
  <c r="P26" i="1" a="1"/>
  <c r="P26" i="1" s="1"/>
  <c r="EP26" i="1" s="1"/>
  <c r="P27" i="1" a="1"/>
  <c r="P27" i="1" s="1"/>
  <c r="EP27" i="1" s="1"/>
  <c r="P28" i="1" a="1"/>
  <c r="P28" i="1" s="1"/>
  <c r="EP28" i="1" s="1"/>
  <c r="P29" i="1" a="1"/>
  <c r="P29" i="1" s="1"/>
  <c r="EP29" i="1" s="1"/>
  <c r="P30" i="1" a="1"/>
  <c r="P30" i="1" s="1"/>
  <c r="EP30" i="1" s="1"/>
  <c r="P31" i="1" a="1"/>
  <c r="P31" i="1" s="1"/>
  <c r="EP31" i="1" s="1"/>
  <c r="P32" i="1" a="1"/>
  <c r="P32" i="1"/>
  <c r="EP32" i="1" s="1"/>
  <c r="P33" i="1" a="1"/>
  <c r="P33" i="1" s="1"/>
  <c r="EP33" i="1" s="1"/>
  <c r="P34" i="1" a="1"/>
  <c r="P34" i="1" s="1"/>
  <c r="EP34" i="1" s="1"/>
  <c r="P35" i="1" a="1"/>
  <c r="P35" i="1" s="1"/>
  <c r="EP35" i="1" s="1"/>
  <c r="P36" i="1" a="1"/>
  <c r="P36" i="1" s="1"/>
  <c r="EP36" i="1" s="1"/>
  <c r="P37" i="1" a="1"/>
  <c r="P37" i="1" s="1"/>
  <c r="EP37" i="1" s="1"/>
  <c r="P38" i="1" a="1"/>
  <c r="P38" i="1" s="1"/>
  <c r="EP38" i="1" s="1"/>
  <c r="P39" i="1" a="1"/>
  <c r="P39" i="1" s="1"/>
  <c r="EP39" i="1" s="1"/>
  <c r="P40" i="1" a="1"/>
  <c r="P40" i="1"/>
  <c r="EP40" i="1" s="1"/>
  <c r="P41" i="1" a="1"/>
  <c r="P41" i="1" s="1"/>
  <c r="EP41" i="1" s="1"/>
  <c r="P42" i="1" a="1"/>
  <c r="P42" i="1" s="1"/>
  <c r="EP42" i="1" s="1"/>
  <c r="P43" i="1" a="1"/>
  <c r="P43" i="1" s="1"/>
  <c r="EP43" i="1" s="1"/>
  <c r="P44" i="1" a="1"/>
  <c r="P44" i="1" s="1"/>
  <c r="EP44" i="1" s="1"/>
  <c r="P45" i="1" a="1"/>
  <c r="P45" i="1" s="1"/>
  <c r="EP45" i="1" s="1"/>
  <c r="P46" i="1" a="1"/>
  <c r="P46" i="1" s="1"/>
  <c r="EP46" i="1" s="1"/>
  <c r="P47" i="1" a="1"/>
  <c r="P47" i="1" s="1"/>
  <c r="EP47" i="1" s="1"/>
  <c r="P48" i="1" a="1"/>
  <c r="P48" i="1"/>
  <c r="EP48" i="1" s="1"/>
  <c r="P49" i="1" a="1"/>
  <c r="P49" i="1" s="1"/>
  <c r="EP49" i="1" s="1"/>
  <c r="P50" i="1" a="1"/>
  <c r="P50" i="1" s="1"/>
  <c r="EP50" i="1" s="1"/>
  <c r="P51" i="1" a="1"/>
  <c r="P51" i="1" s="1"/>
  <c r="EP51" i="1" s="1"/>
  <c r="P52" i="1" a="1"/>
  <c r="P52" i="1" s="1"/>
  <c r="EP52" i="1" s="1"/>
  <c r="P53" i="1" a="1"/>
  <c r="P53" i="1" s="1"/>
  <c r="EP53" i="1" s="1"/>
  <c r="P54" i="1" a="1"/>
  <c r="P54" i="1" s="1"/>
  <c r="EP54" i="1" s="1"/>
  <c r="P55" i="1" a="1"/>
  <c r="P55" i="1" s="1"/>
  <c r="EP55" i="1" s="1"/>
  <c r="P56" i="1" a="1"/>
  <c r="P56" i="1"/>
  <c r="EP56" i="1" s="1"/>
  <c r="P57" i="1" a="1"/>
  <c r="P57" i="1" s="1"/>
  <c r="EP57" i="1" s="1"/>
  <c r="P58" i="1" a="1"/>
  <c r="P58" i="1" s="1"/>
  <c r="EP58" i="1" s="1"/>
  <c r="P59" i="1" a="1"/>
  <c r="P59" i="1" s="1"/>
  <c r="EP59" i="1" s="1"/>
  <c r="P60" i="1" a="1"/>
  <c r="P60" i="1" s="1"/>
  <c r="EP60" i="1" s="1"/>
  <c r="P61" i="1" a="1"/>
  <c r="P61" i="1" s="1"/>
  <c r="EP61" i="1" s="1"/>
  <c r="P62" i="1" a="1"/>
  <c r="P62" i="1" s="1"/>
  <c r="EP62" i="1" s="1"/>
  <c r="P63" i="1" a="1"/>
  <c r="P63" i="1" s="1"/>
  <c r="EP63" i="1" s="1"/>
  <c r="P64" i="1" a="1"/>
  <c r="P64" i="1"/>
  <c r="EP64" i="1" s="1"/>
  <c r="P65" i="1" a="1"/>
  <c r="P65" i="1" s="1"/>
  <c r="EP65" i="1" s="1"/>
  <c r="P66" i="1" a="1"/>
  <c r="P66" i="1" s="1"/>
  <c r="EP66" i="1" s="1"/>
  <c r="P67" i="1" a="1"/>
  <c r="P67" i="1" s="1"/>
  <c r="EP67" i="1" s="1"/>
  <c r="P68" i="1" a="1"/>
  <c r="P68" i="1" s="1"/>
  <c r="EP68" i="1" s="1"/>
  <c r="P69" i="1" a="1"/>
  <c r="P69" i="1" s="1"/>
  <c r="EP69" i="1" s="1"/>
  <c r="P70" i="1" a="1"/>
  <c r="P70" i="1" s="1"/>
  <c r="EP70" i="1" s="1"/>
  <c r="P71" i="1" a="1"/>
  <c r="P71" i="1" s="1"/>
  <c r="EP71" i="1" s="1"/>
  <c r="P72" i="1" a="1"/>
  <c r="P72" i="1"/>
  <c r="EP72" i="1" s="1"/>
  <c r="P73" i="1" a="1"/>
  <c r="P73" i="1" s="1"/>
  <c r="EP73" i="1" s="1"/>
  <c r="P74" i="1" a="1"/>
  <c r="P74" i="1" s="1"/>
  <c r="EP74" i="1" s="1"/>
  <c r="P75" i="1" a="1"/>
  <c r="P75" i="1" s="1"/>
  <c r="EP75" i="1" s="1"/>
  <c r="P76" i="1" a="1"/>
  <c r="P76" i="1" s="1"/>
  <c r="EP76" i="1" s="1"/>
  <c r="P77" i="1" a="1"/>
  <c r="P77" i="1" s="1"/>
  <c r="EP77" i="1" s="1"/>
  <c r="P78" i="1" a="1"/>
  <c r="P78" i="1" s="1"/>
  <c r="EP78" i="1" s="1"/>
  <c r="P79" i="1" a="1"/>
  <c r="P79" i="1" s="1"/>
  <c r="EP79" i="1" s="1"/>
  <c r="P80" i="1" a="1"/>
  <c r="P80" i="1"/>
  <c r="EP80" i="1" s="1"/>
  <c r="P81" i="1" a="1"/>
  <c r="P81" i="1" s="1"/>
  <c r="EP81" i="1" s="1"/>
  <c r="P82" i="1" a="1"/>
  <c r="P82" i="1" s="1"/>
  <c r="EP82" i="1" s="1"/>
  <c r="P83" i="1" a="1"/>
  <c r="P83" i="1" s="1"/>
  <c r="EP83" i="1" s="1"/>
  <c r="P84" i="1" a="1"/>
  <c r="P84" i="1" s="1"/>
  <c r="EP84" i="1" s="1"/>
  <c r="P85" i="1" a="1"/>
  <c r="P85" i="1" s="1"/>
  <c r="EP85" i="1" s="1"/>
  <c r="P86" i="1" a="1"/>
  <c r="P86" i="1" s="1"/>
  <c r="EP86" i="1" s="1"/>
  <c r="P87" i="1" a="1"/>
  <c r="P87" i="1" s="1"/>
  <c r="EP87" i="1" s="1"/>
  <c r="P88" i="1" a="1"/>
  <c r="P88" i="1"/>
  <c r="EP88" i="1" s="1"/>
  <c r="P89" i="1" a="1"/>
  <c r="P89" i="1" s="1"/>
  <c r="EP89" i="1" s="1"/>
  <c r="P90" i="1" a="1"/>
  <c r="P90" i="1" s="1"/>
  <c r="EP90" i="1" s="1"/>
  <c r="P91" i="1" a="1"/>
  <c r="P91" i="1" s="1"/>
  <c r="EP91" i="1" s="1"/>
  <c r="P92" i="1" a="1"/>
  <c r="P92" i="1" s="1"/>
  <c r="EP92" i="1" s="1"/>
  <c r="P93" i="1" a="1"/>
  <c r="P93" i="1" s="1"/>
  <c r="EP93" i="1" s="1"/>
  <c r="P94" i="1" a="1"/>
  <c r="P94" i="1" s="1"/>
  <c r="EP94" i="1" s="1"/>
  <c r="P95" i="1" a="1"/>
  <c r="P95" i="1" s="1"/>
  <c r="EP95" i="1" s="1"/>
  <c r="P96" i="1" a="1"/>
  <c r="P96" i="1"/>
  <c r="EP96" i="1" s="1"/>
  <c r="P97" i="1" a="1"/>
  <c r="P97" i="1" s="1"/>
  <c r="EP97" i="1" s="1"/>
  <c r="P98" i="1" a="1"/>
  <c r="P98" i="1" s="1"/>
  <c r="EP98" i="1" s="1"/>
  <c r="P99" i="1" a="1"/>
  <c r="P99" i="1" s="1"/>
  <c r="EP99" i="1" s="1"/>
  <c r="P100" i="1" a="1"/>
  <c r="P100" i="1"/>
  <c r="EP100" i="1" s="1"/>
  <c r="P101" i="1" a="1"/>
  <c r="P101" i="1" s="1"/>
  <c r="EP101" i="1" s="1"/>
  <c r="P102" i="1" a="1"/>
  <c r="P102" i="1" s="1"/>
  <c r="EP102" i="1" s="1"/>
  <c r="P103" i="1" a="1"/>
  <c r="P103" i="1" s="1"/>
  <c r="EP103" i="1" s="1"/>
  <c r="P104" i="1" a="1"/>
  <c r="P104" i="1" s="1"/>
  <c r="EP104" i="1" s="1"/>
  <c r="P105" i="1" a="1"/>
  <c r="P105" i="1" s="1"/>
  <c r="EP105" i="1" s="1"/>
  <c r="P106" i="1" a="1"/>
  <c r="P106" i="1" s="1"/>
  <c r="EP106" i="1" s="1"/>
  <c r="P107" i="1" a="1"/>
  <c r="P107" i="1" s="1"/>
  <c r="EP107" i="1" s="1"/>
  <c r="P108" i="1" a="1"/>
  <c r="P108" i="1" s="1"/>
  <c r="EP108" i="1" s="1"/>
  <c r="P109" i="1" a="1"/>
  <c r="P109" i="1" s="1"/>
  <c r="EP109" i="1" s="1"/>
  <c r="P110" i="1" a="1"/>
  <c r="P110" i="1" s="1"/>
  <c r="EP110" i="1" s="1"/>
  <c r="P111" i="1" a="1"/>
  <c r="P111" i="1" s="1"/>
  <c r="EP111" i="1" s="1"/>
  <c r="P112" i="1" a="1"/>
  <c r="P112" i="1"/>
  <c r="EP112" i="1" s="1"/>
  <c r="P113" i="1" a="1"/>
  <c r="P113" i="1" s="1"/>
  <c r="EP113" i="1" s="1"/>
  <c r="P114" i="1" a="1"/>
  <c r="P114" i="1" s="1"/>
  <c r="EP114" i="1" s="1"/>
  <c r="P115" i="1" a="1"/>
  <c r="P115" i="1" s="1"/>
  <c r="EP115" i="1" s="1"/>
  <c r="P116" i="1" a="1"/>
  <c r="P116" i="1" s="1"/>
  <c r="EP116" i="1" s="1"/>
  <c r="P117" i="1" a="1"/>
  <c r="P117" i="1" s="1"/>
  <c r="EP117" i="1" s="1"/>
  <c r="P118" i="1" a="1"/>
  <c r="P118" i="1" s="1"/>
  <c r="EP118" i="1" s="1"/>
  <c r="P119" i="1" a="1"/>
  <c r="P119" i="1" s="1"/>
  <c r="EP119" i="1" s="1"/>
  <c r="P120" i="1" a="1"/>
  <c r="P120" i="1"/>
  <c r="EP120" i="1" s="1"/>
  <c r="P121" i="1" a="1"/>
  <c r="P121" i="1" s="1"/>
  <c r="EP121" i="1" s="1"/>
  <c r="P122" i="1" a="1"/>
  <c r="P122" i="1" s="1"/>
  <c r="EP122" i="1" s="1"/>
  <c r="P123" i="1" a="1"/>
  <c r="P123" i="1" s="1"/>
  <c r="EP123" i="1" s="1"/>
  <c r="P124" i="1" a="1"/>
  <c r="P124" i="1" s="1"/>
  <c r="EP124" i="1" s="1"/>
  <c r="P125" i="1" a="1"/>
  <c r="P125" i="1" s="1"/>
  <c r="EP125" i="1" s="1"/>
  <c r="P126" i="1" a="1"/>
  <c r="P126" i="1" s="1"/>
  <c r="EP126" i="1" s="1"/>
  <c r="P127" i="1" a="1"/>
  <c r="P127" i="1" s="1"/>
  <c r="EP127" i="1" s="1"/>
  <c r="P128" i="1" a="1"/>
  <c r="P128" i="1"/>
  <c r="EP128" i="1" s="1"/>
  <c r="P129" i="1" a="1"/>
  <c r="P129" i="1" s="1"/>
  <c r="EP129" i="1" s="1"/>
  <c r="P130" i="1" a="1"/>
  <c r="P130" i="1" s="1"/>
  <c r="EP130" i="1" s="1"/>
  <c r="P131" i="1" a="1"/>
  <c r="P131" i="1" s="1"/>
  <c r="EP131" i="1" s="1"/>
  <c r="P132" i="1" a="1"/>
  <c r="P132" i="1"/>
  <c r="EP132" i="1" s="1"/>
  <c r="P133" i="1" a="1"/>
  <c r="P133" i="1" s="1"/>
  <c r="EP133" i="1" s="1"/>
  <c r="P134" i="1" a="1"/>
  <c r="P134" i="1" s="1"/>
  <c r="EP134" i="1" s="1"/>
  <c r="P135" i="1" a="1"/>
  <c r="P135" i="1" s="1"/>
  <c r="EP135" i="1" s="1"/>
  <c r="P136" i="1" a="1"/>
  <c r="P136" i="1" s="1"/>
  <c r="EP136" i="1" s="1"/>
  <c r="P137" i="1" a="1"/>
  <c r="P137" i="1" s="1"/>
  <c r="EP137" i="1" s="1"/>
  <c r="P138" i="1" a="1"/>
  <c r="P138" i="1" s="1"/>
  <c r="EP138" i="1" s="1"/>
  <c r="P139" i="1" a="1"/>
  <c r="P139" i="1" s="1"/>
  <c r="EP139" i="1" s="1"/>
  <c r="P140" i="1" a="1"/>
  <c r="P140" i="1" s="1"/>
  <c r="EP140" i="1" s="1"/>
  <c r="P141" i="1" a="1"/>
  <c r="P141" i="1" s="1"/>
  <c r="EP141" i="1" s="1"/>
  <c r="P142" i="1" a="1"/>
  <c r="P142" i="1" s="1"/>
  <c r="EP142" i="1" s="1"/>
  <c r="P143" i="1" a="1"/>
  <c r="P143" i="1" s="1"/>
  <c r="EP143" i="1" s="1"/>
  <c r="P144" i="1" a="1"/>
  <c r="P144" i="1"/>
  <c r="EP144" i="1" s="1"/>
  <c r="P145" i="1" a="1"/>
  <c r="P145" i="1" s="1"/>
  <c r="EP145" i="1" s="1"/>
  <c r="P146" i="1" a="1"/>
  <c r="P146" i="1" s="1"/>
  <c r="EP146" i="1" s="1"/>
  <c r="P147" i="1" a="1"/>
  <c r="P147" i="1" s="1"/>
  <c r="EP147" i="1" s="1"/>
  <c r="P148" i="1" a="1"/>
  <c r="P148" i="1" s="1"/>
  <c r="EP148" i="1" s="1"/>
  <c r="P149" i="1" a="1"/>
  <c r="P149" i="1" s="1"/>
  <c r="EP149" i="1" s="1"/>
  <c r="P150" i="1" a="1"/>
  <c r="P150" i="1" s="1"/>
  <c r="EP150" i="1" s="1"/>
  <c r="P151" i="1" a="1"/>
  <c r="P151" i="1" s="1"/>
  <c r="EP151" i="1" s="1"/>
  <c r="P152" i="1" a="1"/>
  <c r="P152" i="1"/>
  <c r="EP152" i="1" s="1"/>
  <c r="P153" i="1" a="1"/>
  <c r="P153" i="1" s="1"/>
  <c r="EP153" i="1" s="1"/>
  <c r="P154" i="1" a="1"/>
  <c r="P154" i="1" s="1"/>
  <c r="EP154" i="1" s="1"/>
  <c r="P155" i="1" a="1"/>
  <c r="P155" i="1" s="1"/>
  <c r="EP155" i="1" s="1"/>
  <c r="P156" i="1" a="1"/>
  <c r="P156" i="1" s="1"/>
  <c r="EP156" i="1" s="1"/>
  <c r="P157" i="1" a="1"/>
  <c r="P157" i="1" s="1"/>
  <c r="EP157" i="1" s="1"/>
  <c r="P158" i="1" a="1"/>
  <c r="P158" i="1" s="1"/>
  <c r="EP158" i="1" s="1"/>
  <c r="P159" i="1" a="1"/>
  <c r="P159" i="1" s="1"/>
  <c r="EP159" i="1" s="1"/>
  <c r="P160" i="1" a="1"/>
  <c r="P160" i="1"/>
  <c r="EP160" i="1" s="1"/>
  <c r="P161" i="1" a="1"/>
  <c r="P161" i="1" s="1"/>
  <c r="EP161" i="1" s="1"/>
  <c r="P162" i="1" a="1"/>
  <c r="P162" i="1" s="1"/>
  <c r="EP162" i="1" s="1"/>
  <c r="P163" i="1" a="1"/>
  <c r="P163" i="1" s="1"/>
  <c r="EP163" i="1" s="1"/>
  <c r="P164" i="1" a="1"/>
  <c r="P164" i="1" s="1"/>
  <c r="EP164" i="1" s="1"/>
  <c r="P165" i="1" a="1"/>
  <c r="P165" i="1" s="1"/>
  <c r="EP165" i="1" s="1"/>
  <c r="P166" i="1" a="1"/>
  <c r="P166" i="1" s="1"/>
  <c r="EP166" i="1" s="1"/>
  <c r="P167" i="1" a="1"/>
  <c r="P167" i="1" s="1"/>
  <c r="EP167" i="1" s="1"/>
  <c r="P168" i="1" a="1"/>
  <c r="P168" i="1"/>
  <c r="EP168" i="1" s="1"/>
  <c r="P169" i="1" a="1"/>
  <c r="P169" i="1" s="1"/>
  <c r="EP169" i="1" s="1"/>
  <c r="P170" i="1" a="1"/>
  <c r="P170" i="1" s="1"/>
  <c r="EP170" i="1" s="1"/>
  <c r="P171" i="1" a="1"/>
  <c r="P171" i="1" s="1"/>
  <c r="EP171" i="1" s="1"/>
  <c r="P172" i="1" a="1"/>
  <c r="P172" i="1" s="1"/>
  <c r="EP172" i="1" s="1"/>
  <c r="P173" i="1" a="1"/>
  <c r="P173" i="1" s="1"/>
  <c r="EP173" i="1" s="1"/>
  <c r="P174" i="1" a="1"/>
  <c r="P174" i="1" s="1"/>
  <c r="EP174" i="1" s="1"/>
  <c r="P175" i="1" a="1"/>
  <c r="P175" i="1" s="1"/>
  <c r="EP175" i="1" s="1"/>
  <c r="P176" i="1" a="1"/>
  <c r="P176" i="1" s="1"/>
  <c r="EP176" i="1" s="1"/>
  <c r="P177" i="1" a="1"/>
  <c r="P177" i="1" s="1"/>
  <c r="EP177" i="1" s="1"/>
  <c r="P178" i="1" a="1"/>
  <c r="P178" i="1" s="1"/>
  <c r="EP178" i="1" s="1"/>
  <c r="P179" i="1" a="1"/>
  <c r="P179" i="1" s="1"/>
  <c r="EP179" i="1" s="1"/>
  <c r="P180" i="1" a="1"/>
  <c r="P180" i="1" s="1"/>
  <c r="EP180" i="1" s="1"/>
  <c r="P181" i="1" a="1"/>
  <c r="P181" i="1" s="1"/>
  <c r="EP181" i="1" s="1"/>
  <c r="P182" i="1" a="1"/>
  <c r="P182" i="1" s="1"/>
  <c r="EP182" i="1" s="1"/>
  <c r="P183" i="1" a="1"/>
  <c r="P183" i="1" s="1"/>
  <c r="EP183" i="1" s="1"/>
  <c r="P184" i="1" a="1"/>
  <c r="P184" i="1" s="1"/>
  <c r="EP184" i="1" s="1"/>
  <c r="P185" i="1" a="1"/>
  <c r="P185" i="1" s="1"/>
  <c r="EP185" i="1" s="1"/>
  <c r="P186" i="1" a="1"/>
  <c r="P186" i="1" s="1"/>
  <c r="EP186" i="1" s="1"/>
  <c r="P187" i="1" a="1"/>
  <c r="P187" i="1" s="1"/>
  <c r="EP187" i="1" s="1"/>
  <c r="P188" i="1" a="1"/>
  <c r="P188" i="1"/>
  <c r="EP188" i="1" s="1"/>
  <c r="P189" i="1" a="1"/>
  <c r="P189" i="1" s="1"/>
  <c r="EP189" i="1" s="1"/>
  <c r="P190" i="1" a="1"/>
  <c r="P190" i="1" s="1"/>
  <c r="EP190" i="1" s="1"/>
  <c r="P191" i="1" a="1"/>
  <c r="P191" i="1" s="1"/>
  <c r="EP191" i="1" s="1"/>
  <c r="P192" i="1" a="1"/>
  <c r="P192" i="1" s="1"/>
  <c r="EP192" i="1" s="1"/>
  <c r="P193" i="1" a="1"/>
  <c r="P193" i="1" s="1"/>
  <c r="EP193" i="1" s="1"/>
  <c r="P194" i="1" a="1"/>
  <c r="P194" i="1" s="1"/>
  <c r="EP194" i="1" s="1"/>
  <c r="P195" i="1" a="1"/>
  <c r="P195" i="1" s="1"/>
  <c r="EP195" i="1" s="1"/>
  <c r="P196" i="1" a="1"/>
  <c r="P196" i="1"/>
  <c r="EP196" i="1" s="1"/>
  <c r="P197" i="1" a="1"/>
  <c r="P197" i="1" s="1"/>
  <c r="EP197" i="1" s="1"/>
  <c r="P198" i="1" a="1"/>
  <c r="P198" i="1" s="1"/>
  <c r="EP198" i="1" s="1"/>
  <c r="P199" i="1" a="1"/>
  <c r="P199" i="1" s="1"/>
  <c r="EP199" i="1" s="1"/>
  <c r="P200" i="1" a="1"/>
  <c r="P200" i="1" s="1"/>
  <c r="EP200" i="1" s="1"/>
  <c r="P201" i="1" a="1"/>
  <c r="P201" i="1" s="1"/>
  <c r="EP201" i="1" s="1"/>
  <c r="P202" i="1" a="1"/>
  <c r="P202" i="1" s="1"/>
  <c r="EP202" i="1" s="1"/>
  <c r="P203" i="1" a="1"/>
  <c r="P203" i="1" s="1"/>
  <c r="EP203" i="1" s="1"/>
  <c r="P204" i="1" a="1"/>
  <c r="P204" i="1"/>
  <c r="EP204" i="1" s="1"/>
  <c r="P205" i="1" a="1"/>
  <c r="P205" i="1" s="1"/>
  <c r="EP205" i="1" s="1"/>
  <c r="P206" i="1" a="1"/>
  <c r="P206" i="1" s="1"/>
  <c r="EP206" i="1" s="1"/>
  <c r="P207" i="1" a="1"/>
  <c r="P207" i="1" s="1"/>
  <c r="EP207" i="1" s="1"/>
  <c r="P208" i="1" a="1"/>
  <c r="P208" i="1" s="1"/>
  <c r="EP208" i="1" s="1"/>
  <c r="P209" i="1" a="1"/>
  <c r="P209" i="1" s="1"/>
  <c r="EP209" i="1" s="1"/>
  <c r="P210" i="1" a="1"/>
  <c r="P210" i="1" s="1"/>
  <c r="EP210" i="1" s="1"/>
  <c r="P211" i="1" a="1"/>
  <c r="P211" i="1" s="1"/>
  <c r="EP211" i="1" s="1"/>
  <c r="P212" i="1" a="1"/>
  <c r="P212" i="1"/>
  <c r="EP212" i="1" s="1"/>
  <c r="P213" i="1" a="1"/>
  <c r="P213" i="1" s="1"/>
  <c r="EP213" i="1" s="1"/>
  <c r="P214" i="1" a="1"/>
  <c r="P214" i="1" s="1"/>
  <c r="EP214" i="1" s="1"/>
  <c r="P215" i="1" a="1"/>
  <c r="P215" i="1" s="1"/>
  <c r="EP215" i="1" s="1"/>
  <c r="P216" i="1" a="1"/>
  <c r="P216" i="1" s="1"/>
  <c r="EP216" i="1" s="1"/>
  <c r="P217" i="1" a="1"/>
  <c r="P217" i="1" s="1"/>
  <c r="EP217" i="1" s="1"/>
  <c r="P218" i="1" a="1"/>
  <c r="P218" i="1" s="1"/>
  <c r="EP218" i="1" s="1"/>
  <c r="P219" i="1" a="1"/>
  <c r="P219" i="1" s="1"/>
  <c r="EP219" i="1" s="1"/>
  <c r="P220" i="1" a="1"/>
  <c r="P220" i="1"/>
  <c r="EP220" i="1" s="1"/>
  <c r="P221" i="1" a="1"/>
  <c r="P221" i="1" s="1"/>
  <c r="EP221" i="1" s="1"/>
  <c r="P222" i="1" a="1"/>
  <c r="P222" i="1" s="1"/>
  <c r="EP222" i="1" s="1"/>
  <c r="P223" i="1" a="1"/>
  <c r="P223" i="1" s="1"/>
  <c r="EP223" i="1" s="1"/>
  <c r="P224" i="1" a="1"/>
  <c r="P224" i="1" s="1"/>
  <c r="EP224" i="1" s="1"/>
  <c r="P225" i="1" a="1"/>
  <c r="P225" i="1" s="1"/>
  <c r="EP225" i="1" s="1"/>
  <c r="P226" i="1" a="1"/>
  <c r="P226" i="1" s="1"/>
  <c r="EP226" i="1" s="1"/>
  <c r="P227" i="1" a="1"/>
  <c r="P227" i="1" s="1"/>
  <c r="EP227" i="1" s="1"/>
  <c r="P228" i="1" a="1"/>
  <c r="P228" i="1"/>
  <c r="EP228" i="1" s="1"/>
  <c r="P229" i="1" a="1"/>
  <c r="P229" i="1" s="1"/>
  <c r="EP229" i="1" s="1"/>
  <c r="P230" i="1" a="1"/>
  <c r="P230" i="1" s="1"/>
  <c r="EP230" i="1" s="1"/>
  <c r="P231" i="1" a="1"/>
  <c r="P231" i="1" s="1"/>
  <c r="EP231" i="1" s="1"/>
  <c r="P232" i="1" a="1"/>
  <c r="P232" i="1" s="1"/>
  <c r="EP232" i="1" s="1"/>
  <c r="P233" i="1" a="1"/>
  <c r="P233" i="1" s="1"/>
  <c r="EP233" i="1" s="1"/>
  <c r="P234" i="1" a="1"/>
  <c r="P234" i="1" s="1"/>
  <c r="EP234" i="1" s="1"/>
  <c r="P235" i="1" a="1"/>
  <c r="P235" i="1" s="1"/>
  <c r="EP235" i="1" s="1"/>
  <c r="P236" i="1" a="1"/>
  <c r="P236" i="1" s="1"/>
  <c r="EP236" i="1" s="1"/>
  <c r="P237" i="1" a="1"/>
  <c r="P237" i="1" s="1"/>
  <c r="EP237" i="1" s="1"/>
  <c r="P238" i="1" a="1"/>
  <c r="P238" i="1"/>
  <c r="EP238" i="1" s="1"/>
  <c r="P239" i="1" a="1"/>
  <c r="P239" i="1" s="1"/>
  <c r="EP239" i="1" s="1"/>
  <c r="P240" i="1" a="1"/>
  <c r="P240" i="1" s="1"/>
  <c r="EP240" i="1" s="1"/>
  <c r="P241" i="1" a="1"/>
  <c r="P241" i="1" s="1"/>
  <c r="EP241" i="1" s="1"/>
  <c r="P242" i="1" a="1"/>
  <c r="P242" i="1" s="1"/>
  <c r="EP242" i="1" s="1"/>
  <c r="P243" i="1" a="1"/>
  <c r="P243" i="1" s="1"/>
  <c r="EP243" i="1" s="1"/>
  <c r="P244" i="1" a="1"/>
  <c r="P244" i="1" s="1"/>
  <c r="EP244" i="1" s="1"/>
  <c r="P245" i="1" a="1"/>
  <c r="P245" i="1" s="1"/>
  <c r="EP245" i="1" s="1"/>
  <c r="P246" i="1" a="1"/>
  <c r="P246" i="1"/>
  <c r="EP246" i="1" s="1"/>
  <c r="P247" i="1" a="1"/>
  <c r="P247" i="1" s="1"/>
  <c r="EP247" i="1" s="1"/>
  <c r="P248" i="1" a="1"/>
  <c r="P248" i="1" s="1"/>
  <c r="EP248" i="1" s="1"/>
  <c r="P249" i="1" a="1"/>
  <c r="P249" i="1" s="1"/>
  <c r="EP249" i="1" s="1"/>
  <c r="P250" i="1" a="1"/>
  <c r="P250" i="1" s="1"/>
  <c r="EP250" i="1" s="1"/>
  <c r="P251" i="1" a="1"/>
  <c r="P251" i="1" s="1"/>
  <c r="EP251" i="1" s="1"/>
  <c r="P252" i="1" a="1"/>
  <c r="P252" i="1" s="1"/>
  <c r="EP252" i="1" s="1"/>
  <c r="P253" i="1" a="1"/>
  <c r="P253" i="1" s="1"/>
  <c r="EP253" i="1" s="1"/>
  <c r="P254" i="1" a="1"/>
  <c r="P254" i="1"/>
  <c r="EP254" i="1" s="1"/>
  <c r="P255" i="1" a="1"/>
  <c r="P255" i="1" s="1"/>
  <c r="EP255" i="1" s="1"/>
  <c r="P256" i="1" a="1"/>
  <c r="P256" i="1" s="1"/>
  <c r="EP256" i="1" s="1"/>
  <c r="P257" i="1" a="1"/>
  <c r="P257" i="1" s="1"/>
  <c r="EP257" i="1" s="1"/>
  <c r="P258" i="1" a="1"/>
  <c r="P258" i="1" s="1"/>
  <c r="EP258" i="1" s="1"/>
  <c r="P259" i="1" a="1"/>
  <c r="P259" i="1" s="1"/>
  <c r="EP259" i="1" s="1"/>
  <c r="P260" i="1" a="1"/>
  <c r="P260" i="1" s="1"/>
  <c r="EP260" i="1" s="1"/>
  <c r="P261" i="1" a="1"/>
  <c r="P261" i="1" s="1"/>
  <c r="EP261" i="1" s="1"/>
  <c r="P262" i="1" a="1"/>
  <c r="P262" i="1"/>
  <c r="EP262" i="1" s="1"/>
  <c r="P263" i="1" a="1"/>
  <c r="P263" i="1" s="1"/>
  <c r="EP263" i="1" s="1"/>
  <c r="P264" i="1" a="1"/>
  <c r="P264" i="1" s="1"/>
  <c r="EP264" i="1" s="1"/>
  <c r="P265" i="1" a="1"/>
  <c r="P265" i="1" s="1"/>
  <c r="EP265" i="1" s="1"/>
  <c r="P266" i="1" a="1"/>
  <c r="P266" i="1" s="1"/>
  <c r="EP266" i="1" s="1"/>
  <c r="P267" i="1" a="1"/>
  <c r="P267" i="1" s="1"/>
  <c r="EP267" i="1" s="1"/>
  <c r="P268" i="1" a="1"/>
  <c r="P268" i="1" s="1"/>
  <c r="EP268" i="1" s="1"/>
  <c r="P269" i="1" a="1"/>
  <c r="P269" i="1" s="1"/>
  <c r="EP269" i="1" s="1"/>
  <c r="P270" i="1" a="1"/>
  <c r="P270" i="1"/>
  <c r="EP270" i="1" s="1"/>
  <c r="P271" i="1" a="1"/>
  <c r="P271" i="1" s="1"/>
  <c r="EP271" i="1" s="1"/>
  <c r="P272" i="1" a="1"/>
  <c r="P272" i="1" s="1"/>
  <c r="EP272" i="1" s="1"/>
  <c r="P273" i="1" a="1"/>
  <c r="P273" i="1" s="1"/>
  <c r="EP273" i="1" s="1"/>
  <c r="P274" i="1" a="1"/>
  <c r="P274" i="1" s="1"/>
  <c r="EP274" i="1" s="1"/>
  <c r="P275" i="1" a="1"/>
  <c r="P275" i="1" s="1"/>
  <c r="EP275" i="1" s="1"/>
  <c r="P276" i="1" a="1"/>
  <c r="P276" i="1" s="1"/>
  <c r="EP276" i="1" s="1"/>
  <c r="P277" i="1" a="1"/>
  <c r="P277" i="1" s="1"/>
  <c r="EP277" i="1" s="1"/>
  <c r="P278" i="1" a="1"/>
  <c r="P278" i="1"/>
  <c r="EP278" i="1" s="1"/>
  <c r="P279" i="1" a="1"/>
  <c r="P279" i="1" s="1"/>
  <c r="EP279" i="1" s="1"/>
  <c r="P280" i="1" a="1"/>
  <c r="P280" i="1" s="1"/>
  <c r="EP280" i="1" s="1"/>
  <c r="P281" i="1" a="1"/>
  <c r="P281" i="1" s="1"/>
  <c r="EP281" i="1" s="1"/>
  <c r="P282" i="1" a="1"/>
  <c r="P282" i="1" s="1"/>
  <c r="EP282" i="1" s="1"/>
  <c r="P283" i="1" a="1"/>
  <c r="P283" i="1" s="1"/>
  <c r="EP283" i="1" s="1"/>
  <c r="P284" i="1" a="1"/>
  <c r="P284" i="1" s="1"/>
  <c r="EP284" i="1" s="1"/>
  <c r="P285" i="1" a="1"/>
  <c r="P285" i="1" s="1"/>
  <c r="EP285" i="1" s="1"/>
  <c r="P286" i="1" a="1"/>
  <c r="P286" i="1"/>
  <c r="EP286" i="1" s="1"/>
  <c r="P287" i="1" a="1"/>
  <c r="P287" i="1" s="1"/>
  <c r="EP287" i="1" s="1"/>
  <c r="P288" i="1" a="1"/>
  <c r="P288" i="1" s="1"/>
  <c r="EP288" i="1" s="1"/>
  <c r="P289" i="1" a="1"/>
  <c r="P289" i="1" s="1"/>
  <c r="EP289" i="1" s="1"/>
  <c r="P290" i="1" a="1"/>
  <c r="P290" i="1" s="1"/>
  <c r="EP290" i="1" s="1"/>
  <c r="P291" i="1" a="1"/>
  <c r="P291" i="1" s="1"/>
  <c r="EP291" i="1" s="1"/>
  <c r="P292" i="1" a="1"/>
  <c r="P292" i="1" s="1"/>
  <c r="EP292" i="1" s="1"/>
  <c r="P293" i="1" a="1"/>
  <c r="P293" i="1" s="1"/>
  <c r="EP293" i="1" s="1"/>
  <c r="P294" i="1" a="1"/>
  <c r="P294" i="1"/>
  <c r="EP294" i="1" s="1"/>
  <c r="P295" i="1" a="1"/>
  <c r="P295" i="1" s="1"/>
  <c r="EP295" i="1" s="1"/>
  <c r="P296" i="1" a="1"/>
  <c r="P296" i="1" s="1"/>
  <c r="EP296" i="1" s="1"/>
  <c r="P297" i="1" a="1"/>
  <c r="P297" i="1" s="1"/>
  <c r="EP297" i="1" s="1"/>
  <c r="P298" i="1" a="1"/>
  <c r="P298" i="1" s="1"/>
  <c r="EP298" i="1" s="1"/>
  <c r="P299" i="1" a="1"/>
  <c r="P299" i="1" s="1"/>
  <c r="EP299" i="1" s="1"/>
  <c r="P300" i="1" a="1"/>
  <c r="P300" i="1" s="1"/>
  <c r="EP300" i="1" s="1"/>
  <c r="P301" i="1" a="1"/>
  <c r="P301" i="1" s="1"/>
  <c r="EP301" i="1" s="1"/>
  <c r="P302" i="1" a="1"/>
  <c r="P302" i="1"/>
  <c r="EP302" i="1" s="1"/>
  <c r="P303" i="1" a="1"/>
  <c r="P303" i="1"/>
  <c r="EP303" i="1" s="1"/>
  <c r="P304" i="1" a="1"/>
  <c r="P304" i="1"/>
  <c r="EP304" i="1" s="1"/>
  <c r="P305" i="1" a="1"/>
  <c r="P305" i="1"/>
  <c r="EP305" i="1" s="1"/>
  <c r="P306" i="1" a="1"/>
  <c r="P306" i="1"/>
  <c r="EP306" i="1" s="1"/>
  <c r="P307" i="1" a="1"/>
  <c r="P307" i="1"/>
  <c r="EP307" i="1" s="1"/>
  <c r="P308" i="1" a="1"/>
  <c r="P308" i="1"/>
  <c r="EP308" i="1" s="1"/>
  <c r="P309" i="1" a="1"/>
  <c r="P309" i="1"/>
  <c r="EP309" i="1" s="1"/>
  <c r="P310" i="1" a="1"/>
  <c r="P310" i="1"/>
  <c r="EP310" i="1" s="1"/>
  <c r="P311" i="1" a="1"/>
  <c r="P311" i="1"/>
  <c r="EP311" i="1" s="1"/>
  <c r="P312" i="1" a="1"/>
  <c r="P312" i="1"/>
  <c r="EP312" i="1" s="1"/>
  <c r="P313" i="1" a="1"/>
  <c r="P313" i="1"/>
  <c r="EP313" i="1" s="1"/>
  <c r="P314" i="1" a="1"/>
  <c r="P314" i="1"/>
  <c r="EP314" i="1" s="1"/>
  <c r="P315" i="1" a="1"/>
  <c r="P315" i="1"/>
  <c r="EP315" i="1" s="1"/>
  <c r="P316" i="1" a="1"/>
  <c r="P316" i="1"/>
  <c r="EP316" i="1" s="1"/>
  <c r="P317" i="1" a="1"/>
  <c r="P317" i="1"/>
  <c r="EP317" i="1" s="1"/>
  <c r="P318" i="1" a="1"/>
  <c r="P318" i="1"/>
  <c r="EP318" i="1" s="1"/>
  <c r="P319" i="1" a="1"/>
  <c r="P319" i="1"/>
  <c r="EP319" i="1" s="1"/>
  <c r="P320" i="1" a="1"/>
  <c r="P320" i="1"/>
  <c r="EP320" i="1" s="1"/>
  <c r="P321" i="1" a="1"/>
  <c r="P321" i="1"/>
  <c r="EP321" i="1" s="1"/>
  <c r="P322" i="1" a="1"/>
  <c r="P322" i="1"/>
  <c r="EP322" i="1" s="1"/>
  <c r="P323" i="1" a="1"/>
  <c r="P323" i="1"/>
  <c r="EP323" i="1" s="1"/>
  <c r="P324" i="1" a="1"/>
  <c r="P324" i="1"/>
  <c r="EP324" i="1" s="1"/>
  <c r="P325" i="1" a="1"/>
  <c r="P325" i="1"/>
  <c r="EP325" i="1" s="1"/>
  <c r="P326" i="1" a="1"/>
  <c r="P326" i="1"/>
  <c r="EP326" i="1" s="1"/>
  <c r="P327" i="1" a="1"/>
  <c r="P327" i="1"/>
  <c r="EP327" i="1" s="1"/>
  <c r="P328" i="1" a="1"/>
  <c r="P328" i="1"/>
  <c r="EP328" i="1" s="1"/>
  <c r="P329" i="1" a="1"/>
  <c r="P329" i="1"/>
  <c r="EP329" i="1" s="1"/>
  <c r="P330" i="1" a="1"/>
  <c r="P330" i="1"/>
  <c r="EP330" i="1" s="1"/>
  <c r="P331" i="1" a="1"/>
  <c r="P331" i="1"/>
  <c r="EP331" i="1" s="1"/>
  <c r="P332" i="1" a="1"/>
  <c r="P332" i="1"/>
  <c r="EP332" i="1" s="1"/>
  <c r="P333" i="1" a="1"/>
  <c r="P333" i="1"/>
  <c r="EP333" i="1" s="1"/>
  <c r="P334" i="1" a="1"/>
  <c r="P334" i="1" s="1"/>
  <c r="EP334" i="1" s="1"/>
  <c r="P335" i="1" a="1"/>
  <c r="P335" i="1" s="1"/>
  <c r="EP335" i="1" s="1"/>
  <c r="P336" i="1" a="1"/>
  <c r="P336" i="1" s="1"/>
  <c r="EP336" i="1" s="1"/>
  <c r="P337" i="1" a="1"/>
  <c r="P337" i="1"/>
  <c r="EP337" i="1" s="1"/>
  <c r="P338" i="1" a="1"/>
  <c r="P338" i="1" s="1"/>
  <c r="EP338" i="1" s="1"/>
  <c r="P339" i="1" a="1"/>
  <c r="P339" i="1" s="1"/>
  <c r="EP339" i="1" s="1"/>
  <c r="P340" i="1" a="1"/>
  <c r="P340" i="1" s="1"/>
  <c r="EP340" i="1" s="1"/>
  <c r="P341" i="1" a="1"/>
  <c r="P341" i="1"/>
  <c r="EP341" i="1" s="1"/>
  <c r="P342" i="1" a="1"/>
  <c r="P342" i="1" s="1"/>
  <c r="EP342" i="1" s="1"/>
  <c r="P343" i="1" a="1"/>
  <c r="P343" i="1" s="1"/>
  <c r="EP343" i="1" s="1"/>
  <c r="P344" i="1" a="1"/>
  <c r="P344" i="1" s="1"/>
  <c r="EP344" i="1" s="1"/>
  <c r="P345" i="1" a="1"/>
  <c r="P345" i="1"/>
  <c r="EP345" i="1" s="1"/>
  <c r="P346" i="1" a="1"/>
  <c r="P346" i="1" s="1"/>
  <c r="EP346" i="1" s="1"/>
  <c r="P347" i="1" a="1"/>
  <c r="P347" i="1" s="1"/>
  <c r="EP347" i="1" s="1"/>
  <c r="P348" i="1" a="1"/>
  <c r="P348" i="1" s="1"/>
  <c r="EP348" i="1" s="1"/>
  <c r="P349" i="1" a="1"/>
  <c r="P349" i="1"/>
  <c r="EP349" i="1" s="1"/>
  <c r="P350" i="1" a="1"/>
  <c r="P350" i="1" s="1"/>
  <c r="EP350" i="1" s="1"/>
  <c r="P351" i="1" a="1"/>
  <c r="P351" i="1" s="1"/>
  <c r="EP351" i="1" s="1"/>
  <c r="P352" i="1" a="1"/>
  <c r="P352" i="1" s="1"/>
  <c r="EP352" i="1" s="1"/>
  <c r="P353" i="1" a="1"/>
  <c r="P353" i="1"/>
  <c r="EP353" i="1" s="1"/>
  <c r="P354" i="1" a="1"/>
  <c r="P354" i="1" s="1"/>
  <c r="EP354" i="1" s="1"/>
  <c r="P355" i="1" a="1"/>
  <c r="P355" i="1" s="1"/>
  <c r="EP355" i="1" s="1"/>
  <c r="P356" i="1" a="1"/>
  <c r="P356" i="1" s="1"/>
  <c r="EP356" i="1" s="1"/>
  <c r="P357" i="1" a="1"/>
  <c r="P357" i="1"/>
  <c r="EP357" i="1" s="1"/>
  <c r="P358" i="1" a="1"/>
  <c r="P358" i="1" s="1"/>
  <c r="EP358" i="1" s="1"/>
  <c r="P359" i="1" a="1"/>
  <c r="P359" i="1" s="1"/>
  <c r="EP359" i="1" s="1"/>
  <c r="P360" i="1" a="1"/>
  <c r="P360" i="1" s="1"/>
  <c r="EP360" i="1" s="1"/>
  <c r="P361" i="1" a="1"/>
  <c r="P361" i="1" s="1"/>
  <c r="EP361" i="1" s="1"/>
  <c r="P362" i="1" a="1"/>
  <c r="P362" i="1" s="1"/>
  <c r="EP362" i="1" s="1"/>
  <c r="P363" i="1" a="1"/>
  <c r="P363" i="1" s="1"/>
  <c r="EP363" i="1" s="1"/>
  <c r="P364" i="1" a="1"/>
  <c r="P364" i="1" s="1"/>
  <c r="EP364" i="1" s="1"/>
  <c r="P365" i="1" a="1"/>
  <c r="P365" i="1"/>
  <c r="EP365" i="1" s="1"/>
  <c r="P366" i="1" a="1"/>
  <c r="P366" i="1" s="1"/>
  <c r="EP366" i="1" s="1"/>
  <c r="P367" i="1" a="1"/>
  <c r="P367" i="1" s="1"/>
  <c r="EP367" i="1" s="1"/>
  <c r="P368" i="1" a="1"/>
  <c r="P368" i="1" s="1"/>
  <c r="EP368" i="1" s="1"/>
  <c r="P369" i="1" a="1"/>
  <c r="P369" i="1" s="1"/>
  <c r="EP369" i="1" s="1"/>
  <c r="P370" i="1" a="1"/>
  <c r="P370" i="1" s="1"/>
  <c r="EP370" i="1" s="1"/>
  <c r="P371" i="1" a="1"/>
  <c r="P371" i="1" s="1"/>
  <c r="EP371" i="1" s="1"/>
  <c r="P372" i="1" a="1"/>
  <c r="P372" i="1" s="1"/>
  <c r="EP372" i="1" s="1"/>
  <c r="P373" i="1" a="1"/>
  <c r="P373" i="1"/>
  <c r="EP373" i="1" s="1"/>
  <c r="P374" i="1" a="1"/>
  <c r="P374" i="1" s="1"/>
  <c r="EP374" i="1" s="1"/>
  <c r="P375" i="1" a="1"/>
  <c r="P375" i="1" s="1"/>
  <c r="EP375" i="1" s="1"/>
  <c r="P376" i="1" a="1"/>
  <c r="P376" i="1" s="1"/>
  <c r="EP376" i="1" s="1"/>
  <c r="P377" i="1" a="1"/>
  <c r="P377" i="1" s="1"/>
  <c r="EP377" i="1" s="1"/>
  <c r="P378" i="1" a="1"/>
  <c r="P378" i="1" s="1"/>
  <c r="EP378" i="1" s="1"/>
  <c r="P379" i="1" a="1"/>
  <c r="P379" i="1" s="1"/>
  <c r="EP379" i="1" s="1"/>
  <c r="P380" i="1" a="1"/>
  <c r="P380" i="1" s="1"/>
  <c r="EP380" i="1" s="1"/>
  <c r="P381" i="1" a="1"/>
  <c r="P381" i="1"/>
  <c r="EP381" i="1" s="1"/>
  <c r="P382" i="1" a="1"/>
  <c r="P382" i="1" s="1"/>
  <c r="EP382" i="1" s="1"/>
  <c r="P383" i="1" a="1"/>
  <c r="P383" i="1" s="1"/>
  <c r="EP383" i="1" s="1"/>
  <c r="P384" i="1" a="1"/>
  <c r="P384" i="1" s="1"/>
  <c r="EP384" i="1" s="1"/>
  <c r="P385" i="1" a="1"/>
  <c r="P385" i="1" s="1"/>
  <c r="EP385" i="1" s="1"/>
  <c r="P386" i="1" a="1"/>
  <c r="P386" i="1" s="1"/>
  <c r="EP386" i="1" s="1"/>
  <c r="P387" i="1" a="1"/>
  <c r="P387" i="1" s="1"/>
  <c r="EP387" i="1" s="1"/>
  <c r="P388" i="1" a="1"/>
  <c r="P388" i="1" s="1"/>
  <c r="EP388" i="1" s="1"/>
  <c r="P389" i="1" a="1"/>
  <c r="P389" i="1"/>
  <c r="EP389" i="1" s="1"/>
  <c r="P390" i="1" a="1"/>
  <c r="P390" i="1" s="1"/>
  <c r="EP390" i="1" s="1"/>
  <c r="P391" i="1" a="1"/>
  <c r="P391" i="1" s="1"/>
  <c r="EP391" i="1" s="1"/>
  <c r="P392" i="1" a="1"/>
  <c r="P392" i="1" s="1"/>
  <c r="EP392" i="1" s="1"/>
  <c r="P393" i="1" a="1"/>
  <c r="P393" i="1" s="1"/>
  <c r="EP393" i="1" s="1"/>
  <c r="P394" i="1" a="1"/>
  <c r="P394" i="1" s="1"/>
  <c r="EP394" i="1" s="1"/>
  <c r="P395" i="1" a="1"/>
  <c r="P395" i="1" s="1"/>
  <c r="EP395" i="1" s="1"/>
  <c r="P396" i="1" a="1"/>
  <c r="P396" i="1" s="1"/>
  <c r="EP396" i="1" s="1"/>
  <c r="P397" i="1" a="1"/>
  <c r="P397" i="1"/>
  <c r="EP397" i="1" s="1"/>
  <c r="P398" i="1" a="1"/>
  <c r="P398" i="1" s="1"/>
  <c r="EP398" i="1" s="1"/>
  <c r="P399" i="1" a="1"/>
  <c r="P399" i="1" s="1"/>
  <c r="EP399" i="1" s="1"/>
  <c r="P400" i="1" a="1"/>
  <c r="P400" i="1" s="1"/>
  <c r="EP400" i="1" s="1"/>
  <c r="P401" i="1" a="1"/>
  <c r="P401" i="1" s="1"/>
  <c r="EP401" i="1" s="1"/>
  <c r="P402" i="1" a="1"/>
  <c r="P402" i="1" s="1"/>
  <c r="EP402" i="1" s="1"/>
  <c r="P403" i="1" a="1"/>
  <c r="P403" i="1" s="1"/>
  <c r="EP403" i="1" s="1"/>
  <c r="P404" i="1" a="1"/>
  <c r="P404" i="1" s="1"/>
  <c r="EP404" i="1" s="1"/>
  <c r="P405" i="1" a="1"/>
  <c r="P405" i="1"/>
  <c r="EP405" i="1" s="1"/>
  <c r="P406" i="1" a="1"/>
  <c r="P406" i="1" s="1"/>
  <c r="EP406" i="1" s="1"/>
  <c r="P407" i="1" a="1"/>
  <c r="P407" i="1" s="1"/>
  <c r="EP407" i="1" s="1"/>
  <c r="P408" i="1" a="1"/>
  <c r="P408" i="1" s="1"/>
  <c r="EP408" i="1" s="1"/>
  <c r="P409" i="1" a="1"/>
  <c r="P409" i="1" s="1"/>
  <c r="EP409" i="1" s="1"/>
  <c r="P410" i="1" a="1"/>
  <c r="P410" i="1" s="1"/>
  <c r="EP410" i="1" s="1"/>
  <c r="P411" i="1" a="1"/>
  <c r="P411" i="1" s="1"/>
  <c r="EP411" i="1" s="1"/>
  <c r="P412" i="1" a="1"/>
  <c r="P412" i="1" s="1"/>
  <c r="EP412" i="1" s="1"/>
  <c r="P413" i="1" a="1"/>
  <c r="P413" i="1"/>
  <c r="EP413" i="1" s="1"/>
  <c r="P414" i="1" a="1"/>
  <c r="P414" i="1" s="1"/>
  <c r="EP414" i="1" s="1"/>
  <c r="P415" i="1" a="1"/>
  <c r="P415" i="1" s="1"/>
  <c r="EP415" i="1" s="1"/>
  <c r="P416" i="1" a="1"/>
  <c r="P416" i="1" s="1"/>
  <c r="EP416" i="1" s="1"/>
  <c r="P417" i="1" a="1"/>
  <c r="P417" i="1" s="1"/>
  <c r="EP417" i="1" s="1"/>
  <c r="P418" i="1" a="1"/>
  <c r="P418" i="1" s="1"/>
  <c r="EP418" i="1" s="1"/>
  <c r="P419" i="1" a="1"/>
  <c r="P419" i="1" s="1"/>
  <c r="EP419" i="1" s="1"/>
  <c r="P420" i="1" a="1"/>
  <c r="P420" i="1" s="1"/>
  <c r="EP420" i="1" s="1"/>
  <c r="P421" i="1" a="1"/>
  <c r="P421" i="1"/>
  <c r="EP421" i="1" s="1"/>
  <c r="P422" i="1" a="1"/>
  <c r="P422" i="1" s="1"/>
  <c r="EP422" i="1" s="1"/>
  <c r="P423" i="1" a="1"/>
  <c r="P423" i="1" s="1"/>
  <c r="EP423" i="1" s="1"/>
  <c r="P424" i="1" a="1"/>
  <c r="P424" i="1" s="1"/>
  <c r="EP424" i="1" s="1"/>
  <c r="P425" i="1" a="1"/>
  <c r="P425" i="1" s="1"/>
  <c r="EP425" i="1" s="1"/>
  <c r="P426" i="1" a="1"/>
  <c r="P426" i="1" s="1"/>
  <c r="EP426" i="1" s="1"/>
  <c r="P427" i="1" a="1"/>
  <c r="P427" i="1" s="1"/>
  <c r="EP427" i="1" s="1"/>
  <c r="P428" i="1" a="1"/>
  <c r="P428" i="1" s="1"/>
  <c r="EP428" i="1" s="1"/>
  <c r="P429" i="1" a="1"/>
  <c r="P429" i="1"/>
  <c r="EP429" i="1" s="1"/>
  <c r="P430" i="1" a="1"/>
  <c r="P430" i="1" s="1"/>
  <c r="EP430" i="1" s="1"/>
  <c r="P431" i="1" a="1"/>
  <c r="P431" i="1" s="1"/>
  <c r="EP431" i="1" s="1"/>
  <c r="P432" i="1" a="1"/>
  <c r="P432" i="1" s="1"/>
  <c r="EP432" i="1" s="1"/>
  <c r="P433" i="1" a="1"/>
  <c r="P433" i="1" s="1"/>
  <c r="EP433" i="1" s="1"/>
  <c r="P434" i="1" a="1"/>
  <c r="P434" i="1" s="1"/>
  <c r="EP434" i="1" s="1"/>
  <c r="P435" i="1" a="1"/>
  <c r="P435" i="1" s="1"/>
  <c r="EP435" i="1" s="1"/>
  <c r="P436" i="1" a="1"/>
  <c r="P436" i="1" s="1"/>
  <c r="EP436" i="1" s="1"/>
  <c r="P437" i="1" a="1"/>
  <c r="P437" i="1"/>
  <c r="EP437" i="1" s="1"/>
  <c r="P438" i="1" a="1"/>
  <c r="P438" i="1" s="1"/>
  <c r="EP438" i="1" s="1"/>
  <c r="P439" i="1" a="1"/>
  <c r="P439" i="1" s="1"/>
  <c r="EP439" i="1" s="1"/>
  <c r="P440" i="1" a="1"/>
  <c r="P440" i="1" s="1"/>
  <c r="EP440" i="1" s="1"/>
  <c r="P441" i="1" a="1"/>
  <c r="P441" i="1" s="1"/>
  <c r="EP441" i="1" s="1"/>
  <c r="P442" i="1" a="1"/>
  <c r="P442" i="1" s="1"/>
  <c r="EP442" i="1" s="1"/>
  <c r="P443" i="1" a="1"/>
  <c r="P443" i="1" s="1"/>
  <c r="EP443" i="1" s="1"/>
  <c r="P444" i="1" a="1"/>
  <c r="P444" i="1" s="1"/>
  <c r="EP444" i="1" s="1"/>
  <c r="P445" i="1" a="1"/>
  <c r="P445" i="1"/>
  <c r="EP445" i="1" s="1"/>
  <c r="P446" i="1" a="1"/>
  <c r="P446" i="1" s="1"/>
  <c r="EP446" i="1" s="1"/>
  <c r="P447" i="1" a="1"/>
  <c r="P447" i="1" s="1"/>
  <c r="EP447" i="1" s="1"/>
  <c r="P448" i="1" a="1"/>
  <c r="P448" i="1" s="1"/>
  <c r="EP448" i="1" s="1"/>
  <c r="P449" i="1" a="1"/>
  <c r="P449" i="1" s="1"/>
  <c r="EP449" i="1" s="1"/>
  <c r="P450" i="1" a="1"/>
  <c r="P450" i="1" s="1"/>
  <c r="EP450" i="1" s="1"/>
  <c r="P451" i="1" a="1"/>
  <c r="P451" i="1" s="1"/>
  <c r="EP451" i="1" s="1"/>
  <c r="P452" i="1" a="1"/>
  <c r="P452" i="1" s="1"/>
  <c r="EP452" i="1" s="1"/>
  <c r="P453" i="1" a="1"/>
  <c r="P453" i="1"/>
  <c r="EP453" i="1" s="1"/>
  <c r="P454" i="1" a="1"/>
  <c r="P454" i="1" s="1"/>
  <c r="EP454" i="1" s="1"/>
  <c r="P455" i="1" a="1"/>
  <c r="P455" i="1" s="1"/>
  <c r="EP455" i="1" s="1"/>
  <c r="P456" i="1" a="1"/>
  <c r="P456" i="1" s="1"/>
  <c r="EP456" i="1" s="1"/>
  <c r="P457" i="1" a="1"/>
  <c r="P457" i="1" s="1"/>
  <c r="EP457" i="1" s="1"/>
  <c r="P458" i="1" a="1"/>
  <c r="P458" i="1" s="1"/>
  <c r="EP458" i="1" s="1"/>
  <c r="P459" i="1" a="1"/>
  <c r="P459" i="1" s="1"/>
  <c r="EP459" i="1" s="1"/>
  <c r="P460" i="1" a="1"/>
  <c r="P460" i="1" s="1"/>
  <c r="EP460" i="1" s="1"/>
  <c r="P461" i="1" a="1"/>
  <c r="P461" i="1"/>
  <c r="EP461" i="1" s="1"/>
  <c r="P462" i="1" a="1"/>
  <c r="P462" i="1" s="1"/>
  <c r="EP462" i="1" s="1"/>
  <c r="P463" i="1" a="1"/>
  <c r="P463" i="1" s="1"/>
  <c r="EP463" i="1" s="1"/>
  <c r="P464" i="1" a="1"/>
  <c r="P464" i="1" s="1"/>
  <c r="EP464" i="1" s="1"/>
  <c r="P465" i="1" a="1"/>
  <c r="P465" i="1" s="1"/>
  <c r="EP465" i="1" s="1"/>
  <c r="P466" i="1" a="1"/>
  <c r="P466" i="1" s="1"/>
  <c r="EP466" i="1" s="1"/>
  <c r="P467" i="1" a="1"/>
  <c r="P467" i="1" s="1"/>
  <c r="EP467" i="1" s="1"/>
  <c r="P468" i="1" a="1"/>
  <c r="P468" i="1" s="1"/>
  <c r="EP468" i="1" s="1"/>
  <c r="P469" i="1" a="1"/>
  <c r="P469" i="1"/>
  <c r="EP469" i="1" s="1"/>
  <c r="P470" i="1" a="1"/>
  <c r="P470" i="1" s="1"/>
  <c r="EP470" i="1" s="1"/>
  <c r="P471" i="1" a="1"/>
  <c r="P471" i="1" s="1"/>
  <c r="EP471" i="1" s="1"/>
  <c r="P472" i="1" a="1"/>
  <c r="P472" i="1" s="1"/>
  <c r="EP472" i="1" s="1"/>
  <c r="P473" i="1" a="1"/>
  <c r="P473" i="1" s="1"/>
  <c r="EP473" i="1" s="1"/>
  <c r="P474" i="1" a="1"/>
  <c r="P474" i="1" s="1"/>
  <c r="EP474" i="1" s="1"/>
  <c r="P475" i="1" a="1"/>
  <c r="P475" i="1" s="1"/>
  <c r="EP475" i="1" s="1"/>
  <c r="P476" i="1" a="1"/>
  <c r="P476" i="1" s="1"/>
  <c r="EP476" i="1" s="1"/>
  <c r="P477" i="1" a="1"/>
  <c r="P477" i="1"/>
  <c r="EP477" i="1" s="1"/>
  <c r="P478" i="1" a="1"/>
  <c r="P478" i="1" s="1"/>
  <c r="EP478" i="1" s="1"/>
  <c r="P479" i="1" a="1"/>
  <c r="P479" i="1" s="1"/>
  <c r="EP479" i="1" s="1"/>
  <c r="P480" i="1" a="1"/>
  <c r="P480" i="1" s="1"/>
  <c r="EP480" i="1" s="1"/>
  <c r="P481" i="1" a="1"/>
  <c r="P481" i="1" s="1"/>
  <c r="EP481" i="1" s="1"/>
  <c r="P482" i="1" a="1"/>
  <c r="P482" i="1" s="1"/>
  <c r="EP482" i="1" s="1"/>
  <c r="P483" i="1" a="1"/>
  <c r="P483" i="1" s="1"/>
  <c r="EP483" i="1" s="1"/>
  <c r="P484" i="1" a="1"/>
  <c r="P484" i="1" s="1"/>
  <c r="EP484" i="1" s="1"/>
  <c r="P485" i="1" a="1"/>
  <c r="P485" i="1"/>
  <c r="EP485" i="1" s="1"/>
  <c r="P486" i="1" a="1"/>
  <c r="P486" i="1" s="1"/>
  <c r="EP486" i="1" s="1"/>
  <c r="P487" i="1" a="1"/>
  <c r="P487" i="1" s="1"/>
  <c r="EP487" i="1" s="1"/>
  <c r="P488" i="1" a="1"/>
  <c r="P488" i="1" s="1"/>
  <c r="EP488" i="1" s="1"/>
  <c r="P489" i="1" a="1"/>
  <c r="P489" i="1" s="1"/>
  <c r="EP489" i="1" s="1"/>
  <c r="P490" i="1" a="1"/>
  <c r="P490" i="1" s="1"/>
  <c r="EP490" i="1" s="1"/>
  <c r="P491" i="1" a="1"/>
  <c r="P491" i="1" s="1"/>
  <c r="EP491" i="1" s="1"/>
  <c r="P492" i="1" a="1"/>
  <c r="P492" i="1" s="1"/>
  <c r="EP492" i="1" s="1"/>
  <c r="P493" i="1" a="1"/>
  <c r="P493" i="1"/>
  <c r="EP493" i="1" s="1"/>
  <c r="P494" i="1" a="1"/>
  <c r="P494" i="1" s="1"/>
  <c r="EP494" i="1" s="1"/>
  <c r="P495" i="1" a="1"/>
  <c r="P495" i="1" s="1"/>
  <c r="EP495" i="1" s="1"/>
  <c r="P496" i="1" a="1"/>
  <c r="P496" i="1" s="1"/>
  <c r="EP496" i="1" s="1"/>
  <c r="P497" i="1" a="1"/>
  <c r="P497" i="1" s="1"/>
  <c r="EP497" i="1" s="1"/>
  <c r="P498" i="1" a="1"/>
  <c r="P498" i="1" s="1"/>
  <c r="EP498" i="1" s="1"/>
  <c r="P499" i="1" a="1"/>
  <c r="P499" i="1" s="1"/>
  <c r="EP499" i="1" s="1"/>
  <c r="P500" i="1" a="1"/>
  <c r="P500" i="1" s="1"/>
  <c r="EP500" i="1" s="1"/>
  <c r="P501" i="1" a="1"/>
  <c r="P501" i="1"/>
  <c r="EP501" i="1" s="1"/>
  <c r="P502" i="1" a="1"/>
  <c r="P502" i="1" s="1"/>
  <c r="EP502" i="1" s="1"/>
  <c r="P503" i="1" a="1"/>
  <c r="P503" i="1" s="1"/>
  <c r="EP503" i="1" s="1"/>
  <c r="P504" i="1" a="1"/>
  <c r="P504" i="1" s="1"/>
  <c r="EP504" i="1" s="1"/>
  <c r="P505" i="1" a="1"/>
  <c r="P505" i="1" s="1"/>
  <c r="EP505" i="1" s="1"/>
  <c r="P506" i="1" a="1"/>
  <c r="P506" i="1" s="1"/>
  <c r="EP506" i="1" s="1"/>
  <c r="P507" i="1" a="1"/>
  <c r="P507" i="1" s="1"/>
  <c r="EP507" i="1" s="1"/>
  <c r="P508" i="1" a="1"/>
  <c r="P508" i="1" s="1"/>
  <c r="EP508" i="1" s="1"/>
  <c r="P509" i="1" a="1"/>
  <c r="P509" i="1"/>
  <c r="EP509" i="1" s="1"/>
  <c r="P510" i="1" a="1"/>
  <c r="P510" i="1" s="1"/>
  <c r="EP510" i="1" s="1"/>
  <c r="P511" i="1" a="1"/>
  <c r="P511" i="1" s="1"/>
  <c r="EP511" i="1" s="1"/>
  <c r="P512" i="1" a="1"/>
  <c r="P512" i="1" s="1"/>
  <c r="EP512" i="1" s="1"/>
  <c r="P513" i="1" a="1"/>
  <c r="P513" i="1" s="1"/>
  <c r="EP513" i="1" s="1"/>
  <c r="P514" i="1" a="1"/>
  <c r="P514" i="1" s="1"/>
  <c r="EP514" i="1" s="1"/>
  <c r="P515" i="1" a="1"/>
  <c r="P515" i="1" s="1"/>
  <c r="EP515" i="1" s="1"/>
  <c r="P516" i="1" a="1"/>
  <c r="P516" i="1" s="1"/>
  <c r="EP516" i="1" s="1"/>
  <c r="P517" i="1" a="1"/>
  <c r="P517" i="1"/>
  <c r="EP517" i="1" s="1"/>
  <c r="P518" i="1" a="1"/>
  <c r="P518" i="1" s="1"/>
  <c r="EP518" i="1" s="1"/>
  <c r="P519" i="1" a="1"/>
  <c r="P519" i="1" s="1"/>
  <c r="EP519" i="1" s="1"/>
  <c r="P520" i="1" a="1"/>
  <c r="P520" i="1" s="1"/>
  <c r="EP520" i="1" s="1"/>
  <c r="P521" i="1" a="1"/>
  <c r="P521" i="1" s="1"/>
  <c r="EP521" i="1" s="1"/>
  <c r="P522" i="1" a="1"/>
  <c r="P522" i="1" s="1"/>
  <c r="EP522" i="1" s="1"/>
  <c r="P523" i="1" a="1"/>
  <c r="P523" i="1" s="1"/>
  <c r="EP523" i="1" s="1"/>
  <c r="P524" i="1" a="1"/>
  <c r="P524" i="1" s="1"/>
  <c r="EP524" i="1" s="1"/>
  <c r="P525" i="1" a="1"/>
  <c r="P525" i="1"/>
  <c r="EP525" i="1" s="1"/>
  <c r="P526" i="1" a="1"/>
  <c r="P526" i="1" s="1"/>
  <c r="EP526" i="1" s="1"/>
  <c r="P527" i="1" a="1"/>
  <c r="P527" i="1" s="1"/>
  <c r="EP527" i="1" s="1"/>
  <c r="P528" i="1" a="1"/>
  <c r="P528" i="1" s="1"/>
  <c r="EP528" i="1" s="1"/>
  <c r="P529" i="1" a="1"/>
  <c r="P529" i="1" s="1"/>
  <c r="EP529" i="1" s="1"/>
  <c r="P530" i="1" a="1"/>
  <c r="P530" i="1" s="1"/>
  <c r="EP530" i="1" s="1"/>
  <c r="P531" i="1" a="1"/>
  <c r="P531" i="1" s="1"/>
  <c r="EP531" i="1" s="1"/>
  <c r="P532" i="1" a="1"/>
  <c r="P532" i="1" s="1"/>
  <c r="EP532" i="1" s="1"/>
  <c r="P533" i="1" a="1"/>
  <c r="P533" i="1"/>
  <c r="EP533" i="1" s="1"/>
  <c r="P534" i="1" a="1"/>
  <c r="P534" i="1" s="1"/>
  <c r="EP534" i="1" s="1"/>
  <c r="P535" i="1" a="1"/>
  <c r="P535" i="1" s="1"/>
  <c r="EP535" i="1" s="1"/>
  <c r="P536" i="1" a="1"/>
  <c r="P536" i="1" s="1"/>
  <c r="EP536" i="1" s="1"/>
  <c r="P537" i="1" a="1"/>
  <c r="P537" i="1" s="1"/>
  <c r="EP537" i="1" s="1"/>
  <c r="P538" i="1" a="1"/>
  <c r="P538" i="1" s="1"/>
  <c r="EP538" i="1" s="1"/>
  <c r="P539" i="1" a="1"/>
  <c r="P539" i="1" s="1"/>
  <c r="EP539" i="1" s="1"/>
  <c r="P540" i="1" a="1"/>
  <c r="P540" i="1" s="1"/>
  <c r="EP540" i="1" s="1"/>
  <c r="P541" i="1" a="1"/>
  <c r="P541" i="1"/>
  <c r="EP541" i="1" s="1"/>
  <c r="P542" i="1" a="1"/>
  <c r="P542" i="1" s="1"/>
  <c r="EP542" i="1" s="1"/>
  <c r="P543" i="1" a="1"/>
  <c r="P543" i="1" s="1"/>
  <c r="EP543" i="1" s="1"/>
  <c r="P544" i="1" a="1"/>
  <c r="P544" i="1" s="1"/>
  <c r="EP544" i="1" s="1"/>
  <c r="P545" i="1" a="1"/>
  <c r="P545" i="1" s="1"/>
  <c r="EP545" i="1" s="1"/>
  <c r="P546" i="1" a="1"/>
  <c r="P546" i="1" s="1"/>
  <c r="EP546" i="1" s="1"/>
  <c r="P547" i="1" a="1"/>
  <c r="P547" i="1" s="1"/>
  <c r="EP547" i="1" s="1"/>
  <c r="P548" i="1" a="1"/>
  <c r="P548" i="1" s="1"/>
  <c r="EP548" i="1" s="1"/>
  <c r="P549" i="1" a="1"/>
  <c r="P549" i="1"/>
  <c r="EP549" i="1" s="1"/>
  <c r="P550" i="1" a="1"/>
  <c r="P550" i="1" s="1"/>
  <c r="EP550" i="1" s="1"/>
  <c r="P551" i="1" a="1"/>
  <c r="P551" i="1" s="1"/>
  <c r="EP551" i="1" s="1"/>
  <c r="P552" i="1" a="1"/>
  <c r="P552" i="1" s="1"/>
  <c r="EP552" i="1" s="1"/>
  <c r="P553" i="1" a="1"/>
  <c r="P553" i="1" s="1"/>
  <c r="EP553" i="1" s="1"/>
  <c r="P554" i="1" a="1"/>
  <c r="P554" i="1" s="1"/>
  <c r="EP554" i="1" s="1"/>
  <c r="P555" i="1" a="1"/>
  <c r="P555" i="1" s="1"/>
  <c r="EP555" i="1" s="1"/>
  <c r="P556" i="1" a="1"/>
  <c r="P556" i="1" s="1"/>
  <c r="EP556" i="1" s="1"/>
  <c r="P557" i="1" a="1"/>
  <c r="P557" i="1"/>
  <c r="EP557" i="1" s="1"/>
  <c r="P558" i="1" a="1"/>
  <c r="P558" i="1" s="1"/>
  <c r="EP558" i="1" s="1"/>
  <c r="P559" i="1" a="1"/>
  <c r="P559" i="1" s="1"/>
  <c r="EP559" i="1" s="1"/>
  <c r="P560" i="1" a="1"/>
  <c r="P560" i="1" s="1"/>
  <c r="EP560" i="1" s="1"/>
  <c r="P561" i="1" a="1"/>
  <c r="P561" i="1" s="1"/>
  <c r="EP561" i="1" s="1"/>
  <c r="P562" i="1" a="1"/>
  <c r="P562" i="1" s="1"/>
  <c r="EP562" i="1" s="1"/>
  <c r="P563" i="1" a="1"/>
  <c r="P563" i="1" s="1"/>
  <c r="EP563" i="1" s="1"/>
  <c r="P564" i="1" a="1"/>
  <c r="P564" i="1" s="1"/>
  <c r="EP564" i="1" s="1"/>
  <c r="P565" i="1" a="1"/>
  <c r="P565" i="1"/>
  <c r="EP565" i="1" s="1"/>
  <c r="P566" i="1" a="1"/>
  <c r="P566" i="1" s="1"/>
  <c r="EP566" i="1" s="1"/>
  <c r="P567" i="1" a="1"/>
  <c r="P567" i="1" s="1"/>
  <c r="EP567" i="1" s="1"/>
  <c r="P568" i="1" a="1"/>
  <c r="P568" i="1" s="1"/>
  <c r="EP568" i="1" s="1"/>
  <c r="P569" i="1" a="1"/>
  <c r="P569" i="1" s="1"/>
  <c r="EP569" i="1" s="1"/>
  <c r="P570" i="1" a="1"/>
  <c r="P570" i="1" s="1"/>
  <c r="EP570" i="1" s="1"/>
  <c r="P571" i="1" a="1"/>
  <c r="P571" i="1" s="1"/>
  <c r="EP571" i="1" s="1"/>
  <c r="P572" i="1" a="1"/>
  <c r="P572" i="1" s="1"/>
  <c r="EP572" i="1" s="1"/>
  <c r="P573" i="1" a="1"/>
  <c r="P573" i="1"/>
  <c r="EP573" i="1" s="1"/>
  <c r="P574" i="1" a="1"/>
  <c r="P574" i="1" s="1"/>
  <c r="EP574" i="1" s="1"/>
  <c r="P575" i="1" a="1"/>
  <c r="P575" i="1" s="1"/>
  <c r="EP575" i="1" s="1"/>
  <c r="P576" i="1" a="1"/>
  <c r="P576" i="1" s="1"/>
  <c r="EP576" i="1" s="1"/>
  <c r="P577" i="1" a="1"/>
  <c r="P577" i="1" s="1"/>
  <c r="EP577" i="1" s="1"/>
  <c r="P578" i="1" a="1"/>
  <c r="P578" i="1" s="1"/>
  <c r="EP578" i="1" s="1"/>
  <c r="P579" i="1" a="1"/>
  <c r="P579" i="1" s="1"/>
  <c r="EP579" i="1" s="1"/>
  <c r="P580" i="1" a="1"/>
  <c r="P580" i="1" s="1"/>
  <c r="EP580" i="1" s="1"/>
  <c r="P581" i="1" a="1"/>
  <c r="P581" i="1"/>
  <c r="EP581" i="1" s="1"/>
  <c r="P582" i="1" a="1"/>
  <c r="P582" i="1" s="1"/>
  <c r="EP582" i="1" s="1"/>
  <c r="P583" i="1" a="1"/>
  <c r="P583" i="1" s="1"/>
  <c r="EP583" i="1" s="1"/>
  <c r="P584" i="1" a="1"/>
  <c r="P584" i="1" s="1"/>
  <c r="EP584" i="1" s="1"/>
  <c r="P585" i="1" a="1"/>
  <c r="P585" i="1" s="1"/>
  <c r="EP585" i="1" s="1"/>
  <c r="P586" i="1" a="1"/>
  <c r="P586" i="1" s="1"/>
  <c r="EP586" i="1" s="1"/>
  <c r="P587" i="1" a="1"/>
  <c r="P587" i="1" s="1"/>
  <c r="EP587" i="1" s="1"/>
  <c r="P588" i="1" a="1"/>
  <c r="P588" i="1" s="1"/>
  <c r="EP588" i="1" s="1"/>
  <c r="P589" i="1" a="1"/>
  <c r="P589" i="1"/>
  <c r="EP589" i="1" s="1"/>
  <c r="P590" i="1" a="1"/>
  <c r="P590" i="1" s="1"/>
  <c r="EP590" i="1" s="1"/>
  <c r="P591" i="1" a="1"/>
  <c r="P591" i="1" s="1"/>
  <c r="EP591" i="1" s="1"/>
  <c r="P592" i="1" a="1"/>
  <c r="P592" i="1" s="1"/>
  <c r="EP592" i="1" s="1"/>
  <c r="P593" i="1" a="1"/>
  <c r="P593" i="1" s="1"/>
  <c r="EP593" i="1" s="1"/>
  <c r="P594" i="1" a="1"/>
  <c r="P594" i="1" s="1"/>
  <c r="EP594" i="1" s="1"/>
  <c r="P595" i="1" a="1"/>
  <c r="P595" i="1" s="1"/>
  <c r="EP595" i="1" s="1"/>
  <c r="P596" i="1" a="1"/>
  <c r="P596" i="1" s="1"/>
  <c r="EP596" i="1" s="1"/>
  <c r="P597" i="1" a="1"/>
  <c r="P597" i="1"/>
  <c r="EP597" i="1" s="1"/>
  <c r="P598" i="1" a="1"/>
  <c r="P598" i="1" s="1"/>
  <c r="EP598" i="1" s="1"/>
  <c r="P599" i="1" a="1"/>
  <c r="P599" i="1" s="1"/>
  <c r="EP599" i="1" s="1"/>
  <c r="P600" i="1" a="1"/>
  <c r="P600" i="1" s="1"/>
  <c r="EP600" i="1" s="1"/>
  <c r="P601" i="1" a="1"/>
  <c r="P601" i="1" s="1"/>
  <c r="EP601" i="1" s="1"/>
  <c r="P602" i="1" a="1"/>
  <c r="P602" i="1" s="1"/>
  <c r="EP602" i="1" s="1"/>
  <c r="P603" i="1" a="1"/>
  <c r="P603" i="1" s="1"/>
  <c r="EP603" i="1" s="1"/>
  <c r="P604" i="1" a="1"/>
  <c r="P604" i="1" s="1"/>
  <c r="EP604" i="1" s="1"/>
  <c r="P605" i="1" a="1"/>
  <c r="P605" i="1"/>
  <c r="EP605" i="1" s="1"/>
  <c r="P606" i="1" a="1"/>
  <c r="P606" i="1" s="1"/>
  <c r="EP606" i="1" s="1"/>
  <c r="P607" i="1" a="1"/>
  <c r="P607" i="1" s="1"/>
  <c r="EP607" i="1" s="1"/>
  <c r="P608" i="1" a="1"/>
  <c r="P608" i="1" s="1"/>
  <c r="EP608" i="1" s="1"/>
  <c r="P609" i="1" a="1"/>
  <c r="P609" i="1" s="1"/>
  <c r="EP609" i="1" s="1"/>
  <c r="P610" i="1" a="1"/>
  <c r="P610" i="1" s="1"/>
  <c r="EP610" i="1" s="1"/>
  <c r="P611" i="1" a="1"/>
  <c r="P611" i="1" s="1"/>
  <c r="EP611" i="1" s="1"/>
  <c r="P612" i="1" a="1"/>
  <c r="P612" i="1" s="1"/>
  <c r="EP612" i="1" s="1"/>
  <c r="P613" i="1" a="1"/>
  <c r="P613" i="1"/>
  <c r="EP613" i="1" s="1"/>
  <c r="P614" i="1" a="1"/>
  <c r="P614" i="1" s="1"/>
  <c r="EP614" i="1" s="1"/>
  <c r="P615" i="1" a="1"/>
  <c r="P615" i="1" s="1"/>
  <c r="EP615" i="1" s="1"/>
  <c r="P616" i="1" a="1"/>
  <c r="P616" i="1" s="1"/>
  <c r="EP616" i="1" s="1"/>
  <c r="P617" i="1" a="1"/>
  <c r="P617" i="1" s="1"/>
  <c r="EP617" i="1" s="1"/>
  <c r="P618" i="1" a="1"/>
  <c r="P618" i="1" s="1"/>
  <c r="EP618" i="1" s="1"/>
  <c r="P619" i="1" a="1"/>
  <c r="P619" i="1" s="1"/>
  <c r="EP619" i="1" s="1"/>
  <c r="P620" i="1" a="1"/>
  <c r="P620" i="1" s="1"/>
  <c r="EP620" i="1" s="1"/>
  <c r="P621" i="1" a="1"/>
  <c r="P621" i="1"/>
  <c r="EP621" i="1" s="1"/>
  <c r="P622" i="1" a="1"/>
  <c r="P622" i="1" s="1"/>
  <c r="EP622" i="1" s="1"/>
  <c r="P623" i="1" a="1"/>
  <c r="P623" i="1" s="1"/>
  <c r="EP623" i="1" s="1"/>
  <c r="P624" i="1" a="1"/>
  <c r="P624" i="1" s="1"/>
  <c r="EP624" i="1" s="1"/>
  <c r="P625" i="1" a="1"/>
  <c r="P625" i="1" s="1"/>
  <c r="EP625" i="1" s="1"/>
  <c r="P626" i="1" a="1"/>
  <c r="P626" i="1" s="1"/>
  <c r="EP626" i="1" s="1"/>
  <c r="P627" i="1" a="1"/>
  <c r="P627" i="1" s="1"/>
  <c r="EP627" i="1" s="1"/>
  <c r="P628" i="1" a="1"/>
  <c r="P628" i="1" s="1"/>
  <c r="EP628" i="1" s="1"/>
  <c r="P629" i="1" a="1"/>
  <c r="P629" i="1"/>
  <c r="EP629" i="1" s="1"/>
  <c r="P630" i="1" a="1"/>
  <c r="P630" i="1" s="1"/>
  <c r="EP630" i="1" s="1"/>
  <c r="P631" i="1" a="1"/>
  <c r="P631" i="1" s="1"/>
  <c r="EP631" i="1" s="1"/>
  <c r="P632" i="1" a="1"/>
  <c r="P632" i="1" s="1"/>
  <c r="EP632" i="1" s="1"/>
  <c r="P633" i="1" a="1"/>
  <c r="P633" i="1" s="1"/>
  <c r="EP633" i="1" s="1"/>
  <c r="P634" i="1" a="1"/>
  <c r="P634" i="1" s="1"/>
  <c r="EP634" i="1" s="1"/>
  <c r="P635" i="1" a="1"/>
  <c r="P635" i="1" s="1"/>
  <c r="EP635" i="1" s="1"/>
  <c r="P636" i="1" a="1"/>
  <c r="P636" i="1" s="1"/>
  <c r="EP636" i="1" s="1"/>
  <c r="P637" i="1" a="1"/>
  <c r="P637" i="1"/>
  <c r="EP637" i="1" s="1"/>
  <c r="P638" i="1" a="1"/>
  <c r="P638" i="1" s="1"/>
  <c r="EP638" i="1" s="1"/>
  <c r="P639" i="1" a="1"/>
  <c r="P639" i="1" s="1"/>
  <c r="EP639" i="1" s="1"/>
  <c r="P640" i="1" a="1"/>
  <c r="P640" i="1" s="1"/>
  <c r="EP640" i="1" s="1"/>
  <c r="P641" i="1" a="1"/>
  <c r="P641" i="1" s="1"/>
  <c r="EP641" i="1" s="1"/>
  <c r="P642" i="1" a="1"/>
  <c r="P642" i="1" s="1"/>
  <c r="EP642" i="1" s="1"/>
  <c r="P643" i="1" a="1"/>
  <c r="P643" i="1" s="1"/>
  <c r="EP643" i="1" s="1"/>
  <c r="P644" i="1" a="1"/>
  <c r="P644" i="1" s="1"/>
  <c r="EP644" i="1" s="1"/>
  <c r="P645" i="1" a="1"/>
  <c r="P645" i="1"/>
  <c r="EP645" i="1" s="1"/>
  <c r="P646" i="1" a="1"/>
  <c r="P646" i="1" s="1"/>
  <c r="EP646" i="1" s="1"/>
  <c r="P647" i="1" a="1"/>
  <c r="P647" i="1" s="1"/>
  <c r="EP647" i="1" s="1"/>
  <c r="P648" i="1" a="1"/>
  <c r="P648" i="1" s="1"/>
  <c r="EP648" i="1" s="1"/>
  <c r="P649" i="1" a="1"/>
  <c r="P649" i="1" s="1"/>
  <c r="EP649" i="1" s="1"/>
  <c r="P650" i="1" a="1"/>
  <c r="P650" i="1" s="1"/>
  <c r="EP650" i="1" s="1"/>
  <c r="P651" i="1" a="1"/>
  <c r="P651" i="1" s="1"/>
  <c r="EP651" i="1" s="1"/>
  <c r="P652" i="1" a="1"/>
  <c r="P652" i="1" s="1"/>
  <c r="EP652" i="1" s="1"/>
  <c r="P653" i="1" a="1"/>
  <c r="P653" i="1"/>
  <c r="EP653" i="1" s="1"/>
  <c r="P654" i="1" a="1"/>
  <c r="P654" i="1" s="1"/>
  <c r="EP654" i="1" s="1"/>
  <c r="P655" i="1" a="1"/>
  <c r="P655" i="1" s="1"/>
  <c r="EP655" i="1" s="1"/>
  <c r="P656" i="1" a="1"/>
  <c r="P656" i="1" s="1"/>
  <c r="EP656" i="1" s="1"/>
  <c r="P657" i="1" a="1"/>
  <c r="P657" i="1" s="1"/>
  <c r="EP657" i="1" s="1"/>
  <c r="P658" i="1" a="1"/>
  <c r="P658" i="1" s="1"/>
  <c r="EP658" i="1" s="1"/>
  <c r="P659" i="1" a="1"/>
  <c r="P659" i="1" s="1"/>
  <c r="EP659" i="1" s="1"/>
  <c r="P660" i="1" a="1"/>
  <c r="P660" i="1" s="1"/>
  <c r="EP660" i="1" s="1"/>
  <c r="P661" i="1" a="1"/>
  <c r="P661" i="1"/>
  <c r="EP661" i="1" s="1"/>
  <c r="P662" i="1" a="1"/>
  <c r="P662" i="1" s="1"/>
  <c r="EP662" i="1" s="1"/>
  <c r="P663" i="1" a="1"/>
  <c r="P663" i="1" s="1"/>
  <c r="EP663" i="1" s="1"/>
  <c r="P664" i="1" a="1"/>
  <c r="P664" i="1" s="1"/>
  <c r="EP664" i="1" s="1"/>
  <c r="P665" i="1" a="1"/>
  <c r="P665" i="1"/>
  <c r="EP665" i="1" s="1"/>
  <c r="P666" i="1" a="1"/>
  <c r="P666" i="1" s="1"/>
  <c r="EP666" i="1" s="1"/>
  <c r="P667" i="1" a="1"/>
  <c r="P667" i="1" s="1"/>
  <c r="EP667" i="1" s="1"/>
  <c r="P668" i="1" a="1"/>
  <c r="P668" i="1" s="1"/>
  <c r="EP668" i="1" s="1"/>
  <c r="P669" i="1" a="1"/>
  <c r="P669" i="1" s="1"/>
  <c r="EP669" i="1" s="1"/>
  <c r="P670" i="1" a="1"/>
  <c r="P670" i="1" s="1"/>
  <c r="EP670" i="1" s="1"/>
  <c r="P671" i="1" a="1"/>
  <c r="P671" i="1" s="1"/>
  <c r="EP671" i="1" s="1"/>
  <c r="P672" i="1" a="1"/>
  <c r="P672" i="1" s="1"/>
  <c r="EP672" i="1" s="1"/>
  <c r="P673" i="1" a="1"/>
  <c r="P673" i="1" s="1"/>
  <c r="EP673" i="1" s="1"/>
  <c r="P674" i="1" a="1"/>
  <c r="P674" i="1" s="1"/>
  <c r="EP674" i="1" s="1"/>
  <c r="P675" i="1" a="1"/>
  <c r="P675" i="1" s="1"/>
  <c r="EP675" i="1" s="1"/>
  <c r="P676" i="1" a="1"/>
  <c r="P676" i="1" s="1"/>
  <c r="EP676" i="1" s="1"/>
  <c r="P677" i="1" a="1"/>
  <c r="P677" i="1" s="1"/>
  <c r="EP677" i="1" s="1"/>
  <c r="P678" i="1" a="1"/>
  <c r="P678" i="1" s="1"/>
  <c r="EP678" i="1" s="1"/>
  <c r="P679" i="1" a="1"/>
  <c r="P679" i="1" s="1"/>
  <c r="EP679" i="1" s="1"/>
  <c r="P680" i="1" a="1"/>
  <c r="P680" i="1" s="1"/>
  <c r="EP680" i="1" s="1"/>
  <c r="P681" i="1" a="1"/>
  <c r="P681" i="1" s="1"/>
  <c r="EP681" i="1" s="1"/>
  <c r="P682" i="1" a="1"/>
  <c r="P682" i="1" s="1"/>
  <c r="EP682" i="1" s="1"/>
  <c r="P683" i="1" a="1"/>
  <c r="P683" i="1" s="1"/>
  <c r="EP683" i="1" s="1"/>
  <c r="P684" i="1" a="1"/>
  <c r="P684" i="1" s="1"/>
  <c r="EP684" i="1" s="1"/>
  <c r="P685" i="1" a="1"/>
  <c r="P685" i="1" s="1"/>
  <c r="EP685" i="1" s="1"/>
  <c r="P686" i="1" a="1"/>
  <c r="P686" i="1" s="1"/>
  <c r="EP686" i="1" s="1"/>
  <c r="P687" i="1" a="1"/>
  <c r="P687" i="1" s="1"/>
  <c r="EP687" i="1" s="1"/>
  <c r="P688" i="1" a="1"/>
  <c r="P688" i="1" s="1"/>
  <c r="EP688" i="1" s="1"/>
  <c r="P689" i="1" a="1"/>
  <c r="P689" i="1" s="1"/>
  <c r="EP689" i="1" s="1"/>
  <c r="P690" i="1" a="1"/>
  <c r="P690" i="1" s="1"/>
  <c r="EP690" i="1" s="1"/>
  <c r="P691" i="1" a="1"/>
  <c r="P691" i="1" s="1"/>
  <c r="EP691" i="1" s="1"/>
  <c r="P692" i="1" a="1"/>
  <c r="P692" i="1" s="1"/>
  <c r="EP692" i="1" s="1"/>
  <c r="P693" i="1" a="1"/>
  <c r="P693" i="1" s="1"/>
  <c r="EP693" i="1" s="1"/>
  <c r="P694" i="1" a="1"/>
  <c r="P694" i="1" s="1"/>
  <c r="EP694" i="1" s="1"/>
  <c r="P695" i="1" a="1"/>
  <c r="P695" i="1" s="1"/>
  <c r="EP695" i="1" s="1"/>
  <c r="P696" i="1" a="1"/>
  <c r="P696" i="1" s="1"/>
  <c r="EP696" i="1" s="1"/>
  <c r="P697" i="1" a="1"/>
  <c r="P697" i="1" s="1"/>
  <c r="EP697" i="1" s="1"/>
  <c r="P698" i="1" a="1"/>
  <c r="P698" i="1" s="1"/>
  <c r="EP698" i="1" s="1"/>
  <c r="P699" i="1" a="1"/>
  <c r="P699" i="1" s="1"/>
  <c r="EP699" i="1" s="1"/>
  <c r="P700" i="1" a="1"/>
  <c r="P700" i="1" s="1"/>
  <c r="EP700" i="1" s="1"/>
  <c r="P701" i="1" a="1"/>
  <c r="P701" i="1" s="1"/>
  <c r="EP701" i="1" s="1"/>
  <c r="P702" i="1" a="1"/>
  <c r="P702" i="1" s="1"/>
  <c r="EP702" i="1" s="1"/>
  <c r="P703" i="1" a="1"/>
  <c r="P703" i="1" s="1"/>
  <c r="EP703" i="1" s="1"/>
  <c r="P704" i="1" a="1"/>
  <c r="P704" i="1" s="1"/>
  <c r="EP704" i="1" s="1"/>
  <c r="P705" i="1" a="1"/>
  <c r="P705" i="1" s="1"/>
  <c r="EP705" i="1" s="1"/>
  <c r="P706" i="1" a="1"/>
  <c r="P706" i="1" s="1"/>
  <c r="EP706" i="1" s="1"/>
  <c r="P707" i="1" a="1"/>
  <c r="P707" i="1" s="1"/>
  <c r="EP707" i="1" s="1"/>
  <c r="P708" i="1" a="1"/>
  <c r="P708" i="1" s="1"/>
  <c r="EP708" i="1" s="1"/>
  <c r="P709" i="1" a="1"/>
  <c r="P709" i="1" s="1"/>
  <c r="EP709" i="1" s="1"/>
  <c r="P710" i="1" a="1"/>
  <c r="P710" i="1" s="1"/>
  <c r="EP710" i="1" s="1"/>
  <c r="P711" i="1" a="1"/>
  <c r="P711" i="1" s="1"/>
  <c r="EP711" i="1" s="1"/>
  <c r="P712" i="1" a="1"/>
  <c r="P712" i="1" s="1"/>
  <c r="EP712" i="1" s="1"/>
  <c r="P713" i="1" a="1"/>
  <c r="P713" i="1" s="1"/>
  <c r="EP713" i="1" s="1"/>
  <c r="P714" i="1" a="1"/>
  <c r="P714" i="1" s="1"/>
  <c r="EP714" i="1" s="1"/>
  <c r="P715" i="1" a="1"/>
  <c r="P715" i="1" s="1"/>
  <c r="EP715" i="1" s="1"/>
  <c r="P716" i="1" a="1"/>
  <c r="P716" i="1" s="1"/>
  <c r="EP716" i="1" s="1"/>
  <c r="P717" i="1" a="1"/>
  <c r="P717" i="1" s="1"/>
  <c r="EP717" i="1" s="1"/>
  <c r="P718" i="1" a="1"/>
  <c r="P718" i="1" s="1"/>
  <c r="EP718" i="1" s="1"/>
  <c r="P719" i="1" a="1"/>
  <c r="P719" i="1" s="1"/>
  <c r="EP719" i="1" s="1"/>
  <c r="P720" i="1" a="1"/>
  <c r="P720" i="1" s="1"/>
  <c r="EP720" i="1" s="1"/>
  <c r="P721" i="1" a="1"/>
  <c r="P721" i="1" s="1"/>
  <c r="EP721" i="1" s="1"/>
  <c r="P722" i="1" a="1"/>
  <c r="P722" i="1" s="1"/>
  <c r="EP722" i="1" s="1"/>
  <c r="P723" i="1" a="1"/>
  <c r="P723" i="1" s="1"/>
  <c r="EP723" i="1" s="1"/>
  <c r="P724" i="1" a="1"/>
  <c r="P724" i="1" s="1"/>
  <c r="EP724" i="1" s="1"/>
  <c r="P725" i="1" a="1"/>
  <c r="P725" i="1" s="1"/>
  <c r="EP725" i="1" s="1"/>
  <c r="P726" i="1" a="1"/>
  <c r="P726" i="1" s="1"/>
  <c r="EP726" i="1" s="1"/>
  <c r="P727" i="1" a="1"/>
  <c r="P727" i="1" s="1"/>
  <c r="EP727" i="1" s="1"/>
  <c r="P728" i="1" a="1"/>
  <c r="P728" i="1" s="1"/>
  <c r="EP728" i="1" s="1"/>
  <c r="P729" i="1" a="1"/>
  <c r="P729" i="1" s="1"/>
  <c r="EP729" i="1" s="1"/>
  <c r="P730" i="1" a="1"/>
  <c r="P730" i="1" s="1"/>
  <c r="EP730" i="1" s="1"/>
  <c r="P731" i="1" a="1"/>
  <c r="P731" i="1" s="1"/>
  <c r="EP731" i="1" s="1"/>
  <c r="P732" i="1" a="1"/>
  <c r="P732" i="1" s="1"/>
  <c r="EP732" i="1" s="1"/>
  <c r="P733" i="1" a="1"/>
  <c r="P733" i="1" s="1"/>
  <c r="EP733" i="1" s="1"/>
  <c r="P734" i="1" a="1"/>
  <c r="P734" i="1" s="1"/>
  <c r="EP734" i="1" s="1"/>
  <c r="P735" i="1" a="1"/>
  <c r="P735" i="1" s="1"/>
  <c r="EP735" i="1" s="1"/>
  <c r="P736" i="1" a="1"/>
  <c r="P736" i="1" s="1"/>
  <c r="EP736" i="1" s="1"/>
  <c r="P737" i="1" a="1"/>
  <c r="P737" i="1" s="1"/>
  <c r="EP737" i="1" s="1"/>
  <c r="P738" i="1" a="1"/>
  <c r="P738" i="1" s="1"/>
  <c r="EP738" i="1" s="1"/>
  <c r="P739" i="1" a="1"/>
  <c r="P739" i="1" s="1"/>
  <c r="EP739" i="1" s="1"/>
  <c r="P740" i="1" a="1"/>
  <c r="P740" i="1" s="1"/>
  <c r="EP740" i="1" s="1"/>
  <c r="P741" i="1" a="1"/>
  <c r="P741" i="1" s="1"/>
  <c r="EP741" i="1" s="1"/>
  <c r="P742" i="1" a="1"/>
  <c r="P742" i="1" s="1"/>
  <c r="EP742" i="1" s="1"/>
  <c r="P743" i="1" a="1"/>
  <c r="P743" i="1" s="1"/>
  <c r="EP743" i="1" s="1"/>
  <c r="P744" i="1" a="1"/>
  <c r="P744" i="1" s="1"/>
  <c r="EP744" i="1" s="1"/>
  <c r="P745" i="1" a="1"/>
  <c r="P745" i="1" s="1"/>
  <c r="EP745" i="1" s="1"/>
  <c r="P746" i="1" a="1"/>
  <c r="P746" i="1" s="1"/>
  <c r="EP746" i="1" s="1"/>
  <c r="P747" i="1" a="1"/>
  <c r="P747" i="1" s="1"/>
  <c r="EP747" i="1" s="1"/>
  <c r="P748" i="1" a="1"/>
  <c r="P748" i="1" s="1"/>
  <c r="EP748" i="1" s="1"/>
  <c r="P749" i="1" a="1"/>
  <c r="P749" i="1" s="1"/>
  <c r="EP749" i="1" s="1"/>
  <c r="P750" i="1" a="1"/>
  <c r="P750" i="1" s="1"/>
  <c r="EP750" i="1" s="1"/>
  <c r="P751" i="1" a="1"/>
  <c r="P751" i="1" s="1"/>
  <c r="EP751" i="1" s="1"/>
  <c r="P752" i="1" a="1"/>
  <c r="P752" i="1" s="1"/>
  <c r="EP752" i="1" s="1"/>
  <c r="P753" i="1" a="1"/>
  <c r="P753" i="1" s="1"/>
  <c r="EP753" i="1" s="1"/>
  <c r="P754" i="1" a="1"/>
  <c r="P754" i="1" s="1"/>
  <c r="EP754" i="1" s="1"/>
  <c r="P755" i="1" a="1"/>
  <c r="P755" i="1" s="1"/>
  <c r="EP755" i="1" s="1"/>
  <c r="P756" i="1" a="1"/>
  <c r="P756" i="1" s="1"/>
  <c r="EP756" i="1" s="1"/>
  <c r="P757" i="1" a="1"/>
  <c r="P757" i="1" s="1"/>
  <c r="EP757" i="1" s="1"/>
  <c r="P758" i="1" a="1"/>
  <c r="P758" i="1" s="1"/>
  <c r="EP758" i="1" s="1"/>
  <c r="P759" i="1" a="1"/>
  <c r="P759" i="1" s="1"/>
  <c r="EP759" i="1" s="1"/>
  <c r="P760" i="1" a="1"/>
  <c r="P760" i="1" s="1"/>
  <c r="EP760" i="1" s="1"/>
  <c r="P761" i="1" a="1"/>
  <c r="P761" i="1" s="1"/>
  <c r="EP761" i="1" s="1"/>
  <c r="P762" i="1" a="1"/>
  <c r="P762" i="1" s="1"/>
  <c r="EP762" i="1" s="1"/>
  <c r="P763" i="1" a="1"/>
  <c r="P763" i="1" s="1"/>
  <c r="EP763" i="1" s="1"/>
  <c r="P764" i="1" a="1"/>
  <c r="P764" i="1" s="1"/>
  <c r="EP764" i="1" s="1"/>
  <c r="P765" i="1" a="1"/>
  <c r="P765" i="1" s="1"/>
  <c r="EP765" i="1" s="1"/>
  <c r="P766" i="1" a="1"/>
  <c r="P766" i="1" s="1"/>
  <c r="EP766" i="1" s="1"/>
  <c r="P767" i="1" a="1"/>
  <c r="P767" i="1" s="1"/>
  <c r="EP767" i="1" s="1"/>
  <c r="P768" i="1" a="1"/>
  <c r="P768" i="1" s="1"/>
  <c r="EP768" i="1" s="1"/>
  <c r="P769" i="1" a="1"/>
  <c r="P769" i="1" s="1"/>
  <c r="EP769" i="1" s="1"/>
  <c r="P770" i="1" a="1"/>
  <c r="P770" i="1" s="1"/>
  <c r="EP770" i="1" s="1"/>
  <c r="P771" i="1" a="1"/>
  <c r="P771" i="1" s="1"/>
  <c r="EP771" i="1" s="1"/>
  <c r="P772" i="1" a="1"/>
  <c r="P772" i="1" s="1"/>
  <c r="EP772" i="1" s="1"/>
  <c r="P773" i="1" a="1"/>
  <c r="P773" i="1" s="1"/>
  <c r="EP773" i="1" s="1"/>
  <c r="P774" i="1" a="1"/>
  <c r="P774" i="1" s="1"/>
  <c r="EP774" i="1" s="1"/>
  <c r="P775" i="1" a="1"/>
  <c r="P775" i="1" s="1"/>
  <c r="EP775" i="1" s="1"/>
  <c r="P776" i="1" a="1"/>
  <c r="P776" i="1" s="1"/>
  <c r="EP776" i="1" s="1"/>
  <c r="P777" i="1" a="1"/>
  <c r="P777" i="1" s="1"/>
  <c r="EP777" i="1" s="1"/>
  <c r="P778" i="1" a="1"/>
  <c r="P778" i="1" s="1"/>
  <c r="EP778" i="1" s="1"/>
  <c r="P779" i="1" a="1"/>
  <c r="P779" i="1" s="1"/>
  <c r="EP779" i="1" s="1"/>
  <c r="P780" i="1" a="1"/>
  <c r="P780" i="1" s="1"/>
  <c r="EP780" i="1" s="1"/>
  <c r="P781" i="1" a="1"/>
  <c r="P781" i="1" s="1"/>
  <c r="EP781" i="1" s="1"/>
  <c r="P782" i="1" a="1"/>
  <c r="P782" i="1" s="1"/>
  <c r="EP782" i="1" s="1"/>
  <c r="P783" i="1" a="1"/>
  <c r="P783" i="1" s="1"/>
  <c r="EP783" i="1" s="1"/>
  <c r="P784" i="1" a="1"/>
  <c r="P784" i="1" s="1"/>
  <c r="EP784" i="1" s="1"/>
  <c r="P785" i="1" a="1"/>
  <c r="P785" i="1" s="1"/>
  <c r="EP785" i="1" s="1"/>
  <c r="P786" i="1" a="1"/>
  <c r="P786" i="1" s="1"/>
  <c r="EP786" i="1" s="1"/>
  <c r="P787" i="1" a="1"/>
  <c r="P787" i="1" s="1"/>
  <c r="EP787" i="1" s="1"/>
  <c r="P788" i="1" a="1"/>
  <c r="P788" i="1" s="1"/>
  <c r="EP788" i="1" s="1"/>
  <c r="P789" i="1" a="1"/>
  <c r="P789" i="1" s="1"/>
  <c r="EP789" i="1" s="1"/>
  <c r="P790" i="1" a="1"/>
  <c r="P790" i="1" s="1"/>
  <c r="EP790" i="1" s="1"/>
  <c r="P791" i="1" a="1"/>
  <c r="P791" i="1" s="1"/>
  <c r="EP791" i="1" s="1"/>
  <c r="P792" i="1" a="1"/>
  <c r="P792" i="1" s="1"/>
  <c r="EP792" i="1" s="1"/>
  <c r="P793" i="1" a="1"/>
  <c r="P793" i="1" s="1"/>
  <c r="EP793" i="1" s="1"/>
  <c r="P794" i="1" a="1"/>
  <c r="P794" i="1" s="1"/>
  <c r="EP794" i="1" s="1"/>
  <c r="P795" i="1" a="1"/>
  <c r="P795" i="1" s="1"/>
  <c r="EP795" i="1" s="1"/>
  <c r="P796" i="1" a="1"/>
  <c r="P796" i="1" s="1"/>
  <c r="EP796" i="1" s="1"/>
  <c r="P797" i="1" a="1"/>
  <c r="P797" i="1" s="1"/>
  <c r="EP797" i="1" s="1"/>
  <c r="P798" i="1" a="1"/>
  <c r="P798" i="1" s="1"/>
  <c r="EP798" i="1" s="1"/>
  <c r="P799" i="1" a="1"/>
  <c r="P799" i="1" s="1"/>
  <c r="EP799" i="1" s="1"/>
  <c r="P800" i="1" a="1"/>
  <c r="P800" i="1" s="1"/>
  <c r="EP800" i="1" s="1"/>
  <c r="P801" i="1" a="1"/>
  <c r="P801" i="1" s="1"/>
  <c r="EP801" i="1" s="1"/>
  <c r="P802" i="1" a="1"/>
  <c r="P802" i="1" s="1"/>
  <c r="EP802" i="1" s="1"/>
  <c r="P803" i="1" a="1"/>
  <c r="P803" i="1" s="1"/>
  <c r="EP803" i="1" s="1"/>
  <c r="P804" i="1" a="1"/>
  <c r="P804" i="1" s="1"/>
  <c r="EP804" i="1" s="1"/>
  <c r="P805" i="1" a="1"/>
  <c r="P805" i="1" s="1"/>
  <c r="EP805" i="1" s="1"/>
  <c r="P806" i="1" a="1"/>
  <c r="P806" i="1" s="1"/>
  <c r="EP806" i="1" s="1"/>
  <c r="P807" i="1" a="1"/>
  <c r="P807" i="1" s="1"/>
  <c r="EP807" i="1" s="1"/>
  <c r="P808" i="1" a="1"/>
  <c r="P808" i="1" s="1"/>
  <c r="EP808" i="1" s="1"/>
  <c r="P809" i="1" a="1"/>
  <c r="P809" i="1" s="1"/>
  <c r="EP809" i="1" s="1"/>
  <c r="P810" i="1" a="1"/>
  <c r="P810" i="1" s="1"/>
  <c r="EP810" i="1" s="1"/>
  <c r="P811" i="1" a="1"/>
  <c r="P811" i="1" s="1"/>
  <c r="EP811" i="1" s="1"/>
  <c r="P812" i="1" a="1"/>
  <c r="P812" i="1" s="1"/>
  <c r="EP812" i="1" s="1"/>
  <c r="P813" i="1" a="1"/>
  <c r="P813" i="1" s="1"/>
  <c r="EP813" i="1" s="1"/>
  <c r="P814" i="1" a="1"/>
  <c r="P814" i="1" s="1"/>
  <c r="EP814" i="1" s="1"/>
  <c r="P815" i="1" a="1"/>
  <c r="P815" i="1" s="1"/>
  <c r="EP815" i="1" s="1"/>
  <c r="P816" i="1" a="1"/>
  <c r="P816" i="1" s="1"/>
  <c r="EP816" i="1" s="1"/>
  <c r="P817" i="1" a="1"/>
  <c r="P817" i="1" s="1"/>
  <c r="EP817" i="1" s="1"/>
  <c r="P818" i="1" a="1"/>
  <c r="P818" i="1" s="1"/>
  <c r="EP818" i="1" s="1"/>
  <c r="P819" i="1" a="1"/>
  <c r="P819" i="1" s="1"/>
  <c r="EP819" i="1" s="1"/>
  <c r="P820" i="1" a="1"/>
  <c r="P820" i="1" s="1"/>
  <c r="EP820" i="1" s="1"/>
  <c r="P821" i="1" a="1"/>
  <c r="P821" i="1" s="1"/>
  <c r="EP821" i="1" s="1"/>
  <c r="P822" i="1" a="1"/>
  <c r="P822" i="1" s="1"/>
  <c r="EP822" i="1" s="1"/>
  <c r="P823" i="1" a="1"/>
  <c r="P823" i="1" s="1"/>
  <c r="EP823" i="1" s="1"/>
  <c r="P824" i="1" a="1"/>
  <c r="P824" i="1" s="1"/>
  <c r="EP824" i="1" s="1"/>
  <c r="P825" i="1" a="1"/>
  <c r="P825" i="1" s="1"/>
  <c r="EP825" i="1" s="1"/>
  <c r="P826" i="1" a="1"/>
  <c r="P826" i="1" s="1"/>
  <c r="EP826" i="1" s="1"/>
  <c r="P827" i="1" a="1"/>
  <c r="P827" i="1" s="1"/>
  <c r="EP827" i="1" s="1"/>
  <c r="P828" i="1" a="1"/>
  <c r="P828" i="1" s="1"/>
  <c r="EP828" i="1" s="1"/>
  <c r="P829" i="1" a="1"/>
  <c r="P829" i="1" s="1"/>
  <c r="EP829" i="1" s="1"/>
  <c r="P830" i="1" a="1"/>
  <c r="P830" i="1" s="1"/>
  <c r="EP830" i="1" s="1"/>
  <c r="P831" i="1" a="1"/>
  <c r="P831" i="1" s="1"/>
  <c r="EP831" i="1" s="1"/>
  <c r="P832" i="1" a="1"/>
  <c r="P832" i="1" s="1"/>
  <c r="EP832" i="1" s="1"/>
  <c r="P833" i="1" a="1"/>
  <c r="P833" i="1" s="1"/>
  <c r="EP833" i="1" s="1"/>
  <c r="P834" i="1" a="1"/>
  <c r="P834" i="1" s="1"/>
  <c r="EP834" i="1" s="1"/>
  <c r="P835" i="1" a="1"/>
  <c r="P835" i="1" s="1"/>
  <c r="EP835" i="1" s="1"/>
  <c r="P836" i="1" a="1"/>
  <c r="P836" i="1" s="1"/>
  <c r="EP836" i="1" s="1"/>
  <c r="P837" i="1" a="1"/>
  <c r="P837" i="1" s="1"/>
  <c r="EP837" i="1" s="1"/>
  <c r="P838" i="1" a="1"/>
  <c r="P838" i="1" s="1"/>
  <c r="EP838" i="1" s="1"/>
  <c r="P839" i="1" a="1"/>
  <c r="P839" i="1" s="1"/>
  <c r="EP839" i="1" s="1"/>
  <c r="P840" i="1" a="1"/>
  <c r="P840" i="1" s="1"/>
  <c r="EP840" i="1" s="1"/>
  <c r="P841" i="1" a="1"/>
  <c r="P841" i="1"/>
  <c r="EP841" i="1" s="1"/>
  <c r="P842" i="1" a="1"/>
  <c r="P842" i="1" s="1"/>
  <c r="EP842" i="1" s="1"/>
  <c r="P843" i="1" a="1"/>
  <c r="P843" i="1" s="1"/>
  <c r="EP843" i="1" s="1"/>
  <c r="P844" i="1" a="1"/>
  <c r="P844" i="1" s="1"/>
  <c r="EP844" i="1" s="1"/>
  <c r="P845" i="1" a="1"/>
  <c r="P845" i="1" s="1"/>
  <c r="EP845" i="1" s="1"/>
  <c r="P846" i="1" a="1"/>
  <c r="P846" i="1" s="1"/>
  <c r="EP846" i="1" s="1"/>
  <c r="P847" i="1" a="1"/>
  <c r="P847" i="1" s="1"/>
  <c r="EP847" i="1" s="1"/>
  <c r="P848" i="1" a="1"/>
  <c r="P848" i="1" s="1"/>
  <c r="EP848" i="1" s="1"/>
  <c r="P849" i="1" a="1"/>
  <c r="P849" i="1"/>
  <c r="EP849" i="1" s="1"/>
  <c r="P850" i="1" a="1"/>
  <c r="P850" i="1" s="1"/>
  <c r="EP850" i="1" s="1"/>
  <c r="P851" i="1" a="1"/>
  <c r="P851" i="1" s="1"/>
  <c r="EP851" i="1" s="1"/>
  <c r="P852" i="1" a="1"/>
  <c r="P852" i="1" s="1"/>
  <c r="EP852" i="1" s="1"/>
  <c r="P853" i="1" a="1"/>
  <c r="P853" i="1" s="1"/>
  <c r="EP853" i="1" s="1"/>
  <c r="P854" i="1" a="1"/>
  <c r="P854" i="1" s="1"/>
  <c r="EP854" i="1" s="1"/>
  <c r="P855" i="1" a="1"/>
  <c r="P855" i="1" s="1"/>
  <c r="EP855" i="1" s="1"/>
  <c r="P856" i="1" a="1"/>
  <c r="P856" i="1" s="1"/>
  <c r="EP856" i="1" s="1"/>
  <c r="P857" i="1" a="1"/>
  <c r="P857" i="1"/>
  <c r="EP857" i="1" s="1"/>
  <c r="P858" i="1" a="1"/>
  <c r="P858" i="1" s="1"/>
  <c r="EP858" i="1" s="1"/>
  <c r="P859" i="1" a="1"/>
  <c r="P859" i="1" s="1"/>
  <c r="EP859" i="1" s="1"/>
  <c r="P860" i="1" a="1"/>
  <c r="P860" i="1" s="1"/>
  <c r="EP860" i="1" s="1"/>
  <c r="P861" i="1" a="1"/>
  <c r="P861" i="1" s="1"/>
  <c r="EP861" i="1" s="1"/>
  <c r="P862" i="1" a="1"/>
  <c r="P862" i="1" s="1"/>
  <c r="EP862" i="1" s="1"/>
  <c r="P863" i="1" a="1"/>
  <c r="P863" i="1" s="1"/>
  <c r="EP863" i="1" s="1"/>
  <c r="P864" i="1" a="1"/>
  <c r="P864" i="1" s="1"/>
  <c r="EP864" i="1" s="1"/>
  <c r="P865" i="1" a="1"/>
  <c r="P865" i="1" s="1"/>
  <c r="EP865" i="1" s="1"/>
  <c r="P866" i="1" a="1"/>
  <c r="P866" i="1" s="1"/>
  <c r="EP866" i="1" s="1"/>
  <c r="P867" i="1" a="1"/>
  <c r="P867" i="1" s="1"/>
  <c r="EP867" i="1" s="1"/>
  <c r="P868" i="1" a="1"/>
  <c r="P868" i="1" s="1"/>
  <c r="EP868" i="1" s="1"/>
  <c r="P869" i="1" a="1"/>
  <c r="P869" i="1" s="1"/>
  <c r="EP869" i="1" s="1"/>
  <c r="P870" i="1" a="1"/>
  <c r="P870" i="1" s="1"/>
  <c r="EP870" i="1" s="1"/>
  <c r="P871" i="1" a="1"/>
  <c r="P871" i="1" s="1"/>
  <c r="EP871" i="1" s="1"/>
  <c r="P872" i="1" a="1"/>
  <c r="P872" i="1" s="1"/>
  <c r="EP872" i="1" s="1"/>
  <c r="P873" i="1" a="1"/>
  <c r="P873" i="1" s="1"/>
  <c r="EP873" i="1" s="1"/>
  <c r="P874" i="1" a="1"/>
  <c r="P874" i="1" s="1"/>
  <c r="EP874" i="1" s="1"/>
  <c r="P875" i="1" a="1"/>
  <c r="P875" i="1" s="1"/>
  <c r="EP875" i="1" s="1"/>
  <c r="P876" i="1" a="1"/>
  <c r="P876" i="1" s="1"/>
  <c r="EP876" i="1" s="1"/>
  <c r="P877" i="1" a="1"/>
  <c r="P877" i="1" s="1"/>
  <c r="EP877" i="1" s="1"/>
  <c r="P878" i="1" a="1"/>
  <c r="P878" i="1"/>
  <c r="EP878" i="1" s="1"/>
  <c r="P879" i="1" a="1"/>
  <c r="P879" i="1" s="1"/>
  <c r="EP879" i="1" s="1"/>
  <c r="P880" i="1" a="1"/>
  <c r="P880" i="1" s="1"/>
  <c r="EP880" i="1" s="1"/>
  <c r="P881" i="1" a="1"/>
  <c r="P881" i="1" s="1"/>
  <c r="EP881" i="1" s="1"/>
  <c r="P882" i="1" a="1"/>
  <c r="P882" i="1"/>
  <c r="EP882" i="1" s="1"/>
  <c r="P883" i="1" a="1"/>
  <c r="P883" i="1" s="1"/>
  <c r="EP883" i="1" s="1"/>
  <c r="P884" i="1" a="1"/>
  <c r="P884" i="1" s="1"/>
  <c r="EP884" i="1" s="1"/>
  <c r="P885" i="1" a="1"/>
  <c r="P885" i="1" s="1"/>
  <c r="EP885" i="1" s="1"/>
  <c r="P886" i="1" a="1"/>
  <c r="P886" i="1"/>
  <c r="EP886" i="1" s="1"/>
  <c r="P887" i="1" a="1"/>
  <c r="P887" i="1" s="1"/>
  <c r="EP887" i="1" s="1"/>
  <c r="P888" i="1" a="1"/>
  <c r="P888" i="1" s="1"/>
  <c r="EP888" i="1" s="1"/>
  <c r="P889" i="1" a="1"/>
  <c r="P889" i="1" s="1"/>
  <c r="EP889" i="1" s="1"/>
  <c r="P890" i="1" a="1"/>
  <c r="P890" i="1"/>
  <c r="EP890" i="1" s="1"/>
  <c r="P891" i="1" a="1"/>
  <c r="P891" i="1" s="1"/>
  <c r="EP891" i="1" s="1"/>
  <c r="P892" i="1" a="1"/>
  <c r="P892" i="1" s="1"/>
  <c r="EP892" i="1" s="1"/>
  <c r="P893" i="1" a="1"/>
  <c r="P893" i="1" s="1"/>
  <c r="EP893" i="1" s="1"/>
  <c r="P894" i="1" a="1"/>
  <c r="P894" i="1"/>
  <c r="EP894" i="1" s="1"/>
  <c r="P895" i="1" a="1"/>
  <c r="P895" i="1" s="1"/>
  <c r="EP895" i="1" s="1"/>
  <c r="P896" i="1" a="1"/>
  <c r="P896" i="1" s="1"/>
  <c r="EP896" i="1" s="1"/>
  <c r="P897" i="1" a="1"/>
  <c r="P897" i="1" s="1"/>
  <c r="EP897" i="1" s="1"/>
  <c r="P898" i="1" a="1"/>
  <c r="P898" i="1"/>
  <c r="EP898" i="1" s="1"/>
  <c r="P899" i="1" a="1"/>
  <c r="P899" i="1" s="1"/>
  <c r="EP899" i="1" s="1"/>
  <c r="P900" i="1" a="1"/>
  <c r="P900" i="1" s="1"/>
  <c r="EP900" i="1" s="1"/>
  <c r="P901" i="1" a="1"/>
  <c r="P901" i="1" s="1"/>
  <c r="EP901" i="1" s="1"/>
  <c r="P902" i="1" a="1"/>
  <c r="P902" i="1"/>
  <c r="EP902" i="1" s="1"/>
  <c r="P903" i="1" a="1"/>
  <c r="P903" i="1" s="1"/>
  <c r="EP903" i="1" s="1"/>
  <c r="P904" i="1" a="1"/>
  <c r="P904" i="1" s="1"/>
  <c r="EP904" i="1" s="1"/>
  <c r="P905" i="1" a="1"/>
  <c r="P905" i="1" s="1"/>
  <c r="EP905" i="1" s="1"/>
  <c r="P906" i="1" a="1"/>
  <c r="P906" i="1"/>
  <c r="EP906" i="1" s="1"/>
  <c r="P907" i="1" a="1"/>
  <c r="P907" i="1" s="1"/>
  <c r="EP907" i="1" s="1"/>
  <c r="P908" i="1" a="1"/>
  <c r="P908" i="1" s="1"/>
  <c r="EP908" i="1" s="1"/>
  <c r="P909" i="1" a="1"/>
  <c r="P909" i="1" s="1"/>
  <c r="EP909" i="1" s="1"/>
  <c r="P910" i="1" a="1"/>
  <c r="P910" i="1"/>
  <c r="EP910" i="1" s="1"/>
  <c r="P911" i="1" a="1"/>
  <c r="P911" i="1" s="1"/>
  <c r="EP911" i="1" s="1"/>
  <c r="P912" i="1" a="1"/>
  <c r="P912" i="1" s="1"/>
  <c r="EP912" i="1" s="1"/>
  <c r="P913" i="1" a="1"/>
  <c r="P913" i="1" s="1"/>
  <c r="EP913" i="1" s="1"/>
  <c r="P914" i="1" a="1"/>
  <c r="P914" i="1"/>
  <c r="EP914" i="1" s="1"/>
  <c r="P915" i="1" a="1"/>
  <c r="P915" i="1" s="1"/>
  <c r="EP915" i="1" s="1"/>
  <c r="P916" i="1" a="1"/>
  <c r="P916" i="1" s="1"/>
  <c r="EP916" i="1" s="1"/>
  <c r="P917" i="1" a="1"/>
  <c r="P917" i="1" s="1"/>
  <c r="EP917" i="1" s="1"/>
  <c r="P918" i="1" a="1"/>
  <c r="P918" i="1"/>
  <c r="EP918" i="1" s="1"/>
  <c r="P919" i="1" a="1"/>
  <c r="P919" i="1" s="1"/>
  <c r="EP919" i="1" s="1"/>
  <c r="P920" i="1" a="1"/>
  <c r="P920" i="1" s="1"/>
  <c r="EP920" i="1" s="1"/>
  <c r="P921" i="1" a="1"/>
  <c r="P921" i="1" s="1"/>
  <c r="EP921" i="1" s="1"/>
  <c r="P922" i="1" a="1"/>
  <c r="P922" i="1"/>
  <c r="EP922" i="1" s="1"/>
  <c r="P923" i="1" a="1"/>
  <c r="P923" i="1" s="1"/>
  <c r="EP923" i="1" s="1"/>
  <c r="P924" i="1" a="1"/>
  <c r="P924" i="1" s="1"/>
  <c r="EP924" i="1" s="1"/>
  <c r="P925" i="1" a="1"/>
  <c r="P925" i="1" s="1"/>
  <c r="EP925" i="1" s="1"/>
  <c r="P926" i="1" a="1"/>
  <c r="P926" i="1" s="1"/>
  <c r="EP926" i="1" s="1"/>
  <c r="P927" i="1" a="1"/>
  <c r="P927" i="1" s="1"/>
  <c r="EP927" i="1" s="1"/>
  <c r="P928" i="1" a="1"/>
  <c r="P928" i="1"/>
  <c r="EP928" i="1" s="1"/>
  <c r="P929" i="1" a="1"/>
  <c r="P929" i="1" s="1"/>
  <c r="EP929" i="1" s="1"/>
  <c r="P930" i="1" a="1"/>
  <c r="P930" i="1" s="1"/>
  <c r="EP930" i="1" s="1"/>
  <c r="P931" i="1" a="1"/>
  <c r="P931" i="1" s="1"/>
  <c r="EP931" i="1" s="1"/>
  <c r="P932" i="1" a="1"/>
  <c r="P932" i="1" s="1"/>
  <c r="EP932" i="1" s="1"/>
  <c r="P933" i="1" a="1"/>
  <c r="P933" i="1" s="1"/>
  <c r="EP933" i="1" s="1"/>
  <c r="P934" i="1" a="1"/>
  <c r="P934" i="1" s="1"/>
  <c r="EP934" i="1" s="1"/>
  <c r="P935" i="1" a="1"/>
  <c r="P935" i="1" s="1"/>
  <c r="EP935" i="1" s="1"/>
  <c r="P936" i="1" a="1"/>
  <c r="P936" i="1"/>
  <c r="EP936" i="1" s="1"/>
  <c r="P937" i="1" a="1"/>
  <c r="P937" i="1" s="1"/>
  <c r="EP937" i="1" s="1"/>
  <c r="P938" i="1" a="1"/>
  <c r="P938" i="1" s="1"/>
  <c r="EP938" i="1" s="1"/>
  <c r="P939" i="1" a="1"/>
  <c r="P939" i="1" s="1"/>
  <c r="EP939" i="1" s="1"/>
  <c r="P940" i="1" a="1"/>
  <c r="P940" i="1" s="1"/>
  <c r="EP940" i="1" s="1"/>
  <c r="P941" i="1" a="1"/>
  <c r="P941" i="1" s="1"/>
  <c r="EP941" i="1" s="1"/>
  <c r="P942" i="1" a="1"/>
  <c r="P942" i="1" s="1"/>
  <c r="EP942" i="1" s="1"/>
  <c r="P943" i="1" a="1"/>
  <c r="P943" i="1" s="1"/>
  <c r="EP943" i="1" s="1"/>
  <c r="P944" i="1" a="1"/>
  <c r="P944" i="1"/>
  <c r="EP944" i="1" s="1"/>
  <c r="P945" i="1" a="1"/>
  <c r="P945" i="1" s="1"/>
  <c r="EP945" i="1" s="1"/>
  <c r="P946" i="1" a="1"/>
  <c r="P946" i="1" s="1"/>
  <c r="EP946" i="1" s="1"/>
  <c r="P947" i="1" a="1"/>
  <c r="P947" i="1" s="1"/>
  <c r="EP947" i="1" s="1"/>
  <c r="P948" i="1" a="1"/>
  <c r="P948" i="1" s="1"/>
  <c r="EP948" i="1" s="1"/>
  <c r="P949" i="1" a="1"/>
  <c r="P949" i="1" s="1"/>
  <c r="EP949" i="1" s="1"/>
  <c r="P950" i="1" a="1"/>
  <c r="P950" i="1" s="1"/>
  <c r="EP950" i="1" s="1"/>
  <c r="P951" i="1" a="1"/>
  <c r="P951" i="1" s="1"/>
  <c r="EP951" i="1" s="1"/>
  <c r="P952" i="1" a="1"/>
  <c r="P952" i="1"/>
  <c r="EP952" i="1" s="1"/>
  <c r="P953" i="1" a="1"/>
  <c r="P953" i="1" s="1"/>
  <c r="EP953" i="1" s="1"/>
  <c r="P954" i="1" a="1"/>
  <c r="P954" i="1" s="1"/>
  <c r="EP954" i="1" s="1"/>
  <c r="P955" i="1" a="1"/>
  <c r="P955" i="1" s="1"/>
  <c r="EP955" i="1" s="1"/>
  <c r="P956" i="1" a="1"/>
  <c r="P956" i="1" s="1"/>
  <c r="EP956" i="1" s="1"/>
  <c r="P957" i="1" a="1"/>
  <c r="P957" i="1" s="1"/>
  <c r="EP957" i="1" s="1"/>
  <c r="P958" i="1" a="1"/>
  <c r="P958" i="1" s="1"/>
  <c r="EP958" i="1" s="1"/>
  <c r="P959" i="1" a="1"/>
  <c r="P959" i="1" s="1"/>
  <c r="EP959" i="1" s="1"/>
  <c r="P960" i="1" a="1"/>
  <c r="P960" i="1"/>
  <c r="EP960" i="1" s="1"/>
  <c r="P961" i="1" a="1"/>
  <c r="P961" i="1" s="1"/>
  <c r="EP961" i="1" s="1"/>
  <c r="P962" i="1" a="1"/>
  <c r="P962" i="1" s="1"/>
  <c r="EP962" i="1" s="1"/>
  <c r="P963" i="1" a="1"/>
  <c r="P963" i="1" s="1"/>
  <c r="EP963" i="1" s="1"/>
  <c r="P964" i="1" a="1"/>
  <c r="P964" i="1" s="1"/>
  <c r="EP964" i="1" s="1"/>
  <c r="P965" i="1" a="1"/>
  <c r="P965" i="1" s="1"/>
  <c r="EP965" i="1" s="1"/>
  <c r="P966" i="1" a="1"/>
  <c r="P966" i="1" s="1"/>
  <c r="EP966" i="1" s="1"/>
  <c r="P967" i="1" a="1"/>
  <c r="P967" i="1" s="1"/>
  <c r="EP967" i="1" s="1"/>
  <c r="P968" i="1" a="1"/>
  <c r="P968" i="1"/>
  <c r="EP968" i="1" s="1"/>
  <c r="P969" i="1" a="1"/>
  <c r="P969" i="1" s="1"/>
  <c r="EP969" i="1" s="1"/>
  <c r="P970" i="1" a="1"/>
  <c r="P970" i="1" s="1"/>
  <c r="EP970" i="1" s="1"/>
  <c r="P971" i="1" a="1"/>
  <c r="P971" i="1" s="1"/>
  <c r="EP971" i="1" s="1"/>
  <c r="P972" i="1" a="1"/>
  <c r="P972" i="1" s="1"/>
  <c r="EP972" i="1" s="1"/>
  <c r="P973" i="1" a="1"/>
  <c r="P973" i="1" s="1"/>
  <c r="EP973" i="1" s="1"/>
  <c r="P974" i="1" a="1"/>
  <c r="P974" i="1" s="1"/>
  <c r="EP974" i="1" s="1"/>
  <c r="P975" i="1" a="1"/>
  <c r="P975" i="1" s="1"/>
  <c r="EP975" i="1" s="1"/>
  <c r="P976" i="1" a="1"/>
  <c r="P976" i="1"/>
  <c r="EP976" i="1" s="1"/>
  <c r="P977" i="1" a="1"/>
  <c r="P977" i="1" s="1"/>
  <c r="EP977" i="1" s="1"/>
  <c r="P978" i="1" a="1"/>
  <c r="P978" i="1" s="1"/>
  <c r="EP978" i="1" s="1"/>
  <c r="P979" i="1" a="1"/>
  <c r="P979" i="1" s="1"/>
  <c r="EP979" i="1" s="1"/>
  <c r="P980" i="1" a="1"/>
  <c r="P980" i="1" s="1"/>
  <c r="EP980" i="1" s="1"/>
  <c r="P981" i="1" a="1"/>
  <c r="P981" i="1" s="1"/>
  <c r="EP981" i="1" s="1"/>
  <c r="P982" i="1" a="1"/>
  <c r="P982" i="1" s="1"/>
  <c r="EP982" i="1" s="1"/>
  <c r="P983" i="1" a="1"/>
  <c r="P983" i="1" s="1"/>
  <c r="EP983" i="1" s="1"/>
  <c r="P984" i="1" a="1"/>
  <c r="P984" i="1"/>
  <c r="EP984" i="1" s="1"/>
  <c r="P985" i="1" a="1"/>
  <c r="P985" i="1" s="1"/>
  <c r="EP985" i="1" s="1"/>
  <c r="P986" i="1" a="1"/>
  <c r="P986" i="1" s="1"/>
  <c r="EP986" i="1" s="1"/>
  <c r="P987" i="1" a="1"/>
  <c r="P987" i="1" s="1"/>
  <c r="EP987" i="1" s="1"/>
  <c r="P988" i="1" a="1"/>
  <c r="P988" i="1" s="1"/>
  <c r="EP988" i="1" s="1"/>
  <c r="P989" i="1" a="1"/>
  <c r="P989" i="1" s="1"/>
  <c r="EP989" i="1" s="1"/>
  <c r="P990" i="1" a="1"/>
  <c r="P990" i="1" s="1"/>
  <c r="EP990" i="1" s="1"/>
  <c r="P991" i="1" a="1"/>
  <c r="P991" i="1" s="1"/>
  <c r="EP991" i="1" s="1"/>
  <c r="P992" i="1" a="1"/>
  <c r="P992" i="1"/>
  <c r="EP992" i="1" s="1"/>
  <c r="P993" i="1" a="1"/>
  <c r="P993" i="1" s="1"/>
  <c r="EP993" i="1" s="1"/>
  <c r="P994" i="1" a="1"/>
  <c r="P994" i="1" s="1"/>
  <c r="EP994" i="1" s="1"/>
  <c r="P995" i="1" a="1"/>
  <c r="P995" i="1" s="1"/>
  <c r="EP995" i="1" s="1"/>
  <c r="P996" i="1" a="1"/>
  <c r="P996" i="1" s="1"/>
  <c r="EP996" i="1" s="1"/>
  <c r="P997" i="1" a="1"/>
  <c r="P997" i="1" s="1"/>
  <c r="EP997" i="1" s="1"/>
  <c r="P998" i="1" a="1"/>
  <c r="P998" i="1" s="1"/>
  <c r="EP998" i="1" s="1"/>
  <c r="P999" i="1" a="1"/>
  <c r="P999" i="1" s="1"/>
  <c r="EP999" i="1" s="1"/>
  <c r="P1000" i="1" a="1"/>
  <c r="P1000" i="1"/>
  <c r="EP1000" i="1" s="1"/>
  <c r="P1001" i="1" a="1"/>
  <c r="P1001" i="1" s="1"/>
  <c r="EP1001" i="1" s="1"/>
  <c r="P1002" i="1" a="1"/>
  <c r="P1002" i="1" s="1"/>
  <c r="EP1002" i="1" s="1"/>
  <c r="P1003" i="1" a="1"/>
  <c r="P1003" i="1" s="1"/>
  <c r="EP1003" i="1" s="1"/>
  <c r="P1004" i="1" a="1"/>
  <c r="P1004" i="1" s="1"/>
  <c r="EP1004" i="1" s="1"/>
  <c r="P1005" i="1" a="1"/>
  <c r="P1005" i="1" s="1"/>
  <c r="EP1005" i="1" s="1"/>
  <c r="P1006" i="1" a="1"/>
  <c r="P1006" i="1" s="1"/>
  <c r="EP1006" i="1" s="1"/>
  <c r="P1007" i="1" a="1"/>
  <c r="P1007" i="1" s="1"/>
  <c r="EP1007" i="1" s="1"/>
  <c r="P1008" i="1" a="1"/>
  <c r="P1008" i="1"/>
  <c r="EP1008" i="1" s="1"/>
  <c r="P1009" i="1" a="1"/>
  <c r="P1009" i="1" s="1"/>
  <c r="EP1009" i="1" s="1"/>
  <c r="P1010" i="1" a="1"/>
  <c r="P1010" i="1" s="1"/>
  <c r="EP1010" i="1" s="1"/>
  <c r="P1011" i="1" a="1"/>
  <c r="P1011" i="1" s="1"/>
  <c r="EP1011" i="1" s="1"/>
  <c r="P1012" i="1" a="1"/>
  <c r="P1012" i="1" s="1"/>
  <c r="EP1012" i="1" s="1"/>
  <c r="P1013" i="1" a="1"/>
  <c r="P1013" i="1" s="1"/>
  <c r="EP1013" i="1" s="1"/>
  <c r="P1014" i="1" a="1"/>
  <c r="P1014" i="1" s="1"/>
  <c r="EP1014" i="1" s="1"/>
  <c r="P1015" i="1" a="1"/>
  <c r="P1015" i="1" s="1"/>
  <c r="EP1015" i="1" s="1"/>
  <c r="P1016" i="1" a="1"/>
  <c r="P1016" i="1"/>
  <c r="EP1016" i="1" s="1"/>
  <c r="P1017" i="1" a="1"/>
  <c r="P1017" i="1" s="1"/>
  <c r="EP1017" i="1" s="1"/>
  <c r="P1018" i="1" a="1"/>
  <c r="P1018" i="1" s="1"/>
  <c r="EP1018" i="1" s="1"/>
  <c r="P1019" i="1" a="1"/>
  <c r="P1019" i="1" s="1"/>
  <c r="EP1019" i="1" s="1"/>
  <c r="P1020" i="1" a="1"/>
  <c r="P1020" i="1" s="1"/>
  <c r="EP1020" i="1" s="1"/>
  <c r="P1021" i="1" a="1"/>
  <c r="P1021" i="1" s="1"/>
  <c r="EP1021" i="1" s="1"/>
  <c r="P1022" i="1" a="1"/>
  <c r="P1022" i="1" s="1"/>
  <c r="EP1022" i="1" s="1"/>
  <c r="P1023" i="1" a="1"/>
  <c r="P1023" i="1" s="1"/>
  <c r="EP1023" i="1" s="1"/>
  <c r="P1024" i="1" a="1"/>
  <c r="P1024" i="1"/>
  <c r="EP1024" i="1" s="1"/>
  <c r="P1025" i="1" a="1"/>
  <c r="P1025" i="1" s="1"/>
  <c r="EP1025" i="1" s="1"/>
  <c r="P1026" i="1" a="1"/>
  <c r="P1026" i="1" s="1"/>
  <c r="EP1026" i="1" s="1"/>
  <c r="P1027" i="1" a="1"/>
  <c r="P1027" i="1" s="1"/>
  <c r="EP1027" i="1" s="1"/>
  <c r="P1028" i="1" a="1"/>
  <c r="P1028" i="1" s="1"/>
  <c r="EP1028" i="1" s="1"/>
  <c r="P1029" i="1" a="1"/>
  <c r="P1029" i="1" s="1"/>
  <c r="EP1029" i="1" s="1"/>
  <c r="P1030" i="1" a="1"/>
  <c r="P1030" i="1" s="1"/>
  <c r="EP1030" i="1" s="1"/>
  <c r="P1031" i="1" a="1"/>
  <c r="P1031" i="1" s="1"/>
  <c r="EP1031" i="1" s="1"/>
  <c r="P1032" i="1" a="1"/>
  <c r="P1032" i="1"/>
  <c r="EP1032" i="1" s="1"/>
  <c r="P1033" i="1" a="1"/>
  <c r="P1033" i="1" s="1"/>
  <c r="EP1033" i="1" s="1"/>
  <c r="P1034" i="1" a="1"/>
  <c r="P1034" i="1" s="1"/>
  <c r="EP1034" i="1" s="1"/>
  <c r="P1035" i="1" a="1"/>
  <c r="P1035" i="1" s="1"/>
  <c r="EP1035" i="1" s="1"/>
  <c r="P1036" i="1" a="1"/>
  <c r="P1036" i="1" s="1"/>
  <c r="EP1036" i="1" s="1"/>
  <c r="P1037" i="1" a="1"/>
  <c r="P1037" i="1" s="1"/>
  <c r="EP1037" i="1" s="1"/>
  <c r="P1038" i="1" a="1"/>
  <c r="P1038" i="1" s="1"/>
  <c r="EP1038" i="1" s="1"/>
  <c r="P1039" i="1" a="1"/>
  <c r="P1039" i="1" s="1"/>
  <c r="EP1039" i="1" s="1"/>
  <c r="P1040" i="1" a="1"/>
  <c r="P1040" i="1"/>
  <c r="EP1040" i="1" s="1"/>
  <c r="P1041" i="1" a="1"/>
  <c r="P1041" i="1" s="1"/>
  <c r="EP1041" i="1" s="1"/>
  <c r="P1042" i="1" a="1"/>
  <c r="P1042" i="1" s="1"/>
  <c r="EP1042" i="1" s="1"/>
  <c r="P1043" i="1" a="1"/>
  <c r="P1043" i="1" s="1"/>
  <c r="EP1043" i="1" s="1"/>
  <c r="P1044" i="1" a="1"/>
  <c r="P1044" i="1" s="1"/>
  <c r="EP1044" i="1" s="1"/>
  <c r="P1045" i="1" a="1"/>
  <c r="P1045" i="1" s="1"/>
  <c r="EP1045" i="1" s="1"/>
  <c r="P1046" i="1" a="1"/>
  <c r="P1046" i="1" s="1"/>
  <c r="EP1046" i="1" s="1"/>
  <c r="P1047" i="1" a="1"/>
  <c r="P1047" i="1" s="1"/>
  <c r="EP1047" i="1" s="1"/>
  <c r="P1048" i="1" a="1"/>
  <c r="P1048" i="1"/>
  <c r="EP1048" i="1" s="1"/>
  <c r="P1049" i="1" a="1"/>
  <c r="P1049" i="1" s="1"/>
  <c r="EP1049" i="1" s="1"/>
  <c r="P1050" i="1" a="1"/>
  <c r="P1050" i="1" s="1"/>
  <c r="EP1050" i="1" s="1"/>
  <c r="P1051" i="1" a="1"/>
  <c r="P1051" i="1" s="1"/>
  <c r="EP1051" i="1" s="1"/>
  <c r="P1052" i="1" a="1"/>
  <c r="P1052" i="1" s="1"/>
  <c r="EP1052" i="1" s="1"/>
  <c r="P1053" i="1" a="1"/>
  <c r="P1053" i="1" s="1"/>
  <c r="EP1053" i="1" s="1"/>
  <c r="P1054" i="1" a="1"/>
  <c r="P1054" i="1" s="1"/>
  <c r="EP1054" i="1" s="1"/>
  <c r="P1055" i="1" a="1"/>
  <c r="P1055" i="1" s="1"/>
  <c r="EP1055" i="1" s="1"/>
  <c r="P1056" i="1" a="1"/>
  <c r="P1056" i="1"/>
  <c r="EP1056" i="1" s="1"/>
  <c r="P1057" i="1" a="1"/>
  <c r="P1057" i="1" s="1"/>
  <c r="EP1057" i="1" s="1"/>
  <c r="P1058" i="1" a="1"/>
  <c r="P1058" i="1" s="1"/>
  <c r="EP1058" i="1" s="1"/>
  <c r="P1059" i="1" a="1"/>
  <c r="P1059" i="1" s="1"/>
  <c r="EP1059" i="1" s="1"/>
  <c r="P1060" i="1" a="1"/>
  <c r="P1060" i="1" s="1"/>
  <c r="EP1060" i="1" s="1"/>
  <c r="P1061" i="1" a="1"/>
  <c r="P1061" i="1" s="1"/>
  <c r="EP1061" i="1" s="1"/>
  <c r="P1062" i="1" a="1"/>
  <c r="P1062" i="1" s="1"/>
  <c r="EP1062" i="1" s="1"/>
  <c r="P1063" i="1" a="1"/>
  <c r="P1063" i="1" s="1"/>
  <c r="EP1063" i="1" s="1"/>
  <c r="P1064" i="1" a="1"/>
  <c r="P1064" i="1"/>
  <c r="EP1064" i="1" s="1"/>
  <c r="P1065" i="1" a="1"/>
  <c r="P1065" i="1" s="1"/>
  <c r="EP1065" i="1" s="1"/>
  <c r="P1066" i="1" a="1"/>
  <c r="P1066" i="1" s="1"/>
  <c r="EP1066" i="1" s="1"/>
  <c r="P1067" i="1" a="1"/>
  <c r="P1067" i="1" s="1"/>
  <c r="EP1067" i="1" s="1"/>
  <c r="P1068" i="1" a="1"/>
  <c r="P1068" i="1" s="1"/>
  <c r="EP1068" i="1" s="1"/>
  <c r="P1069" i="1" a="1"/>
  <c r="P1069" i="1" s="1"/>
  <c r="EP1069" i="1" s="1"/>
  <c r="P1070" i="1" a="1"/>
  <c r="P1070" i="1" s="1"/>
  <c r="EP1070" i="1" s="1"/>
  <c r="P1071" i="1" a="1"/>
  <c r="P1071" i="1" s="1"/>
  <c r="EP1071" i="1" s="1"/>
  <c r="P1072" i="1" a="1"/>
  <c r="P1072" i="1"/>
  <c r="EP1072" i="1" s="1"/>
  <c r="P1073" i="1" a="1"/>
  <c r="P1073" i="1" s="1"/>
  <c r="EP1073" i="1" s="1"/>
  <c r="P1074" i="1" a="1"/>
  <c r="P1074" i="1" s="1"/>
  <c r="EP1074" i="1" s="1"/>
  <c r="P1075" i="1" a="1"/>
  <c r="P1075" i="1" s="1"/>
  <c r="EP1075" i="1" s="1"/>
  <c r="P1076" i="1" a="1"/>
  <c r="P1076" i="1" s="1"/>
  <c r="EP1076" i="1" s="1"/>
  <c r="P1077" i="1" a="1"/>
  <c r="P1077" i="1" s="1"/>
  <c r="EP1077" i="1" s="1"/>
  <c r="P1078" i="1" a="1"/>
  <c r="P1078" i="1" s="1"/>
  <c r="EP1078" i="1" s="1"/>
  <c r="P1079" i="1" a="1"/>
  <c r="P1079" i="1" s="1"/>
  <c r="EP1079" i="1" s="1"/>
  <c r="P1080" i="1" a="1"/>
  <c r="P1080" i="1"/>
  <c r="EP1080" i="1" s="1"/>
  <c r="P1081" i="1" a="1"/>
  <c r="P1081" i="1" s="1"/>
  <c r="EP1081" i="1" s="1"/>
  <c r="P1082" i="1" a="1"/>
  <c r="P1082" i="1" s="1"/>
  <c r="EP1082" i="1" s="1"/>
  <c r="P1083" i="1" a="1"/>
  <c r="P1083" i="1" s="1"/>
  <c r="EP1083" i="1" s="1"/>
  <c r="P1084" i="1" a="1"/>
  <c r="P1084" i="1" s="1"/>
  <c r="EP1084" i="1" s="1"/>
  <c r="P1085" i="1" a="1"/>
  <c r="P1085" i="1" s="1"/>
  <c r="EP1085" i="1" s="1"/>
  <c r="P1086" i="1" a="1"/>
  <c r="P1086" i="1" s="1"/>
  <c r="EP1086" i="1" s="1"/>
  <c r="P1087" i="1" a="1"/>
  <c r="P1087" i="1" s="1"/>
  <c r="EP1087" i="1" s="1"/>
  <c r="P1088" i="1" a="1"/>
  <c r="P1088" i="1"/>
  <c r="EP1088" i="1" s="1"/>
  <c r="P1089" i="1" a="1"/>
  <c r="P1089" i="1" s="1"/>
  <c r="EP1089" i="1" s="1"/>
  <c r="P1090" i="1" a="1"/>
  <c r="P1090" i="1" s="1"/>
  <c r="EP1090" i="1" s="1"/>
  <c r="P1091" i="1" a="1"/>
  <c r="P1091" i="1" s="1"/>
  <c r="EP1091" i="1" s="1"/>
  <c r="P1092" i="1" a="1"/>
  <c r="P1092" i="1" s="1"/>
  <c r="EP1092" i="1" s="1"/>
  <c r="P1093" i="1" a="1"/>
  <c r="P1093" i="1" s="1"/>
  <c r="EP1093" i="1" s="1"/>
  <c r="P1094" i="1" a="1"/>
  <c r="P1094" i="1" s="1"/>
  <c r="EP1094" i="1" s="1"/>
  <c r="P1095" i="1" a="1"/>
  <c r="P1095" i="1" s="1"/>
  <c r="EP1095" i="1" s="1"/>
  <c r="P1096" i="1" a="1"/>
  <c r="P1096" i="1"/>
  <c r="EP1096" i="1" s="1"/>
  <c r="P1097" i="1" a="1"/>
  <c r="P1097" i="1" s="1"/>
  <c r="EP1097" i="1" s="1"/>
  <c r="P1098" i="1" a="1"/>
  <c r="P1098" i="1" s="1"/>
  <c r="EP1098" i="1" s="1"/>
  <c r="P1099" i="1" a="1"/>
  <c r="P1099" i="1" s="1"/>
  <c r="EP1099" i="1" s="1"/>
  <c r="P1100" i="1" a="1"/>
  <c r="P1100" i="1" s="1"/>
  <c r="EP1100" i="1" s="1"/>
  <c r="P1101" i="1" a="1"/>
  <c r="P1101" i="1" s="1"/>
  <c r="EP1101" i="1" s="1"/>
  <c r="P1102" i="1" a="1"/>
  <c r="P1102" i="1" s="1"/>
  <c r="EP1102" i="1" s="1"/>
  <c r="P1103" i="1" a="1"/>
  <c r="P1103" i="1" s="1"/>
  <c r="EP1103" i="1" s="1"/>
  <c r="P1104" i="1" a="1"/>
  <c r="P1104" i="1"/>
  <c r="EP1104" i="1" s="1"/>
  <c r="P1105" i="1" a="1"/>
  <c r="P1105" i="1" s="1"/>
  <c r="EP1105" i="1" s="1"/>
  <c r="P1106" i="1" a="1"/>
  <c r="P1106" i="1" s="1"/>
  <c r="EP1106" i="1" s="1"/>
  <c r="P1107" i="1" a="1"/>
  <c r="P1107" i="1" s="1"/>
  <c r="EP1107" i="1" s="1"/>
  <c r="P1108" i="1" a="1"/>
  <c r="P1108" i="1" s="1"/>
  <c r="EP1108" i="1" s="1"/>
  <c r="P1109" i="1" a="1"/>
  <c r="P1109" i="1" s="1"/>
  <c r="EP1109" i="1" s="1"/>
  <c r="P1110" i="1" a="1"/>
  <c r="P1110" i="1" s="1"/>
  <c r="EP1110" i="1" s="1"/>
  <c r="P1111" i="1" a="1"/>
  <c r="P1111" i="1" s="1"/>
  <c r="EP1111" i="1" s="1"/>
  <c r="P1112" i="1" a="1"/>
  <c r="P1112" i="1"/>
  <c r="EP1112" i="1" s="1"/>
  <c r="P1113" i="1" a="1"/>
  <c r="P1113" i="1" s="1"/>
  <c r="EP1113" i="1" s="1"/>
  <c r="P1114" i="1" a="1"/>
  <c r="P1114" i="1" s="1"/>
  <c r="EP1114" i="1" s="1"/>
  <c r="P1115" i="1" a="1"/>
  <c r="P1115" i="1" s="1"/>
  <c r="EP1115" i="1" s="1"/>
  <c r="P1116" i="1" a="1"/>
  <c r="P1116" i="1" s="1"/>
  <c r="EP1116" i="1" s="1"/>
  <c r="P1117" i="1" a="1"/>
  <c r="P1117" i="1" s="1"/>
  <c r="EP1117" i="1" s="1"/>
  <c r="P1118" i="1" a="1"/>
  <c r="P1118" i="1" s="1"/>
  <c r="EP1118" i="1" s="1"/>
  <c r="P1119" i="1" a="1"/>
  <c r="P1119" i="1" s="1"/>
  <c r="EP1119" i="1" s="1"/>
  <c r="P1120" i="1" a="1"/>
  <c r="P1120" i="1"/>
  <c r="EP1120" i="1" s="1"/>
  <c r="P1121" i="1" a="1"/>
  <c r="P1121" i="1" s="1"/>
  <c r="EP1121" i="1" s="1"/>
  <c r="P1122" i="1" a="1"/>
  <c r="P1122" i="1" s="1"/>
  <c r="EP1122" i="1" s="1"/>
  <c r="P1123" i="1" a="1"/>
  <c r="P1123" i="1" s="1"/>
  <c r="EP1123" i="1" s="1"/>
  <c r="P1124" i="1" a="1"/>
  <c r="P1124" i="1" s="1"/>
  <c r="EP1124" i="1" s="1"/>
  <c r="P1125" i="1" a="1"/>
  <c r="P1125" i="1" s="1"/>
  <c r="EP1125" i="1" s="1"/>
  <c r="P1126" i="1" a="1"/>
  <c r="P1126" i="1" s="1"/>
  <c r="EP1126" i="1" s="1"/>
  <c r="P1127" i="1" a="1"/>
  <c r="P1127" i="1" s="1"/>
  <c r="EP1127" i="1" s="1"/>
  <c r="P1128" i="1" a="1"/>
  <c r="P1128" i="1"/>
  <c r="EP1128" i="1" s="1"/>
  <c r="P1129" i="1" a="1"/>
  <c r="P1129" i="1" s="1"/>
  <c r="EP1129" i="1" s="1"/>
  <c r="P1130" i="1" a="1"/>
  <c r="P1130" i="1" s="1"/>
  <c r="EP1130" i="1" s="1"/>
  <c r="P1131" i="1" a="1"/>
  <c r="P1131" i="1" s="1"/>
  <c r="EP1131" i="1" s="1"/>
  <c r="P1132" i="1" a="1"/>
  <c r="P1132" i="1" s="1"/>
  <c r="EP1132" i="1" s="1"/>
  <c r="P1133" i="1" a="1"/>
  <c r="P1133" i="1" s="1"/>
  <c r="EP1133" i="1" s="1"/>
  <c r="P1134" i="1" a="1"/>
  <c r="P1134" i="1" s="1"/>
  <c r="EP1134" i="1" s="1"/>
  <c r="P1135" i="1" a="1"/>
  <c r="P1135" i="1" s="1"/>
  <c r="EP1135" i="1" s="1"/>
  <c r="P1136" i="1" a="1"/>
  <c r="P1136" i="1"/>
  <c r="EP1136" i="1" s="1"/>
  <c r="P1137" i="1" a="1"/>
  <c r="P1137" i="1" s="1"/>
  <c r="EP1137" i="1" s="1"/>
  <c r="P1138" i="1" a="1"/>
  <c r="P1138" i="1" s="1"/>
  <c r="EP1138" i="1" s="1"/>
  <c r="P1139" i="1" a="1"/>
  <c r="P1139" i="1" s="1"/>
  <c r="EP1139" i="1" s="1"/>
  <c r="P1140" i="1" a="1"/>
  <c r="P1140" i="1" s="1"/>
  <c r="EP1140" i="1" s="1"/>
  <c r="P1141" i="1" a="1"/>
  <c r="P1141" i="1" s="1"/>
  <c r="EP1141" i="1" s="1"/>
  <c r="P1142" i="1" a="1"/>
  <c r="P1142" i="1" s="1"/>
  <c r="EP1142" i="1" s="1"/>
  <c r="P1143" i="1" a="1"/>
  <c r="P1143" i="1" s="1"/>
  <c r="EP1143" i="1" s="1"/>
  <c r="P1144" i="1" a="1"/>
  <c r="P1144" i="1"/>
  <c r="EP1144" i="1" s="1"/>
  <c r="P1145" i="1" a="1"/>
  <c r="P1145" i="1" s="1"/>
  <c r="EP1145" i="1" s="1"/>
  <c r="P1146" i="1" a="1"/>
  <c r="P1146" i="1" s="1"/>
  <c r="EP1146" i="1" s="1"/>
  <c r="P1147" i="1" a="1"/>
  <c r="P1147" i="1" s="1"/>
  <c r="EP1147" i="1" s="1"/>
  <c r="P1148" i="1" a="1"/>
  <c r="P1148" i="1" s="1"/>
  <c r="EP1148" i="1" s="1"/>
  <c r="P1149" i="1" a="1"/>
  <c r="P1149" i="1" s="1"/>
  <c r="EP1149" i="1" s="1"/>
  <c r="P1150" i="1" a="1"/>
  <c r="P1150" i="1" s="1"/>
  <c r="EP1150" i="1" s="1"/>
  <c r="P1151" i="1" a="1"/>
  <c r="P1151" i="1" s="1"/>
  <c r="EP1151" i="1" s="1"/>
  <c r="P1152" i="1" a="1"/>
  <c r="P1152" i="1"/>
  <c r="EP1152" i="1" s="1"/>
  <c r="P1153" i="1" a="1"/>
  <c r="P1153" i="1" s="1"/>
  <c r="EP1153" i="1" s="1"/>
  <c r="P1154" i="1" a="1"/>
  <c r="P1154" i="1" s="1"/>
  <c r="EP1154" i="1" s="1"/>
  <c r="P1155" i="1" a="1"/>
  <c r="P1155" i="1" s="1"/>
  <c r="EP1155" i="1" s="1"/>
  <c r="P1156" i="1" a="1"/>
  <c r="P1156" i="1" s="1"/>
  <c r="EP1156" i="1" s="1"/>
  <c r="P1157" i="1" a="1"/>
  <c r="P1157" i="1" s="1"/>
  <c r="EP1157" i="1" s="1"/>
  <c r="P1158" i="1" a="1"/>
  <c r="P1158" i="1" s="1"/>
  <c r="EP1158" i="1" s="1"/>
  <c r="P1159" i="1" a="1"/>
  <c r="P1159" i="1" s="1"/>
  <c r="EP1159" i="1" s="1"/>
  <c r="P1160" i="1" a="1"/>
  <c r="P1160" i="1"/>
  <c r="EP1160" i="1" s="1"/>
  <c r="P1161" i="1" a="1"/>
  <c r="P1161" i="1" s="1"/>
  <c r="EP1161" i="1" s="1"/>
  <c r="P1162" i="1" a="1"/>
  <c r="P1162" i="1" s="1"/>
  <c r="EP1162" i="1" s="1"/>
  <c r="P1163" i="1" a="1"/>
  <c r="P1163" i="1" s="1"/>
  <c r="EP1163" i="1" s="1"/>
  <c r="P1164" i="1" a="1"/>
  <c r="P1164" i="1" s="1"/>
  <c r="EP1164" i="1" s="1"/>
  <c r="P1165" i="1" a="1"/>
  <c r="P1165" i="1" s="1"/>
  <c r="EP1165" i="1" s="1"/>
  <c r="P1166" i="1" a="1"/>
  <c r="P1166" i="1" s="1"/>
  <c r="EP1166" i="1" s="1"/>
  <c r="P1167" i="1" a="1"/>
  <c r="P1167" i="1" s="1"/>
  <c r="EP1167" i="1" s="1"/>
  <c r="P1168" i="1" a="1"/>
  <c r="P1168" i="1" s="1"/>
  <c r="EP1168" i="1" s="1"/>
  <c r="P1169" i="1" a="1"/>
  <c r="P1169" i="1" s="1"/>
  <c r="EP1169" i="1" s="1"/>
  <c r="P1170" i="1" a="1"/>
  <c r="P1170" i="1" s="1"/>
  <c r="EP1170" i="1" s="1"/>
  <c r="P1171" i="1" a="1"/>
  <c r="P1171" i="1" s="1"/>
  <c r="EP1171" i="1" s="1"/>
  <c r="P1172" i="1" a="1"/>
  <c r="P1172" i="1" s="1"/>
  <c r="EP1172" i="1" s="1"/>
  <c r="P1173" i="1" a="1"/>
  <c r="P1173" i="1" s="1"/>
  <c r="EP1173" i="1" s="1"/>
  <c r="P1174" i="1" a="1"/>
  <c r="P1174" i="1" s="1"/>
  <c r="EP1174" i="1" s="1"/>
  <c r="P1175" i="1" a="1"/>
  <c r="P1175" i="1" s="1"/>
  <c r="EP1175" i="1" s="1"/>
  <c r="P1176" i="1" a="1"/>
  <c r="P1176" i="1"/>
  <c r="EP1176" i="1" s="1"/>
  <c r="P1177" i="1" a="1"/>
  <c r="P1177" i="1" s="1"/>
  <c r="EP1177" i="1" s="1"/>
  <c r="P1178" i="1" a="1"/>
  <c r="P1178" i="1" s="1"/>
  <c r="EP1178" i="1" s="1"/>
  <c r="P1179" i="1" a="1"/>
  <c r="P1179" i="1" s="1"/>
  <c r="EP1179" i="1" s="1"/>
  <c r="P1180" i="1" a="1"/>
  <c r="P1180" i="1" s="1"/>
  <c r="EP1180" i="1" s="1"/>
  <c r="P1181" i="1" a="1"/>
  <c r="P1181" i="1" s="1"/>
  <c r="EP1181" i="1" s="1"/>
  <c r="P1182" i="1" a="1"/>
  <c r="P1182" i="1" s="1"/>
  <c r="EP1182" i="1" s="1"/>
  <c r="P1183" i="1" a="1"/>
  <c r="P1183" i="1" s="1"/>
  <c r="EP1183" i="1" s="1"/>
  <c r="P1184" i="1" a="1"/>
  <c r="P1184" i="1" s="1"/>
  <c r="EP1184" i="1" s="1"/>
  <c r="P1185" i="1" a="1"/>
  <c r="P1185" i="1" s="1"/>
  <c r="EP1185" i="1" s="1"/>
  <c r="P1186" i="1" a="1"/>
  <c r="P1186" i="1" s="1"/>
  <c r="EP1186" i="1" s="1"/>
  <c r="P1187" i="1" a="1"/>
  <c r="P1187" i="1" s="1"/>
  <c r="EP1187" i="1" s="1"/>
  <c r="P1188" i="1" a="1"/>
  <c r="P1188" i="1" s="1"/>
  <c r="EP1188" i="1" s="1"/>
  <c r="P1189" i="1" a="1"/>
  <c r="P1189" i="1" s="1"/>
  <c r="EP1189" i="1" s="1"/>
  <c r="P1190" i="1" a="1"/>
  <c r="P1190" i="1" s="1"/>
  <c r="EP1190" i="1" s="1"/>
  <c r="P1191" i="1" a="1"/>
  <c r="P1191" i="1" s="1"/>
  <c r="EP1191" i="1" s="1"/>
  <c r="P1192" i="1" a="1"/>
  <c r="P1192" i="1"/>
  <c r="EP1192" i="1" s="1"/>
  <c r="P1193" i="1" a="1"/>
  <c r="P1193" i="1" s="1"/>
  <c r="EP1193" i="1" s="1"/>
  <c r="P1194" i="1" a="1"/>
  <c r="P1194" i="1" s="1"/>
  <c r="EP1194" i="1" s="1"/>
  <c r="P1195" i="1" a="1"/>
  <c r="P1195" i="1" s="1"/>
  <c r="EP1195" i="1" s="1"/>
  <c r="P1196" i="1" a="1"/>
  <c r="P1196" i="1" s="1"/>
  <c r="EP1196" i="1" s="1"/>
  <c r="P1197" i="1" a="1"/>
  <c r="P1197" i="1" s="1"/>
  <c r="EP1197" i="1" s="1"/>
  <c r="P1198" i="1" a="1"/>
  <c r="P1198" i="1" s="1"/>
  <c r="EP1198" i="1" s="1"/>
  <c r="P1199" i="1" a="1"/>
  <c r="P1199" i="1" s="1"/>
  <c r="EP1199" i="1" s="1"/>
  <c r="P1200" i="1" a="1"/>
  <c r="P1200" i="1" s="1"/>
  <c r="EP1200" i="1" s="1"/>
  <c r="P1201" i="1" a="1"/>
  <c r="P1201" i="1" s="1"/>
  <c r="EP1201" i="1" s="1"/>
  <c r="P1202" i="1" a="1"/>
  <c r="P1202" i="1" s="1"/>
  <c r="EP1202" i="1" s="1"/>
  <c r="P1203" i="1" a="1"/>
  <c r="P1203" i="1" s="1"/>
  <c r="EP1203" i="1" s="1"/>
  <c r="P1204" i="1" a="1"/>
  <c r="P1204" i="1" s="1"/>
  <c r="EP1204" i="1" s="1"/>
  <c r="P1205" i="1" a="1"/>
  <c r="P1205" i="1" s="1"/>
  <c r="EP1205" i="1" s="1"/>
  <c r="P1206" i="1" a="1"/>
  <c r="P1206" i="1" s="1"/>
  <c r="EP1206" i="1" s="1"/>
  <c r="P1207" i="1" a="1"/>
  <c r="P1207" i="1" s="1"/>
  <c r="EP1207" i="1" s="1"/>
  <c r="P1208" i="1" a="1"/>
  <c r="P1208" i="1"/>
  <c r="EP1208" i="1" s="1"/>
  <c r="P1209" i="1" a="1"/>
  <c r="P1209" i="1" s="1"/>
  <c r="EP1209" i="1" s="1"/>
  <c r="P1210" i="1" a="1"/>
  <c r="P1210" i="1" s="1"/>
  <c r="EP1210" i="1" s="1"/>
  <c r="P1211" i="1" a="1"/>
  <c r="P1211" i="1" s="1"/>
  <c r="EP1211" i="1" s="1"/>
  <c r="P1212" i="1" a="1"/>
  <c r="P1212" i="1" s="1"/>
  <c r="EP1212" i="1" s="1"/>
  <c r="P1213" i="1" a="1"/>
  <c r="P1213" i="1" s="1"/>
  <c r="EP1213" i="1" s="1"/>
  <c r="P1214" i="1" a="1"/>
  <c r="P1214" i="1" s="1"/>
  <c r="EP1214" i="1" s="1"/>
  <c r="P1215" i="1" a="1"/>
  <c r="P1215" i="1" s="1"/>
  <c r="EP1215" i="1" s="1"/>
  <c r="P1216" i="1" a="1"/>
  <c r="P1216" i="1" s="1"/>
  <c r="EP1216" i="1" s="1"/>
  <c r="P1217" i="1" a="1"/>
  <c r="P1217" i="1" s="1"/>
  <c r="EP1217" i="1" s="1"/>
  <c r="P1218" i="1" a="1"/>
  <c r="P1218" i="1" s="1"/>
  <c r="EP1218" i="1" s="1"/>
  <c r="P1219" i="1" a="1"/>
  <c r="P1219" i="1" s="1"/>
  <c r="EP1219" i="1" s="1"/>
  <c r="P1220" i="1" a="1"/>
  <c r="P1220" i="1" s="1"/>
  <c r="EP1220" i="1" s="1"/>
  <c r="P1221" i="1" a="1"/>
  <c r="P1221" i="1" s="1"/>
  <c r="EP1221" i="1" s="1"/>
  <c r="P1222" i="1" a="1"/>
  <c r="P1222" i="1" s="1"/>
  <c r="EP1222" i="1" s="1"/>
  <c r="P1223" i="1" a="1"/>
  <c r="P1223" i="1" s="1"/>
  <c r="EP1223" i="1" s="1"/>
  <c r="P1224" i="1" a="1"/>
  <c r="P1224" i="1"/>
  <c r="EP1224" i="1" s="1"/>
  <c r="P1225" i="1" a="1"/>
  <c r="P1225" i="1" s="1"/>
  <c r="EP1225" i="1" s="1"/>
  <c r="P1226" i="1" a="1"/>
  <c r="P1226" i="1" s="1"/>
  <c r="EP1226" i="1" s="1"/>
  <c r="P1227" i="1" a="1"/>
  <c r="P1227" i="1" s="1"/>
  <c r="EP1227" i="1" s="1"/>
  <c r="P1228" i="1" a="1"/>
  <c r="P1228" i="1" s="1"/>
  <c r="EP1228" i="1" s="1"/>
  <c r="P1229" i="1" a="1"/>
  <c r="P1229" i="1" s="1"/>
  <c r="EP1229" i="1" s="1"/>
  <c r="P1230" i="1" a="1"/>
  <c r="P1230" i="1" s="1"/>
  <c r="EP1230" i="1" s="1"/>
  <c r="P1231" i="1" a="1"/>
  <c r="P1231" i="1" s="1"/>
  <c r="EP1231" i="1" s="1"/>
  <c r="P1232" i="1" a="1"/>
  <c r="P1232" i="1" s="1"/>
  <c r="EP1232" i="1" s="1"/>
  <c r="P1233" i="1" a="1"/>
  <c r="P1233" i="1" s="1"/>
  <c r="EP1233" i="1" s="1"/>
  <c r="P1234" i="1" a="1"/>
  <c r="P1234" i="1" s="1"/>
  <c r="EP1234" i="1" s="1"/>
  <c r="P1235" i="1" a="1"/>
  <c r="P1235" i="1" s="1"/>
  <c r="EP1235" i="1" s="1"/>
  <c r="P1236" i="1" a="1"/>
  <c r="P1236" i="1" s="1"/>
  <c r="EP1236" i="1" s="1"/>
  <c r="P1237" i="1" a="1"/>
  <c r="P1237" i="1" s="1"/>
  <c r="EP1237" i="1" s="1"/>
  <c r="P1238" i="1" a="1"/>
  <c r="P1238" i="1" s="1"/>
  <c r="EP1238" i="1" s="1"/>
  <c r="P1239" i="1" a="1"/>
  <c r="P1239" i="1" s="1"/>
  <c r="EP1239" i="1" s="1"/>
  <c r="P1240" i="1" a="1"/>
  <c r="P1240" i="1"/>
  <c r="EP1240" i="1" s="1"/>
  <c r="P1241" i="1" a="1"/>
  <c r="P1241" i="1" s="1"/>
  <c r="EP1241" i="1" s="1"/>
  <c r="P1242" i="1" a="1"/>
  <c r="P1242" i="1" s="1"/>
  <c r="EP1242" i="1" s="1"/>
  <c r="P1243" i="1" a="1"/>
  <c r="P1243" i="1" s="1"/>
  <c r="EP1243" i="1" s="1"/>
  <c r="P1244" i="1" a="1"/>
  <c r="P1244" i="1" s="1"/>
  <c r="EP1244" i="1" s="1"/>
  <c r="P1245" i="1" a="1"/>
  <c r="P1245" i="1" s="1"/>
  <c r="EP1245" i="1" s="1"/>
  <c r="P1246" i="1" a="1"/>
  <c r="P1246" i="1" s="1"/>
  <c r="EP1246" i="1" s="1"/>
  <c r="P1247" i="1" a="1"/>
  <c r="P1247" i="1" s="1"/>
  <c r="EP1247" i="1" s="1"/>
  <c r="P1248" i="1" a="1"/>
  <c r="P1248" i="1"/>
  <c r="EP1248" i="1" s="1"/>
  <c r="P1249" i="1" a="1"/>
  <c r="P1249" i="1" s="1"/>
  <c r="EP1249" i="1" s="1"/>
  <c r="P1250" i="1" a="1"/>
  <c r="P1250" i="1" s="1"/>
  <c r="EP1250" i="1" s="1"/>
  <c r="P1251" i="1" a="1"/>
  <c r="P1251" i="1" s="1"/>
  <c r="EP1251" i="1" s="1"/>
  <c r="P1252" i="1" a="1"/>
  <c r="P1252" i="1" s="1"/>
  <c r="EP1252" i="1" s="1"/>
  <c r="P1253" i="1" a="1"/>
  <c r="P1253" i="1" s="1"/>
  <c r="EP1253" i="1" s="1"/>
  <c r="P1254" i="1" a="1"/>
  <c r="P1254" i="1" s="1"/>
  <c r="EP1254" i="1" s="1"/>
  <c r="P1255" i="1" a="1"/>
  <c r="P1255" i="1" s="1"/>
  <c r="EP1255" i="1" s="1"/>
  <c r="P1256" i="1" a="1"/>
  <c r="P1256" i="1"/>
  <c r="EP1256" i="1" s="1"/>
  <c r="P1257" i="1" a="1"/>
  <c r="P1257" i="1" s="1"/>
  <c r="EP1257" i="1" s="1"/>
  <c r="P1258" i="1" a="1"/>
  <c r="P1258" i="1" s="1"/>
  <c r="EP1258" i="1" s="1"/>
  <c r="P1259" i="1" a="1"/>
  <c r="P1259" i="1" s="1"/>
  <c r="EP1259" i="1" s="1"/>
  <c r="P1260" i="1" a="1"/>
  <c r="P1260" i="1" s="1"/>
  <c r="EP1260" i="1" s="1"/>
  <c r="P1261" i="1" a="1"/>
  <c r="P1261" i="1" s="1"/>
  <c r="EP1261" i="1" s="1"/>
  <c r="P1262" i="1" a="1"/>
  <c r="P1262" i="1" s="1"/>
  <c r="EP1262" i="1" s="1"/>
  <c r="P1263" i="1" a="1"/>
  <c r="P1263" i="1" s="1"/>
  <c r="EP1263" i="1" s="1"/>
  <c r="P1264" i="1" a="1"/>
  <c r="P1264" i="1"/>
  <c r="EP1264" i="1" s="1"/>
  <c r="P1265" i="1" a="1"/>
  <c r="P1265" i="1" s="1"/>
  <c r="EP1265" i="1" s="1"/>
  <c r="P1266" i="1" a="1"/>
  <c r="P1266" i="1" s="1"/>
  <c r="EP1266" i="1" s="1"/>
  <c r="P1267" i="1" a="1"/>
  <c r="P1267" i="1" s="1"/>
  <c r="EP1267" i="1" s="1"/>
  <c r="P1268" i="1" a="1"/>
  <c r="P1268" i="1" s="1"/>
  <c r="EP1268" i="1" s="1"/>
  <c r="P1269" i="1" a="1"/>
  <c r="P1269" i="1" s="1"/>
  <c r="EP1269" i="1" s="1"/>
  <c r="P1270" i="1" a="1"/>
  <c r="P1270" i="1" s="1"/>
  <c r="EP1270" i="1" s="1"/>
  <c r="P1271" i="1" a="1"/>
  <c r="P1271" i="1" s="1"/>
  <c r="EP1271" i="1" s="1"/>
  <c r="P1272" i="1" a="1"/>
  <c r="P1272" i="1"/>
  <c r="EP1272" i="1" s="1"/>
  <c r="P1273" i="1" a="1"/>
  <c r="P1273" i="1" s="1"/>
  <c r="EP1273" i="1" s="1"/>
  <c r="P1274" i="1" a="1"/>
  <c r="P1274" i="1" s="1"/>
  <c r="EP1274" i="1" s="1"/>
  <c r="P1275" i="1" a="1"/>
  <c r="P1275" i="1" s="1"/>
  <c r="EP1275" i="1" s="1"/>
  <c r="P1276" i="1" a="1"/>
  <c r="P1276" i="1" s="1"/>
  <c r="EP1276" i="1" s="1"/>
  <c r="P1277" i="1" a="1"/>
  <c r="P1277" i="1" s="1"/>
  <c r="EP1277" i="1" s="1"/>
  <c r="P1278" i="1" a="1"/>
  <c r="P1278" i="1" s="1"/>
  <c r="EP1278" i="1" s="1"/>
  <c r="P1279" i="1" a="1"/>
  <c r="P1279" i="1" s="1"/>
  <c r="EP1279" i="1" s="1"/>
  <c r="P1280" i="1" a="1"/>
  <c r="P1280" i="1"/>
  <c r="EP1280" i="1" s="1"/>
  <c r="P1281" i="1" a="1"/>
  <c r="P1281" i="1" s="1"/>
  <c r="EP1281" i="1" s="1"/>
  <c r="P1282" i="1" a="1"/>
  <c r="P1282" i="1" s="1"/>
  <c r="EP1282" i="1" s="1"/>
  <c r="P1283" i="1" a="1"/>
  <c r="P1283" i="1" s="1"/>
  <c r="EP1283" i="1" s="1"/>
  <c r="P1284" i="1" a="1"/>
  <c r="P1284" i="1" s="1"/>
  <c r="EP1284" i="1" s="1"/>
  <c r="P1285" i="1" a="1"/>
  <c r="P1285" i="1" s="1"/>
  <c r="EP1285" i="1" s="1"/>
  <c r="P1286" i="1" a="1"/>
  <c r="P1286" i="1" s="1"/>
  <c r="EP1286" i="1" s="1"/>
  <c r="P1287" i="1" a="1"/>
  <c r="P1287" i="1" s="1"/>
  <c r="EP1287" i="1" s="1"/>
  <c r="P1288" i="1" a="1"/>
  <c r="P1288" i="1"/>
  <c r="EP1288" i="1" s="1"/>
  <c r="P1289" i="1" a="1"/>
  <c r="P1289" i="1" s="1"/>
  <c r="EP1289" i="1" s="1"/>
  <c r="P1290" i="1" a="1"/>
  <c r="P1290" i="1" s="1"/>
  <c r="EP1290" i="1" s="1"/>
  <c r="P1291" i="1" a="1"/>
  <c r="P1291" i="1" s="1"/>
  <c r="EP1291" i="1" s="1"/>
  <c r="P1292" i="1" a="1"/>
  <c r="P1292" i="1" s="1"/>
  <c r="EP1292" i="1" s="1"/>
  <c r="P1293" i="1" a="1"/>
  <c r="P1293" i="1" s="1"/>
  <c r="EP1293" i="1" s="1"/>
  <c r="P1294" i="1" a="1"/>
  <c r="P1294" i="1" s="1"/>
  <c r="EP1294" i="1" s="1"/>
  <c r="P1295" i="1" a="1"/>
  <c r="P1295" i="1" s="1"/>
  <c r="EP1295" i="1" s="1"/>
  <c r="P1296" i="1" a="1"/>
  <c r="P1296" i="1"/>
  <c r="EP1296" i="1" s="1"/>
  <c r="P1297" i="1" a="1"/>
  <c r="P1297" i="1" s="1"/>
  <c r="EP1297" i="1" s="1"/>
  <c r="P1298" i="1" a="1"/>
  <c r="P1298" i="1" s="1"/>
  <c r="EP1298" i="1" s="1"/>
  <c r="P1299" i="1" a="1"/>
  <c r="P1299" i="1" s="1"/>
  <c r="EP1299" i="1" s="1"/>
  <c r="P1300" i="1" a="1"/>
  <c r="P1300" i="1" s="1"/>
  <c r="EP1300" i="1" s="1"/>
  <c r="P1301" i="1" a="1"/>
  <c r="P1301" i="1" s="1"/>
  <c r="EP1301" i="1" s="1"/>
  <c r="P1302" i="1" a="1"/>
  <c r="P1302" i="1" s="1"/>
  <c r="EP1302" i="1" s="1"/>
  <c r="P1303" i="1" a="1"/>
  <c r="P1303" i="1" s="1"/>
  <c r="EP1303" i="1" s="1"/>
  <c r="P1304" i="1" a="1"/>
  <c r="P1304" i="1"/>
  <c r="EP1304" i="1" s="1"/>
  <c r="P1305" i="1" a="1"/>
  <c r="P1305" i="1" s="1"/>
  <c r="EP1305" i="1" s="1"/>
  <c r="P1306" i="1" a="1"/>
  <c r="P1306" i="1" s="1"/>
  <c r="EP1306" i="1" s="1"/>
  <c r="P1307" i="1" a="1"/>
  <c r="P1307" i="1" s="1"/>
  <c r="EP1307" i="1" s="1"/>
  <c r="P1308" i="1" a="1"/>
  <c r="P1308" i="1" s="1"/>
  <c r="EP1308" i="1" s="1"/>
  <c r="P1309" i="1" a="1"/>
  <c r="P1309" i="1" s="1"/>
  <c r="EP1309" i="1" s="1"/>
  <c r="P1310" i="1" a="1"/>
  <c r="P1310" i="1" s="1"/>
  <c r="EP1310" i="1" s="1"/>
  <c r="P1311" i="1" a="1"/>
  <c r="P1311" i="1" s="1"/>
  <c r="EP1311" i="1" s="1"/>
  <c r="P1312" i="1" a="1"/>
  <c r="P1312" i="1"/>
  <c r="EP1312" i="1" s="1"/>
  <c r="P1313" i="1" a="1"/>
  <c r="P1313" i="1" s="1"/>
  <c r="EP1313" i="1" s="1"/>
  <c r="P1314" i="1" a="1"/>
  <c r="P1314" i="1" s="1"/>
  <c r="EP1314" i="1" s="1"/>
  <c r="P1315" i="1" a="1"/>
  <c r="P1315" i="1" s="1"/>
  <c r="EP1315" i="1" s="1"/>
  <c r="P1316" i="1" a="1"/>
  <c r="P1316" i="1" s="1"/>
  <c r="EP1316" i="1" s="1"/>
  <c r="P1317" i="1" a="1"/>
  <c r="P1317" i="1" s="1"/>
  <c r="EP1317" i="1" s="1"/>
  <c r="P1318" i="1" a="1"/>
  <c r="P1318" i="1" s="1"/>
  <c r="EP1318" i="1" s="1"/>
  <c r="P1319" i="1" a="1"/>
  <c r="P1319" i="1" s="1"/>
  <c r="EP1319" i="1" s="1"/>
  <c r="P1320" i="1" a="1"/>
  <c r="P1320" i="1"/>
  <c r="EP1320" i="1" s="1"/>
  <c r="P1321" i="1" a="1"/>
  <c r="P1321" i="1" s="1"/>
  <c r="EP1321" i="1" s="1"/>
  <c r="P1322" i="1" a="1"/>
  <c r="P1322" i="1" s="1"/>
  <c r="EP1322" i="1" s="1"/>
  <c r="P1323" i="1" a="1"/>
  <c r="P1323" i="1" s="1"/>
  <c r="EP1323" i="1" s="1"/>
  <c r="P1324" i="1" a="1"/>
  <c r="P1324" i="1" s="1"/>
  <c r="EP1324" i="1" s="1"/>
  <c r="P1325" i="1" a="1"/>
  <c r="P1325" i="1" s="1"/>
  <c r="EP1325" i="1" s="1"/>
  <c r="P1326" i="1" a="1"/>
  <c r="P1326" i="1" s="1"/>
  <c r="EP1326" i="1" s="1"/>
  <c r="P1327" i="1" a="1"/>
  <c r="P1327" i="1" s="1"/>
  <c r="EP1327" i="1" s="1"/>
  <c r="P1328" i="1" a="1"/>
  <c r="P1328" i="1"/>
  <c r="EP1328" i="1" s="1"/>
  <c r="P1329" i="1" a="1"/>
  <c r="P1329" i="1" s="1"/>
  <c r="EP1329" i="1" s="1"/>
  <c r="P1330" i="1" a="1"/>
  <c r="P1330" i="1" s="1"/>
  <c r="EP1330" i="1" s="1"/>
  <c r="P1331" i="1" a="1"/>
  <c r="P1331" i="1" s="1"/>
  <c r="EP1331" i="1" s="1"/>
  <c r="P1332" i="1" a="1"/>
  <c r="P1332" i="1" s="1"/>
  <c r="EP1332" i="1" s="1"/>
  <c r="P1333" i="1" a="1"/>
  <c r="P1333" i="1" s="1"/>
  <c r="EP1333" i="1" s="1"/>
  <c r="P1334" i="1" a="1"/>
  <c r="P1334" i="1" s="1"/>
  <c r="EP1334" i="1" s="1"/>
  <c r="P1335" i="1" a="1"/>
  <c r="P1335" i="1" s="1"/>
  <c r="EP1335" i="1" s="1"/>
  <c r="P1336" i="1" a="1"/>
  <c r="P1336" i="1"/>
  <c r="EP1336" i="1" s="1"/>
  <c r="P1337" i="1" a="1"/>
  <c r="P1337" i="1" s="1"/>
  <c r="EP1337" i="1" s="1"/>
  <c r="P1338" i="1" a="1"/>
  <c r="P1338" i="1" s="1"/>
  <c r="EP1338" i="1" s="1"/>
  <c r="P1339" i="1" a="1"/>
  <c r="P1339" i="1" s="1"/>
  <c r="EP1339" i="1" s="1"/>
  <c r="P1340" i="1" a="1"/>
  <c r="P1340" i="1" s="1"/>
  <c r="EP1340" i="1" s="1"/>
  <c r="P1341" i="1" a="1"/>
  <c r="P1341" i="1" s="1"/>
  <c r="EP1341" i="1" s="1"/>
  <c r="P1342" i="1" a="1"/>
  <c r="P1342" i="1" s="1"/>
  <c r="EP1342" i="1" s="1"/>
  <c r="P1343" i="1" a="1"/>
  <c r="P1343" i="1" s="1"/>
  <c r="EP1343" i="1" s="1"/>
  <c r="P1344" i="1" a="1"/>
  <c r="P1344" i="1"/>
  <c r="EP1344" i="1" s="1"/>
  <c r="P1345" i="1" a="1"/>
  <c r="P1345" i="1" s="1"/>
  <c r="EP1345" i="1" s="1"/>
  <c r="P1346" i="1" a="1"/>
  <c r="P1346" i="1" s="1"/>
  <c r="EP1346" i="1" s="1"/>
  <c r="P1347" i="1" a="1"/>
  <c r="P1347" i="1" s="1"/>
  <c r="EP1347" i="1" s="1"/>
  <c r="P1348" i="1" a="1"/>
  <c r="P1348" i="1" s="1"/>
  <c r="EP1348" i="1" s="1"/>
  <c r="P1349" i="1" a="1"/>
  <c r="P1349" i="1" s="1"/>
  <c r="EP1349" i="1" s="1"/>
  <c r="P1350" i="1" a="1"/>
  <c r="P1350" i="1" s="1"/>
  <c r="EP1350" i="1" s="1"/>
  <c r="P1351" i="1" a="1"/>
  <c r="P1351" i="1" s="1"/>
  <c r="EP1351" i="1" s="1"/>
  <c r="P1352" i="1" a="1"/>
  <c r="P1352" i="1"/>
  <c r="EP1352" i="1" s="1"/>
  <c r="P1353" i="1" a="1"/>
  <c r="P1353" i="1" s="1"/>
  <c r="EP1353" i="1" s="1"/>
  <c r="P1354" i="1" a="1"/>
  <c r="P1354" i="1" s="1"/>
  <c r="EP1354" i="1" s="1"/>
  <c r="P1355" i="1" a="1"/>
  <c r="P1355" i="1" s="1"/>
  <c r="EP1355" i="1" s="1"/>
  <c r="P1356" i="1" a="1"/>
  <c r="P1356" i="1" s="1"/>
  <c r="EP1356" i="1" s="1"/>
  <c r="P1357" i="1" a="1"/>
  <c r="P1357" i="1" s="1"/>
  <c r="EP1357" i="1" s="1"/>
  <c r="P1358" i="1" a="1"/>
  <c r="P1358" i="1" s="1"/>
  <c r="EP1358" i="1" s="1"/>
  <c r="P1359" i="1" a="1"/>
  <c r="P1359" i="1" s="1"/>
  <c r="EP1359" i="1" s="1"/>
  <c r="P1360" i="1" a="1"/>
  <c r="P1360" i="1"/>
  <c r="EP1360" i="1" s="1"/>
  <c r="P1361" i="1" a="1"/>
  <c r="P1361" i="1" s="1"/>
  <c r="EP1361" i="1" s="1"/>
  <c r="P1362" i="1" a="1"/>
  <c r="P1362" i="1" s="1"/>
  <c r="EP1362" i="1" s="1"/>
  <c r="P1363" i="1" a="1"/>
  <c r="P1363" i="1" s="1"/>
  <c r="EP1363" i="1" s="1"/>
  <c r="P1364" i="1" a="1"/>
  <c r="P1364" i="1" s="1"/>
  <c r="EP1364" i="1" s="1"/>
  <c r="P1365" i="1" a="1"/>
  <c r="P1365" i="1" s="1"/>
  <c r="EP1365" i="1" s="1"/>
  <c r="P1366" i="1" a="1"/>
  <c r="P1366" i="1" s="1"/>
  <c r="EP1366" i="1" s="1"/>
  <c r="P1367" i="1" a="1"/>
  <c r="P1367" i="1" s="1"/>
  <c r="EP1367" i="1" s="1"/>
  <c r="P1368" i="1" a="1"/>
  <c r="P1368" i="1"/>
  <c r="EP1368" i="1" s="1"/>
  <c r="P1369" i="1" a="1"/>
  <c r="P1369" i="1" s="1"/>
  <c r="EP1369" i="1" s="1"/>
  <c r="P1370" i="1" a="1"/>
  <c r="P1370" i="1" s="1"/>
  <c r="EP1370" i="1" s="1"/>
  <c r="P1371" i="1" a="1"/>
  <c r="P1371" i="1" s="1"/>
  <c r="EP1371" i="1" s="1"/>
  <c r="P1372" i="1" a="1"/>
  <c r="P1372" i="1" s="1"/>
  <c r="EP1372" i="1" s="1"/>
  <c r="P1373" i="1" a="1"/>
  <c r="P1373" i="1" s="1"/>
  <c r="EP1373" i="1" s="1"/>
  <c r="P1374" i="1" a="1"/>
  <c r="P1374" i="1" s="1"/>
  <c r="EP1374" i="1" s="1"/>
  <c r="P1375" i="1" a="1"/>
  <c r="P1375" i="1" s="1"/>
  <c r="EP1375" i="1" s="1"/>
  <c r="P1376" i="1" a="1"/>
  <c r="P1376" i="1"/>
  <c r="EP1376" i="1" s="1"/>
  <c r="P1377" i="1" a="1"/>
  <c r="P1377" i="1" s="1"/>
  <c r="EP1377" i="1" s="1"/>
  <c r="P1378" i="1" a="1"/>
  <c r="P1378" i="1" s="1"/>
  <c r="EP1378" i="1" s="1"/>
  <c r="P1379" i="1" a="1"/>
  <c r="P1379" i="1" s="1"/>
  <c r="EP1379" i="1" s="1"/>
  <c r="P1380" i="1" a="1"/>
  <c r="P1380" i="1" s="1"/>
  <c r="EP1380" i="1" s="1"/>
  <c r="P1381" i="1" a="1"/>
  <c r="P1381" i="1" s="1"/>
  <c r="EP1381" i="1" s="1"/>
  <c r="P1382" i="1" a="1"/>
  <c r="P1382" i="1" s="1"/>
  <c r="EP1382" i="1" s="1"/>
  <c r="P1383" i="1" a="1"/>
  <c r="P1383" i="1" s="1"/>
  <c r="EP1383" i="1" s="1"/>
  <c r="P1384" i="1" a="1"/>
  <c r="P1384" i="1"/>
  <c r="EP1384" i="1" s="1"/>
  <c r="P1385" i="1" a="1"/>
  <c r="P1385" i="1" s="1"/>
  <c r="EP1385" i="1" s="1"/>
  <c r="P1386" i="1" a="1"/>
  <c r="P1386" i="1" s="1"/>
  <c r="EP1386" i="1" s="1"/>
  <c r="P1387" i="1" a="1"/>
  <c r="P1387" i="1" s="1"/>
  <c r="EP1387" i="1" s="1"/>
  <c r="P1388" i="1" a="1"/>
  <c r="P1388" i="1" s="1"/>
  <c r="EP1388" i="1" s="1"/>
  <c r="P1389" i="1" a="1"/>
  <c r="P1389" i="1" s="1"/>
  <c r="EP1389" i="1" s="1"/>
  <c r="P1390" i="1" a="1"/>
  <c r="P1390" i="1" s="1"/>
  <c r="EP1390" i="1" s="1"/>
  <c r="P1391" i="1" a="1"/>
  <c r="P1391" i="1" s="1"/>
  <c r="EP1391" i="1" s="1"/>
  <c r="P1392" i="1" a="1"/>
  <c r="P1392" i="1"/>
  <c r="EP1392" i="1" s="1"/>
  <c r="P1393" i="1" a="1"/>
  <c r="P1393" i="1" s="1"/>
  <c r="EP1393" i="1" s="1"/>
  <c r="P1394" i="1" a="1"/>
  <c r="P1394" i="1" s="1"/>
  <c r="EP1394" i="1" s="1"/>
  <c r="P1395" i="1" a="1"/>
  <c r="P1395" i="1" s="1"/>
  <c r="EP1395" i="1" s="1"/>
  <c r="P1396" i="1" a="1"/>
  <c r="P1396" i="1" s="1"/>
  <c r="EP1396" i="1" s="1"/>
  <c r="P1397" i="1" a="1"/>
  <c r="P1397" i="1" s="1"/>
  <c r="EP1397" i="1" s="1"/>
  <c r="P1398" i="1" a="1"/>
  <c r="P1398" i="1" s="1"/>
  <c r="EP1398" i="1" s="1"/>
  <c r="P1399" i="1" a="1"/>
  <c r="P1399" i="1" s="1"/>
  <c r="EP1399" i="1" s="1"/>
  <c r="P1400" i="1" a="1"/>
  <c r="P1400" i="1" s="1"/>
  <c r="EP1400" i="1" s="1"/>
  <c r="P1401" i="1" a="1"/>
  <c r="P1401" i="1" s="1"/>
  <c r="EP1401" i="1" s="1"/>
  <c r="P1402" i="1" a="1"/>
  <c r="P1402" i="1" s="1"/>
  <c r="EP1402" i="1" s="1"/>
  <c r="P1403" i="1" a="1"/>
  <c r="P1403" i="1" s="1"/>
  <c r="EP1403" i="1" s="1"/>
  <c r="P1404" i="1" a="1"/>
  <c r="P1404" i="1" s="1"/>
  <c r="EP1404" i="1" s="1"/>
  <c r="P1405" i="1" a="1"/>
  <c r="P1405" i="1" s="1"/>
  <c r="EP1405" i="1" s="1"/>
  <c r="P1406" i="1" a="1"/>
  <c r="P1406" i="1" s="1"/>
  <c r="EP1406" i="1" s="1"/>
  <c r="P1407" i="1" a="1"/>
  <c r="P1407" i="1" s="1"/>
  <c r="EP1407" i="1" s="1"/>
  <c r="P1408" i="1" a="1"/>
  <c r="P1408" i="1"/>
  <c r="EP1408" i="1" s="1"/>
  <c r="P1409" i="1" a="1"/>
  <c r="P1409" i="1" s="1"/>
  <c r="EP1409" i="1" s="1"/>
  <c r="P1410" i="1" a="1"/>
  <c r="P1410" i="1" s="1"/>
  <c r="EP1410" i="1" s="1"/>
  <c r="P1411" i="1" a="1"/>
  <c r="P1411" i="1" s="1"/>
  <c r="EP1411" i="1" s="1"/>
  <c r="P1412" i="1" a="1"/>
  <c r="P1412" i="1" s="1"/>
  <c r="EP1412" i="1" s="1"/>
  <c r="P1413" i="1" a="1"/>
  <c r="P1413" i="1" s="1"/>
  <c r="EP1413" i="1" s="1"/>
  <c r="P1414" i="1" a="1"/>
  <c r="P1414" i="1" s="1"/>
  <c r="EP1414" i="1" s="1"/>
  <c r="P1415" i="1" a="1"/>
  <c r="P1415" i="1" s="1"/>
  <c r="EP1415" i="1" s="1"/>
  <c r="P1416" i="1" a="1"/>
  <c r="P1416" i="1" s="1"/>
  <c r="EP1416" i="1" s="1"/>
  <c r="P1417" i="1" a="1"/>
  <c r="P1417" i="1" s="1"/>
  <c r="EP1417" i="1" s="1"/>
  <c r="P1418" i="1" a="1"/>
  <c r="P1418" i="1" s="1"/>
  <c r="EP1418" i="1" s="1"/>
  <c r="P1419" i="1" a="1"/>
  <c r="P1419" i="1" s="1"/>
  <c r="EP1419" i="1" s="1"/>
  <c r="P1420" i="1" a="1"/>
  <c r="P1420" i="1" s="1"/>
  <c r="EP1420" i="1" s="1"/>
  <c r="P1421" i="1" a="1"/>
  <c r="P1421" i="1" s="1"/>
  <c r="EP1421" i="1" s="1"/>
  <c r="P1422" i="1" a="1"/>
  <c r="P1422" i="1" s="1"/>
  <c r="EP1422" i="1" s="1"/>
  <c r="P1423" i="1" a="1"/>
  <c r="P1423" i="1" s="1"/>
  <c r="EP1423" i="1" s="1"/>
  <c r="P1424" i="1" a="1"/>
  <c r="P1424" i="1"/>
  <c r="EP1424" i="1" s="1"/>
  <c r="P1425" i="1" a="1"/>
  <c r="P1425" i="1" s="1"/>
  <c r="EP1425" i="1" s="1"/>
  <c r="P1426" i="1" a="1"/>
  <c r="P1426" i="1" s="1"/>
  <c r="EP1426" i="1" s="1"/>
  <c r="P1427" i="1" a="1"/>
  <c r="P1427" i="1" s="1"/>
  <c r="EP1427" i="1" s="1"/>
  <c r="P1428" i="1" a="1"/>
  <c r="P1428" i="1" s="1"/>
  <c r="EP1428" i="1" s="1"/>
  <c r="P1429" i="1" a="1"/>
  <c r="P1429" i="1" s="1"/>
  <c r="EP1429" i="1" s="1"/>
  <c r="P1430" i="1" a="1"/>
  <c r="P1430" i="1" s="1"/>
  <c r="EP1430" i="1" s="1"/>
  <c r="P1431" i="1" a="1"/>
  <c r="P1431" i="1" s="1"/>
  <c r="EP1431" i="1" s="1"/>
  <c r="P1432" i="1" a="1"/>
  <c r="P1432" i="1" s="1"/>
  <c r="EP1432" i="1" s="1"/>
  <c r="P1433" i="1" a="1"/>
  <c r="P1433" i="1" s="1"/>
  <c r="EP1433" i="1" s="1"/>
  <c r="P1434" i="1" a="1"/>
  <c r="P1434" i="1" s="1"/>
  <c r="EP1434" i="1" s="1"/>
  <c r="P1435" i="1" a="1"/>
  <c r="P1435" i="1" s="1"/>
  <c r="EP1435" i="1" s="1"/>
  <c r="P1436" i="1" a="1"/>
  <c r="P1436" i="1" s="1"/>
  <c r="EP1436" i="1" s="1"/>
  <c r="P1437" i="1" a="1"/>
  <c r="P1437" i="1" s="1"/>
  <c r="EP1437" i="1" s="1"/>
  <c r="P1438" i="1" a="1"/>
  <c r="P1438" i="1" s="1"/>
  <c r="EP1438" i="1" s="1"/>
  <c r="P1439" i="1" a="1"/>
  <c r="P1439" i="1" s="1"/>
  <c r="EP1439" i="1" s="1"/>
  <c r="P1440" i="1" a="1"/>
  <c r="P1440" i="1"/>
  <c r="EP1440" i="1" s="1"/>
  <c r="P1441" i="1" a="1"/>
  <c r="P1441" i="1" s="1"/>
  <c r="EP1441" i="1" s="1"/>
  <c r="P1442" i="1" a="1"/>
  <c r="P1442" i="1" s="1"/>
  <c r="EP1442" i="1" s="1"/>
  <c r="P1443" i="1" a="1"/>
  <c r="P1443" i="1" s="1"/>
  <c r="EP1443" i="1" s="1"/>
  <c r="P1444" i="1" a="1"/>
  <c r="P1444" i="1" s="1"/>
  <c r="EP1444" i="1" s="1"/>
  <c r="P1445" i="1" a="1"/>
  <c r="P1445" i="1" s="1"/>
  <c r="EP1445" i="1" s="1"/>
  <c r="P1446" i="1" a="1"/>
  <c r="P1446" i="1" s="1"/>
  <c r="EP1446" i="1" s="1"/>
  <c r="P1447" i="1" a="1"/>
  <c r="P1447" i="1" s="1"/>
  <c r="EP1447" i="1" s="1"/>
  <c r="P1448" i="1" a="1"/>
  <c r="P1448" i="1" s="1"/>
  <c r="EP1448" i="1" s="1"/>
  <c r="P1449" i="1" a="1"/>
  <c r="P1449" i="1" s="1"/>
  <c r="EP1449" i="1" s="1"/>
  <c r="P1450" i="1" a="1"/>
  <c r="P1450" i="1" s="1"/>
  <c r="EP1450" i="1" s="1"/>
  <c r="P1451" i="1" a="1"/>
  <c r="P1451" i="1" s="1"/>
  <c r="EP1451" i="1" s="1"/>
  <c r="P1452" i="1" a="1"/>
  <c r="P1452" i="1" s="1"/>
  <c r="EP1452" i="1" s="1"/>
  <c r="P1453" i="1" a="1"/>
  <c r="P1453" i="1" s="1"/>
  <c r="EP1453" i="1" s="1"/>
  <c r="P1454" i="1" a="1"/>
  <c r="P1454" i="1" s="1"/>
  <c r="EP1454" i="1" s="1"/>
  <c r="P1455" i="1" a="1"/>
  <c r="P1455" i="1" s="1"/>
  <c r="EP1455" i="1" s="1"/>
  <c r="P1456" i="1" a="1"/>
  <c r="P1456" i="1"/>
  <c r="EP1456" i="1" s="1"/>
  <c r="P1457" i="1" a="1"/>
  <c r="P1457" i="1" s="1"/>
  <c r="EP1457" i="1" s="1"/>
  <c r="P1458" i="1" a="1"/>
  <c r="P1458" i="1" s="1"/>
  <c r="EP1458" i="1" s="1"/>
  <c r="P1459" i="1" a="1"/>
  <c r="P1459" i="1" s="1"/>
  <c r="EP1459" i="1" s="1"/>
  <c r="P1460" i="1" a="1"/>
  <c r="P1460" i="1" s="1"/>
  <c r="EP1460" i="1" s="1"/>
  <c r="P1461" i="1" a="1"/>
  <c r="P1461" i="1" s="1"/>
  <c r="EP1461" i="1" s="1"/>
  <c r="P1462" i="1" a="1"/>
  <c r="P1462" i="1" s="1"/>
  <c r="EP1462" i="1" s="1"/>
  <c r="P1463" i="1" a="1"/>
  <c r="P1463" i="1" s="1"/>
  <c r="EP1463" i="1" s="1"/>
  <c r="P1464" i="1" a="1"/>
  <c r="P1464" i="1" s="1"/>
  <c r="EP1464" i="1" s="1"/>
  <c r="P1465" i="1" a="1"/>
  <c r="P1465" i="1" s="1"/>
  <c r="EP1465" i="1" s="1"/>
  <c r="P1466" i="1" a="1"/>
  <c r="P1466" i="1" s="1"/>
  <c r="EP1466" i="1" s="1"/>
  <c r="P1467" i="1" a="1"/>
  <c r="P1467" i="1" s="1"/>
  <c r="EP1467" i="1" s="1"/>
  <c r="P1468" i="1" a="1"/>
  <c r="P1468" i="1" s="1"/>
  <c r="EP1468" i="1" s="1"/>
  <c r="P1469" i="1" a="1"/>
  <c r="P1469" i="1" s="1"/>
  <c r="EP1469" i="1" s="1"/>
  <c r="P1470" i="1" a="1"/>
  <c r="P1470" i="1" s="1"/>
  <c r="EP1470" i="1" s="1"/>
  <c r="P1471" i="1" a="1"/>
  <c r="P1471" i="1" s="1"/>
  <c r="EP1471" i="1" s="1"/>
  <c r="P1472" i="1" a="1"/>
  <c r="P1472" i="1"/>
  <c r="EP1472" i="1" s="1"/>
  <c r="P1473" i="1" a="1"/>
  <c r="P1473" i="1" s="1"/>
  <c r="EP1473" i="1" s="1"/>
  <c r="P1474" i="1" a="1"/>
  <c r="P1474" i="1" s="1"/>
  <c r="EP1474" i="1" s="1"/>
  <c r="P1475" i="1" a="1"/>
  <c r="P1475" i="1" s="1"/>
  <c r="EP1475" i="1" s="1"/>
  <c r="P1476" i="1" a="1"/>
  <c r="P1476" i="1" s="1"/>
  <c r="EP1476" i="1" s="1"/>
  <c r="P1477" i="1" a="1"/>
  <c r="P1477" i="1" s="1"/>
  <c r="EP1477" i="1" s="1"/>
  <c r="P1478" i="1" a="1"/>
  <c r="P1478" i="1" s="1"/>
  <c r="EP1478" i="1" s="1"/>
  <c r="P1479" i="1" a="1"/>
  <c r="P1479" i="1" s="1"/>
  <c r="EP1479" i="1" s="1"/>
  <c r="P1480" i="1" a="1"/>
  <c r="P1480" i="1" s="1"/>
  <c r="EP1480" i="1" s="1"/>
  <c r="P1481" i="1" a="1"/>
  <c r="P1481" i="1" s="1"/>
  <c r="EP1481" i="1" s="1"/>
  <c r="P1482" i="1" a="1"/>
  <c r="P1482" i="1" s="1"/>
  <c r="EP1482" i="1" s="1"/>
  <c r="P1483" i="1" a="1"/>
  <c r="P1483" i="1" s="1"/>
  <c r="EP1483" i="1" s="1"/>
  <c r="P1484" i="1" a="1"/>
  <c r="P1484" i="1" s="1"/>
  <c r="EP1484" i="1" s="1"/>
  <c r="P1485" i="1" a="1"/>
  <c r="P1485" i="1" s="1"/>
  <c r="EP1485" i="1" s="1"/>
  <c r="P1486" i="1" a="1"/>
  <c r="P1486" i="1" s="1"/>
  <c r="EP1486" i="1" s="1"/>
  <c r="P1487" i="1" a="1"/>
  <c r="P1487" i="1" s="1"/>
  <c r="EP1487" i="1" s="1"/>
  <c r="P1488" i="1" a="1"/>
  <c r="P1488" i="1"/>
  <c r="EP1488" i="1" s="1"/>
  <c r="P1489" i="1" a="1"/>
  <c r="P1489" i="1" s="1"/>
  <c r="EP1489" i="1" s="1"/>
  <c r="P1490" i="1" a="1"/>
  <c r="P1490" i="1" s="1"/>
  <c r="EP1490" i="1" s="1"/>
  <c r="P1491" i="1" a="1"/>
  <c r="P1491" i="1" s="1"/>
  <c r="EP1491" i="1" s="1"/>
  <c r="P1492" i="1" a="1"/>
  <c r="P1492" i="1" s="1"/>
  <c r="EP1492" i="1" s="1"/>
  <c r="P1493" i="1" a="1"/>
  <c r="P1493" i="1" s="1"/>
  <c r="EP1493" i="1" s="1"/>
  <c r="P1494" i="1" a="1"/>
  <c r="P1494" i="1" s="1"/>
  <c r="EP1494" i="1" s="1"/>
  <c r="P1495" i="1" a="1"/>
  <c r="P1495" i="1" s="1"/>
  <c r="EP1495" i="1" s="1"/>
  <c r="P1496" i="1" a="1"/>
  <c r="P1496" i="1" s="1"/>
  <c r="EP1496" i="1" s="1"/>
  <c r="P1497" i="1" a="1"/>
  <c r="P1497" i="1" s="1"/>
  <c r="EP1497" i="1" s="1"/>
  <c r="P1498" i="1" a="1"/>
  <c r="P1498" i="1" s="1"/>
  <c r="EP1498" i="1" s="1"/>
  <c r="P1499" i="1" a="1"/>
  <c r="P1499" i="1" s="1"/>
  <c r="EP1499" i="1" s="1"/>
  <c r="P1500" i="1" a="1"/>
  <c r="P1500" i="1" s="1"/>
  <c r="EP1500" i="1" s="1"/>
  <c r="P1501" i="1" a="1"/>
  <c r="P1501" i="1" s="1"/>
  <c r="EP1501" i="1" s="1"/>
  <c r="P1502" i="1" a="1"/>
  <c r="P1502" i="1" s="1"/>
  <c r="EP1502" i="1" s="1"/>
  <c r="P1503" i="1" a="1"/>
  <c r="P1503" i="1" s="1"/>
  <c r="EP1503" i="1" s="1"/>
  <c r="P1504" i="1" a="1"/>
  <c r="P1504" i="1"/>
  <c r="EP1504" i="1" s="1"/>
  <c r="P1505" i="1" a="1"/>
  <c r="P1505" i="1" s="1"/>
  <c r="EP1505" i="1" s="1"/>
  <c r="P1506" i="1" a="1"/>
  <c r="P1506" i="1" s="1"/>
  <c r="EP1506" i="1" s="1"/>
  <c r="P1507" i="1" a="1"/>
  <c r="P1507" i="1" s="1"/>
  <c r="EP1507" i="1" s="1"/>
  <c r="P1508" i="1" a="1"/>
  <c r="P1508" i="1" s="1"/>
  <c r="EP1508" i="1" s="1"/>
  <c r="P1509" i="1" a="1"/>
  <c r="P1509" i="1" s="1"/>
  <c r="EP1509" i="1" s="1"/>
  <c r="P1510" i="1" a="1"/>
  <c r="P1510" i="1" s="1"/>
  <c r="EP1510" i="1" s="1"/>
  <c r="P1511" i="1" a="1"/>
  <c r="P1511" i="1" s="1"/>
  <c r="EP1511" i="1" s="1"/>
  <c r="P1512" i="1" a="1"/>
  <c r="P1512" i="1" s="1"/>
  <c r="EP1512" i="1" s="1"/>
  <c r="P1513" i="1" a="1"/>
  <c r="P1513" i="1" s="1"/>
  <c r="EP1513" i="1" s="1"/>
  <c r="P1514" i="1" a="1"/>
  <c r="P1514" i="1" s="1"/>
  <c r="EP1514" i="1" s="1"/>
  <c r="P1515" i="1" a="1"/>
  <c r="P1515" i="1" s="1"/>
  <c r="EP1515" i="1" s="1"/>
  <c r="P1516" i="1" a="1"/>
  <c r="P1516" i="1" s="1"/>
  <c r="EP1516" i="1" s="1"/>
  <c r="P1517" i="1" a="1"/>
  <c r="P1517" i="1" s="1"/>
  <c r="EP1517" i="1" s="1"/>
  <c r="P1518" i="1" a="1"/>
  <c r="P1518" i="1" s="1"/>
  <c r="EP1518" i="1" s="1"/>
  <c r="P1519" i="1" a="1"/>
  <c r="P1519" i="1" s="1"/>
  <c r="EP1519" i="1" s="1"/>
  <c r="P1520" i="1" a="1"/>
  <c r="P1520" i="1"/>
  <c r="EP1520" i="1" s="1"/>
  <c r="P1521" i="1" a="1"/>
  <c r="P1521" i="1" s="1"/>
  <c r="EP1521" i="1" s="1"/>
  <c r="P1522" i="1" a="1"/>
  <c r="P1522" i="1" s="1"/>
  <c r="EP1522" i="1" s="1"/>
  <c r="P1523" i="1" a="1"/>
  <c r="P1523" i="1" s="1"/>
  <c r="EP1523" i="1" s="1"/>
  <c r="P1524" i="1" a="1"/>
  <c r="P1524" i="1" s="1"/>
  <c r="EP1524" i="1" s="1"/>
  <c r="P1525" i="1" a="1"/>
  <c r="P1525" i="1" s="1"/>
  <c r="EP1525" i="1" s="1"/>
  <c r="P1526" i="1" a="1"/>
  <c r="P1526" i="1" s="1"/>
  <c r="EP1526" i="1" s="1"/>
  <c r="P1527" i="1" a="1"/>
  <c r="P1527" i="1" s="1"/>
  <c r="EP1527" i="1" s="1"/>
  <c r="P1528" i="1" a="1"/>
  <c r="P1528" i="1" s="1"/>
  <c r="EP1528" i="1" s="1"/>
  <c r="P1529" i="1" a="1"/>
  <c r="P1529" i="1" s="1"/>
  <c r="EP1529" i="1" s="1"/>
  <c r="P1530" i="1" a="1"/>
  <c r="P1530" i="1" s="1"/>
  <c r="EP1530" i="1" s="1"/>
  <c r="P1531" i="1" a="1"/>
  <c r="P1531" i="1" s="1"/>
  <c r="EP1531" i="1" s="1"/>
  <c r="P1532" i="1" a="1"/>
  <c r="P1532" i="1" s="1"/>
  <c r="EP1532" i="1" s="1"/>
  <c r="P1533" i="1" a="1"/>
  <c r="P1533" i="1" s="1"/>
  <c r="EP1533" i="1" s="1"/>
  <c r="P1534" i="1" a="1"/>
  <c r="P1534" i="1" s="1"/>
  <c r="EP1534" i="1" s="1"/>
  <c r="P1535" i="1" a="1"/>
  <c r="P1535" i="1" s="1"/>
  <c r="EP1535" i="1" s="1"/>
  <c r="P1536" i="1" a="1"/>
  <c r="P1536" i="1"/>
  <c r="EP1536" i="1" s="1"/>
  <c r="P1537" i="1" a="1"/>
  <c r="P1537" i="1" s="1"/>
  <c r="EP1537" i="1" s="1"/>
  <c r="P1538" i="1" a="1"/>
  <c r="P1538" i="1" s="1"/>
  <c r="EP1538" i="1" s="1"/>
  <c r="P1539" i="1" a="1"/>
  <c r="P1539" i="1" s="1"/>
  <c r="EP1539" i="1" s="1"/>
  <c r="P1540" i="1" a="1"/>
  <c r="P1540" i="1" s="1"/>
  <c r="EP1540" i="1" s="1"/>
  <c r="P1541" i="1" a="1"/>
  <c r="P1541" i="1" s="1"/>
  <c r="EP1541" i="1" s="1"/>
  <c r="P1542" i="1" a="1"/>
  <c r="P1542" i="1" s="1"/>
  <c r="EP1542" i="1" s="1"/>
  <c r="P1543" i="1" a="1"/>
  <c r="P1543" i="1" s="1"/>
  <c r="EP1543" i="1" s="1"/>
  <c r="P1544" i="1" a="1"/>
  <c r="P1544" i="1" s="1"/>
  <c r="EP1544" i="1" s="1"/>
  <c r="P1545" i="1" a="1"/>
  <c r="P1545" i="1" s="1"/>
  <c r="EP1545" i="1" s="1"/>
  <c r="P1546" i="1" a="1"/>
  <c r="P1546" i="1" s="1"/>
  <c r="EP1546" i="1" s="1"/>
  <c r="P1547" i="1" a="1"/>
  <c r="P1547" i="1" s="1"/>
  <c r="EP1547" i="1" s="1"/>
  <c r="P1548" i="1" a="1"/>
  <c r="P1548" i="1" s="1"/>
  <c r="EP1548" i="1" s="1"/>
  <c r="P1549" i="1" a="1"/>
  <c r="P1549" i="1" s="1"/>
  <c r="EP1549" i="1" s="1"/>
  <c r="P1550" i="1" a="1"/>
  <c r="P1550" i="1" s="1"/>
  <c r="EP1550" i="1" s="1"/>
  <c r="P1551" i="1" a="1"/>
  <c r="P1551" i="1" s="1"/>
  <c r="EP1551" i="1" s="1"/>
  <c r="P1552" i="1" a="1"/>
  <c r="P1552" i="1"/>
  <c r="EP1552" i="1" s="1"/>
  <c r="P1553" i="1" a="1"/>
  <c r="P1553" i="1" s="1"/>
  <c r="EP1553" i="1" s="1"/>
  <c r="P1554" i="1" a="1"/>
  <c r="P1554" i="1" s="1"/>
  <c r="EP1554" i="1" s="1"/>
  <c r="P1555" i="1" a="1"/>
  <c r="P1555" i="1" s="1"/>
  <c r="EP1555" i="1" s="1"/>
  <c r="P1556" i="1" a="1"/>
  <c r="P1556" i="1" s="1"/>
  <c r="EP1556" i="1" s="1"/>
  <c r="P1557" i="1" a="1"/>
  <c r="P1557" i="1" s="1"/>
  <c r="EP1557" i="1" s="1"/>
  <c r="P1558" i="1" a="1"/>
  <c r="P1558" i="1" s="1"/>
  <c r="EP1558" i="1" s="1"/>
  <c r="P1559" i="1" a="1"/>
  <c r="P1559" i="1" s="1"/>
  <c r="EP1559" i="1" s="1"/>
  <c r="P1560" i="1" a="1"/>
  <c r="P1560" i="1" s="1"/>
  <c r="EP1560" i="1" s="1"/>
  <c r="P1561" i="1" a="1"/>
  <c r="P1561" i="1" s="1"/>
  <c r="EP1561" i="1" s="1"/>
  <c r="P1562" i="1" a="1"/>
  <c r="P1562" i="1" s="1"/>
  <c r="EP1562" i="1" s="1"/>
  <c r="P1563" i="1" a="1"/>
  <c r="P1563" i="1" s="1"/>
  <c r="EP1563" i="1" s="1"/>
  <c r="P1564" i="1" a="1"/>
  <c r="P1564" i="1" s="1"/>
  <c r="EP1564" i="1" s="1"/>
  <c r="P1565" i="1" a="1"/>
  <c r="P1565" i="1" s="1"/>
  <c r="EP1565" i="1" s="1"/>
  <c r="P1566" i="1" a="1"/>
  <c r="P1566" i="1" s="1"/>
  <c r="EP1566" i="1" s="1"/>
  <c r="P1567" i="1" a="1"/>
  <c r="P1567" i="1" s="1"/>
  <c r="EP1567" i="1" s="1"/>
  <c r="P1568" i="1" a="1"/>
  <c r="P1568" i="1" s="1"/>
  <c r="EP1568" i="1" s="1"/>
  <c r="P1569" i="1" a="1"/>
  <c r="P1569" i="1" s="1"/>
  <c r="EP1569" i="1" s="1"/>
  <c r="P1570" i="1" a="1"/>
  <c r="P1570" i="1" s="1"/>
  <c r="EP1570" i="1" s="1"/>
  <c r="P1571" i="1" a="1"/>
  <c r="P1571" i="1" s="1"/>
  <c r="EP1571" i="1" s="1"/>
  <c r="P1572" i="1" a="1"/>
  <c r="P1572" i="1" s="1"/>
  <c r="EP1572" i="1" s="1"/>
  <c r="P1573" i="1" a="1"/>
  <c r="P1573" i="1" s="1"/>
  <c r="EP1573" i="1" s="1"/>
  <c r="P1574" i="1" a="1"/>
  <c r="P1574" i="1" s="1"/>
  <c r="EP1574" i="1" s="1"/>
  <c r="P1575" i="1" a="1"/>
  <c r="P1575" i="1" s="1"/>
  <c r="EP1575" i="1" s="1"/>
  <c r="P1576" i="1" a="1"/>
  <c r="P1576" i="1" s="1"/>
  <c r="EP1576" i="1" s="1"/>
  <c r="P1577" i="1" a="1"/>
  <c r="P1577" i="1" s="1"/>
  <c r="EP1577" i="1" s="1"/>
  <c r="P1578" i="1" a="1"/>
  <c r="P1578" i="1" s="1"/>
  <c r="EP1578" i="1" s="1"/>
  <c r="P1579" i="1" a="1"/>
  <c r="P1579" i="1" s="1"/>
  <c r="EP1579" i="1" s="1"/>
  <c r="P1580" i="1" a="1"/>
  <c r="P1580" i="1" s="1"/>
  <c r="EP1580" i="1" s="1"/>
  <c r="P1581" i="1" a="1"/>
  <c r="P1581" i="1" s="1"/>
  <c r="EP1581" i="1" s="1"/>
  <c r="P1582" i="1" a="1"/>
  <c r="P1582" i="1" s="1"/>
  <c r="EP1582" i="1" s="1"/>
  <c r="P1583" i="1" a="1"/>
  <c r="P1583" i="1" s="1"/>
  <c r="EP1583" i="1" s="1"/>
  <c r="P1584" i="1" a="1"/>
  <c r="P1584" i="1" s="1"/>
  <c r="EP1584" i="1" s="1"/>
  <c r="P1585" i="1" a="1"/>
  <c r="P1585" i="1" s="1"/>
  <c r="EP1585" i="1" s="1"/>
  <c r="P1586" i="1" a="1"/>
  <c r="P1586" i="1" s="1"/>
  <c r="EP1586" i="1" s="1"/>
  <c r="P1587" i="1" a="1"/>
  <c r="P1587" i="1" s="1"/>
  <c r="EP1587" i="1" s="1"/>
  <c r="P1588" i="1" a="1"/>
  <c r="P1588" i="1" s="1"/>
  <c r="EP1588" i="1" s="1"/>
  <c r="P1589" i="1" a="1"/>
  <c r="P1589" i="1" s="1"/>
  <c r="EP1589" i="1" s="1"/>
  <c r="P1590" i="1" a="1"/>
  <c r="P1590" i="1" s="1"/>
  <c r="EP1590" i="1" s="1"/>
  <c r="P1591" i="1" a="1"/>
  <c r="P1591" i="1" s="1"/>
  <c r="EP1591" i="1" s="1"/>
  <c r="P1592" i="1" a="1"/>
  <c r="P1592" i="1" s="1"/>
  <c r="EP1592" i="1" s="1"/>
  <c r="P1593" i="1" a="1"/>
  <c r="P1593" i="1" s="1"/>
  <c r="EP1593" i="1" s="1"/>
  <c r="P1594" i="1" a="1"/>
  <c r="P1594" i="1" s="1"/>
  <c r="EP1594" i="1" s="1"/>
  <c r="P1595" i="1" a="1"/>
  <c r="P1595" i="1" s="1"/>
  <c r="EP1595" i="1" s="1"/>
  <c r="P1596" i="1" a="1"/>
  <c r="P1596" i="1" s="1"/>
  <c r="EP1596" i="1" s="1"/>
  <c r="P1597" i="1" a="1"/>
  <c r="P1597" i="1" s="1"/>
  <c r="EP1597" i="1" s="1"/>
  <c r="P1598" i="1" a="1"/>
  <c r="P1598" i="1" s="1"/>
  <c r="EP1598" i="1" s="1"/>
  <c r="P1599" i="1" a="1"/>
  <c r="P1599" i="1" s="1"/>
  <c r="EP1599" i="1" s="1"/>
  <c r="P1600" i="1" a="1"/>
  <c r="P1600" i="1" s="1"/>
  <c r="EP1600" i="1" s="1"/>
  <c r="P1601" i="1" a="1"/>
  <c r="P1601" i="1" s="1"/>
  <c r="EP1601" i="1" s="1"/>
  <c r="P1602" i="1" a="1"/>
  <c r="P1602" i="1" s="1"/>
  <c r="EP1602" i="1" s="1"/>
  <c r="P1603" i="1" a="1"/>
  <c r="P1603" i="1" s="1"/>
  <c r="EP1603" i="1" s="1"/>
  <c r="P1604" i="1" a="1"/>
  <c r="P1604" i="1" s="1"/>
  <c r="EP1604" i="1" s="1"/>
  <c r="P1605" i="1" a="1"/>
  <c r="P1605" i="1" s="1"/>
  <c r="EP1605" i="1" s="1"/>
  <c r="P1606" i="1" a="1"/>
  <c r="P1606" i="1" s="1"/>
  <c r="EP1606" i="1" s="1"/>
  <c r="P1607" i="1" a="1"/>
  <c r="P1607" i="1" s="1"/>
  <c r="EP1607" i="1" s="1"/>
  <c r="P1608" i="1" a="1"/>
  <c r="P1608" i="1" s="1"/>
  <c r="EP1608" i="1" s="1"/>
  <c r="P1609" i="1" a="1"/>
  <c r="P1609" i="1" s="1"/>
  <c r="EP1609" i="1" s="1"/>
  <c r="P1610" i="1" a="1"/>
  <c r="P1610" i="1" s="1"/>
  <c r="EP1610" i="1" s="1"/>
  <c r="P1611" i="1" a="1"/>
  <c r="P1611" i="1" s="1"/>
  <c r="EP1611" i="1" s="1"/>
  <c r="P1612" i="1" a="1"/>
  <c r="P1612" i="1" s="1"/>
  <c r="EP1612" i="1" s="1"/>
  <c r="P1613" i="1" a="1"/>
  <c r="P1613" i="1" s="1"/>
  <c r="EP1613" i="1" s="1"/>
  <c r="P1614" i="1" a="1"/>
  <c r="P1614" i="1" s="1"/>
  <c r="EP1614" i="1" s="1"/>
  <c r="P1615" i="1" a="1"/>
  <c r="P1615" i="1" s="1"/>
  <c r="EP1615" i="1" s="1"/>
  <c r="P1616" i="1" a="1"/>
  <c r="P1616" i="1" s="1"/>
  <c r="EP1616" i="1" s="1"/>
  <c r="P1617" i="1" a="1"/>
  <c r="P1617" i="1" s="1"/>
  <c r="EP1617" i="1" s="1"/>
  <c r="P1618" i="1" a="1"/>
  <c r="P1618" i="1" s="1"/>
  <c r="EP1618" i="1" s="1"/>
  <c r="P1619" i="1" a="1"/>
  <c r="P1619" i="1" s="1"/>
  <c r="EP1619" i="1" s="1"/>
  <c r="P1620" i="1" a="1"/>
  <c r="P1620" i="1" s="1"/>
  <c r="EP1620" i="1" s="1"/>
  <c r="P1621" i="1" a="1"/>
  <c r="P1621" i="1" s="1"/>
  <c r="EP1621" i="1" s="1"/>
  <c r="P1622" i="1" a="1"/>
  <c r="P1622" i="1" s="1"/>
  <c r="EP1622" i="1" s="1"/>
  <c r="P1623" i="1" a="1"/>
  <c r="P1623" i="1" s="1"/>
  <c r="EP1623" i="1" s="1"/>
  <c r="P1624" i="1" a="1"/>
  <c r="P1624" i="1" s="1"/>
  <c r="EP1624" i="1" s="1"/>
  <c r="P1625" i="1" a="1"/>
  <c r="P1625" i="1" s="1"/>
  <c r="EP1625" i="1" s="1"/>
  <c r="P1626" i="1" a="1"/>
  <c r="P1626" i="1" s="1"/>
  <c r="EP1626" i="1" s="1"/>
  <c r="P1627" i="1" a="1"/>
  <c r="P1627" i="1" s="1"/>
  <c r="EP1627" i="1" s="1"/>
  <c r="P1628" i="1" a="1"/>
  <c r="P1628" i="1" s="1"/>
  <c r="EP1628" i="1" s="1"/>
  <c r="P1629" i="1" a="1"/>
  <c r="P1629" i="1" s="1"/>
  <c r="EP1629" i="1" s="1"/>
  <c r="P1630" i="1" a="1"/>
  <c r="P1630" i="1" s="1"/>
  <c r="EP1630" i="1" s="1"/>
  <c r="P1631" i="1" a="1"/>
  <c r="P1631" i="1" s="1"/>
  <c r="EP1631" i="1" s="1"/>
  <c r="P1632" i="1" a="1"/>
  <c r="P1632" i="1" s="1"/>
  <c r="EP1632" i="1" s="1"/>
  <c r="P1633" i="1" a="1"/>
  <c r="P1633" i="1" s="1"/>
  <c r="EP1633" i="1" s="1"/>
  <c r="P1634" i="1" a="1"/>
  <c r="P1634" i="1" s="1"/>
  <c r="EP1634" i="1" s="1"/>
  <c r="P1635" i="1" a="1"/>
  <c r="P1635" i="1" s="1"/>
  <c r="EP1635" i="1" s="1"/>
  <c r="P1636" i="1" a="1"/>
  <c r="P1636" i="1" s="1"/>
  <c r="EP1636" i="1" s="1"/>
  <c r="P1637" i="1" a="1"/>
  <c r="P1637" i="1" s="1"/>
  <c r="EP1637" i="1" s="1"/>
  <c r="P1638" i="1" a="1"/>
  <c r="P1638" i="1" s="1"/>
  <c r="EP1638" i="1" s="1"/>
  <c r="P1639" i="1" a="1"/>
  <c r="P1639" i="1" s="1"/>
  <c r="EP1639" i="1" s="1"/>
  <c r="P1640" i="1" a="1"/>
  <c r="P1640" i="1" s="1"/>
  <c r="EP1640" i="1" s="1"/>
  <c r="P1641" i="1" a="1"/>
  <c r="P1641" i="1" s="1"/>
  <c r="EP1641" i="1" s="1"/>
  <c r="P1642" i="1" a="1"/>
  <c r="P1642" i="1" s="1"/>
  <c r="EP1642" i="1" s="1"/>
  <c r="P1643" i="1" a="1"/>
  <c r="P1643" i="1" s="1"/>
  <c r="EP1643" i="1" s="1"/>
  <c r="P1644" i="1" a="1"/>
  <c r="P1644" i="1" s="1"/>
  <c r="EP1644" i="1" s="1"/>
  <c r="P1645" i="1" a="1"/>
  <c r="P1645" i="1" s="1"/>
  <c r="EP1645" i="1" s="1"/>
  <c r="P1646" i="1" a="1"/>
  <c r="P1646" i="1" s="1"/>
  <c r="EP1646" i="1" s="1"/>
  <c r="P1647" i="1" a="1"/>
  <c r="P1647" i="1" s="1"/>
  <c r="EP1647" i="1" s="1"/>
  <c r="P1648" i="1" a="1"/>
  <c r="P1648" i="1" s="1"/>
  <c r="EP1648" i="1" s="1"/>
  <c r="P1649" i="1" a="1"/>
  <c r="P1649" i="1" s="1"/>
  <c r="EP1649" i="1" s="1"/>
  <c r="P1650" i="1" a="1"/>
  <c r="P1650" i="1" s="1"/>
  <c r="EP1650" i="1" s="1"/>
  <c r="P1651" i="1" a="1"/>
  <c r="P1651" i="1" s="1"/>
  <c r="EP1651" i="1" s="1"/>
  <c r="P1652" i="1" a="1"/>
  <c r="P1652" i="1" s="1"/>
  <c r="EP1652" i="1" s="1"/>
  <c r="P1653" i="1" a="1"/>
  <c r="P1653" i="1" s="1"/>
  <c r="EP1653" i="1" s="1"/>
  <c r="P1654" i="1" a="1"/>
  <c r="P1654" i="1" s="1"/>
  <c r="EP1654" i="1" s="1"/>
  <c r="P1655" i="1" a="1"/>
  <c r="P1655" i="1" s="1"/>
  <c r="EP1655" i="1" s="1"/>
  <c r="P1656" i="1" a="1"/>
  <c r="P1656" i="1" s="1"/>
  <c r="EP1656" i="1" s="1"/>
  <c r="P1657" i="1" a="1"/>
  <c r="P1657" i="1" s="1"/>
  <c r="EP1657" i="1" s="1"/>
  <c r="P1658" i="1" a="1"/>
  <c r="P1658" i="1" s="1"/>
  <c r="EP1658" i="1" s="1"/>
  <c r="P1659" i="1" a="1"/>
  <c r="P1659" i="1" s="1"/>
  <c r="EP1659" i="1" s="1"/>
  <c r="P1660" i="1" a="1"/>
  <c r="P1660" i="1" s="1"/>
  <c r="EP1660" i="1" s="1"/>
  <c r="P1661" i="1" a="1"/>
  <c r="P1661" i="1" s="1"/>
  <c r="EP1661" i="1" s="1"/>
  <c r="P1662" i="1" a="1"/>
  <c r="P1662" i="1" s="1"/>
  <c r="EP1662" i="1" s="1"/>
  <c r="P1663" i="1" a="1"/>
  <c r="P1663" i="1" s="1"/>
  <c r="EP1663" i="1" s="1"/>
  <c r="P1664" i="1" a="1"/>
  <c r="P1664" i="1" s="1"/>
  <c r="EP1664" i="1" s="1"/>
  <c r="P1665" i="1" a="1"/>
  <c r="P1665" i="1" s="1"/>
  <c r="EP1665" i="1" s="1"/>
  <c r="P1666" i="1" a="1"/>
  <c r="P1666" i="1" s="1"/>
  <c r="EP1666" i="1" s="1"/>
  <c r="P1667" i="1" a="1"/>
  <c r="P1667" i="1" s="1"/>
  <c r="EP1667" i="1" s="1"/>
  <c r="P1668" i="1" a="1"/>
  <c r="P1668" i="1" s="1"/>
  <c r="EP1668" i="1" s="1"/>
  <c r="P1669" i="1" a="1"/>
  <c r="P1669" i="1" s="1"/>
  <c r="EP1669" i="1" s="1"/>
  <c r="P1670" i="1" a="1"/>
  <c r="P1670" i="1" s="1"/>
  <c r="EP1670" i="1" s="1"/>
  <c r="P1671" i="1" a="1"/>
  <c r="P1671" i="1" s="1"/>
  <c r="EP1671" i="1" s="1"/>
  <c r="P1672" i="1" a="1"/>
  <c r="P1672" i="1" s="1"/>
  <c r="EP1672" i="1" s="1"/>
  <c r="P1673" i="1" a="1"/>
  <c r="P1673" i="1" s="1"/>
  <c r="EP1673" i="1" s="1"/>
  <c r="P1674" i="1" a="1"/>
  <c r="P1674" i="1" s="1"/>
  <c r="EP1674" i="1" s="1"/>
  <c r="P1675" i="1" a="1"/>
  <c r="P1675" i="1" s="1"/>
  <c r="EP1675" i="1" s="1"/>
  <c r="P1676" i="1" a="1"/>
  <c r="P1676" i="1" s="1"/>
  <c r="EP1676" i="1" s="1"/>
  <c r="P1677" i="1" a="1"/>
  <c r="P1677" i="1" s="1"/>
  <c r="EP1677" i="1" s="1"/>
  <c r="P1678" i="1" a="1"/>
  <c r="P1678" i="1" s="1"/>
  <c r="EP1678" i="1" s="1"/>
  <c r="P1679" i="1" a="1"/>
  <c r="P1679" i="1" s="1"/>
  <c r="EP1679" i="1" s="1"/>
  <c r="P1680" i="1" a="1"/>
  <c r="P1680" i="1" s="1"/>
  <c r="EP1680" i="1" s="1"/>
  <c r="P1681" i="1" a="1"/>
  <c r="P1681" i="1" s="1"/>
  <c r="EP1681" i="1" s="1"/>
  <c r="P1682" i="1" a="1"/>
  <c r="P1682" i="1" s="1"/>
  <c r="EP1682" i="1" s="1"/>
  <c r="P1683" i="1" a="1"/>
  <c r="P1683" i="1" s="1"/>
  <c r="EP1683" i="1" s="1"/>
  <c r="P1684" i="1" a="1"/>
  <c r="P1684" i="1" s="1"/>
  <c r="EP1684" i="1" s="1"/>
  <c r="P1685" i="1" a="1"/>
  <c r="P1685" i="1" s="1"/>
  <c r="EP1685" i="1" s="1"/>
  <c r="P1686" i="1" a="1"/>
  <c r="P1686" i="1" s="1"/>
  <c r="EP1686" i="1" s="1"/>
  <c r="P1687" i="1" a="1"/>
  <c r="P1687" i="1" s="1"/>
  <c r="EP1687" i="1" s="1"/>
  <c r="P1688" i="1" a="1"/>
  <c r="P1688" i="1" s="1"/>
  <c r="EP1688" i="1" s="1"/>
  <c r="P1689" i="1" a="1"/>
  <c r="P1689" i="1" s="1"/>
  <c r="EP1689" i="1" s="1"/>
  <c r="P1690" i="1" a="1"/>
  <c r="P1690" i="1" s="1"/>
  <c r="EP1690" i="1" s="1"/>
  <c r="P1691" i="1" a="1"/>
  <c r="P1691" i="1" s="1"/>
  <c r="EP1691" i="1" s="1"/>
  <c r="P1692" i="1" a="1"/>
  <c r="P1692" i="1" s="1"/>
  <c r="EP1692" i="1" s="1"/>
  <c r="P1693" i="1" a="1"/>
  <c r="P1693" i="1" s="1"/>
  <c r="EP1693" i="1" s="1"/>
  <c r="P1694" i="1" a="1"/>
  <c r="P1694" i="1" s="1"/>
  <c r="EP1694" i="1" s="1"/>
  <c r="P1695" i="1" a="1"/>
  <c r="P1695" i="1" s="1"/>
  <c r="EP1695" i="1" s="1"/>
  <c r="P1696" i="1" a="1"/>
  <c r="P1696" i="1" s="1"/>
  <c r="EP1696" i="1" s="1"/>
  <c r="P1697" i="1" a="1"/>
  <c r="P1697" i="1" s="1"/>
  <c r="EP1697" i="1" s="1"/>
  <c r="P1698" i="1" a="1"/>
  <c r="P1698" i="1" s="1"/>
  <c r="EP1698" i="1" s="1"/>
  <c r="P1699" i="1" a="1"/>
  <c r="P1699" i="1" s="1"/>
  <c r="EP1699" i="1" s="1"/>
  <c r="P1700" i="1" a="1"/>
  <c r="P1700" i="1" s="1"/>
  <c r="EP1700" i="1" s="1"/>
  <c r="P1701" i="1" a="1"/>
  <c r="P1701" i="1" s="1"/>
  <c r="EP1701" i="1" s="1"/>
  <c r="P1702" i="1" a="1"/>
  <c r="P1702" i="1" s="1"/>
  <c r="EP1702" i="1" s="1"/>
  <c r="P1703" i="1" a="1"/>
  <c r="P1703" i="1" s="1"/>
  <c r="EP1703" i="1" s="1"/>
  <c r="P1704" i="1" a="1"/>
  <c r="P1704" i="1" s="1"/>
  <c r="EP1704" i="1" s="1"/>
  <c r="P1705" i="1" a="1"/>
  <c r="P1705" i="1" s="1"/>
  <c r="EP1705" i="1" s="1"/>
  <c r="P1706" i="1" a="1"/>
  <c r="P1706" i="1" s="1"/>
  <c r="EP1706" i="1" s="1"/>
  <c r="P1707" i="1" a="1"/>
  <c r="P1707" i="1" s="1"/>
  <c r="EP1707" i="1" s="1"/>
  <c r="P1708" i="1" a="1"/>
  <c r="P1708" i="1" s="1"/>
  <c r="EP1708" i="1" s="1"/>
  <c r="P1709" i="1" a="1"/>
  <c r="P1709" i="1" s="1"/>
  <c r="EP1709" i="1" s="1"/>
  <c r="P1710" i="1" a="1"/>
  <c r="P1710" i="1" s="1"/>
  <c r="EP1710" i="1" s="1"/>
  <c r="P1711" i="1" a="1"/>
  <c r="P1711" i="1" s="1"/>
  <c r="EP1711" i="1" s="1"/>
  <c r="P1712" i="1" a="1"/>
  <c r="P1712" i="1" s="1"/>
  <c r="EP1712" i="1" s="1"/>
  <c r="P1713" i="1" a="1"/>
  <c r="P1713" i="1" s="1"/>
  <c r="EP1713" i="1" s="1"/>
  <c r="P1714" i="1" a="1"/>
  <c r="P1714" i="1" s="1"/>
  <c r="EP1714" i="1" s="1"/>
  <c r="P1715" i="1" a="1"/>
  <c r="P1715" i="1" s="1"/>
  <c r="EP1715" i="1" s="1"/>
  <c r="P1716" i="1" a="1"/>
  <c r="P1716" i="1"/>
  <c r="EP1716" i="1" s="1"/>
  <c r="P1717" i="1" a="1"/>
  <c r="P1717" i="1" s="1"/>
  <c r="EP1717" i="1" s="1"/>
  <c r="P1718" i="1" a="1"/>
  <c r="P1718" i="1" s="1"/>
  <c r="EP1718" i="1" s="1"/>
  <c r="P1719" i="1" a="1"/>
  <c r="P1719" i="1" s="1"/>
  <c r="EP1719" i="1" s="1"/>
  <c r="P1720" i="1" a="1"/>
  <c r="P1720" i="1"/>
  <c r="EP1720" i="1" s="1"/>
  <c r="P1721" i="1" a="1"/>
  <c r="P1721" i="1" s="1"/>
  <c r="EP1721" i="1" s="1"/>
  <c r="P1722" i="1" a="1"/>
  <c r="P1722" i="1" s="1"/>
  <c r="EP1722" i="1" s="1"/>
  <c r="P1723" i="1" a="1"/>
  <c r="P1723" i="1" s="1"/>
  <c r="EP1723" i="1" s="1"/>
  <c r="P1724" i="1" a="1"/>
  <c r="P1724" i="1" s="1"/>
  <c r="EP1724" i="1" s="1"/>
  <c r="P1725" i="1" a="1"/>
  <c r="P1725" i="1" s="1"/>
  <c r="EP1725" i="1" s="1"/>
  <c r="P1726" i="1" a="1"/>
  <c r="P1726" i="1"/>
  <c r="EP1726" i="1" s="1"/>
  <c r="P1727" i="1" a="1"/>
  <c r="P1727" i="1" s="1"/>
  <c r="EP1727" i="1" s="1"/>
  <c r="P1728" i="1" a="1"/>
  <c r="P1728" i="1" s="1"/>
  <c r="EP1728" i="1" s="1"/>
  <c r="P1729" i="1" a="1"/>
  <c r="P1729" i="1" s="1"/>
  <c r="EP1729" i="1" s="1"/>
  <c r="P1730" i="1" a="1"/>
  <c r="P1730" i="1" s="1"/>
  <c r="EP1730" i="1" s="1"/>
  <c r="P1731" i="1" a="1"/>
  <c r="P1731" i="1" s="1"/>
  <c r="EP1731" i="1" s="1"/>
  <c r="P1732" i="1" a="1"/>
  <c r="P1732" i="1"/>
  <c r="EP1732" i="1" s="1"/>
  <c r="P1733" i="1" a="1"/>
  <c r="P1733" i="1" s="1"/>
  <c r="EP1733" i="1" s="1"/>
  <c r="P1734" i="1" a="1"/>
  <c r="P1734" i="1" s="1"/>
  <c r="EP1734" i="1" s="1"/>
  <c r="P1735" i="1" a="1"/>
  <c r="P1735" i="1" s="1"/>
  <c r="EP1735" i="1" s="1"/>
  <c r="P1736" i="1" a="1"/>
  <c r="P1736" i="1"/>
  <c r="EP1736" i="1" s="1"/>
  <c r="P1737" i="1" a="1"/>
  <c r="P1737" i="1" s="1"/>
  <c r="EP1737" i="1" s="1"/>
  <c r="P1738" i="1" a="1"/>
  <c r="P1738" i="1" s="1"/>
  <c r="EP1738" i="1" s="1"/>
  <c r="P1739" i="1" a="1"/>
  <c r="P1739" i="1" s="1"/>
  <c r="EP1739" i="1" s="1"/>
  <c r="P1740" i="1" a="1"/>
  <c r="P1740" i="1" s="1"/>
  <c r="EP1740" i="1" s="1"/>
  <c r="P1741" i="1" a="1"/>
  <c r="P1741" i="1" s="1"/>
  <c r="EP1741" i="1" s="1"/>
  <c r="P1742" i="1" a="1"/>
  <c r="P1742" i="1" s="1"/>
  <c r="EP1742" i="1" s="1"/>
  <c r="P1743" i="1" a="1"/>
  <c r="P1743" i="1" s="1"/>
  <c r="EP1743" i="1" s="1"/>
  <c r="P1744" i="1" a="1"/>
  <c r="P1744" i="1" s="1"/>
  <c r="EP1744" i="1" s="1"/>
  <c r="P1745" i="1" a="1"/>
  <c r="P1745" i="1" s="1"/>
  <c r="EP1745" i="1" s="1"/>
  <c r="P1746" i="1" a="1"/>
  <c r="P1746" i="1" s="1"/>
  <c r="EP1746" i="1" s="1"/>
  <c r="P1747" i="1" a="1"/>
  <c r="P1747" i="1" s="1"/>
  <c r="EP1747" i="1" s="1"/>
  <c r="P1748" i="1" a="1"/>
  <c r="P1748" i="1" s="1"/>
  <c r="EP1748" i="1" s="1"/>
  <c r="P1749" i="1" a="1"/>
  <c r="P1749" i="1" s="1"/>
  <c r="EP1749" i="1" s="1"/>
  <c r="P1750" i="1" a="1"/>
  <c r="P1750" i="1" s="1"/>
  <c r="EP1750" i="1" s="1"/>
  <c r="P1751" i="1" a="1"/>
  <c r="P1751" i="1" s="1"/>
  <c r="EP1751" i="1" s="1"/>
  <c r="P1752" i="1" a="1"/>
  <c r="P1752" i="1" s="1"/>
  <c r="EP1752" i="1" s="1"/>
  <c r="P1753" i="1" a="1"/>
  <c r="P1753" i="1" s="1"/>
  <c r="EP1753" i="1" s="1"/>
  <c r="P1754" i="1" a="1"/>
  <c r="P1754" i="1" s="1"/>
  <c r="EP1754" i="1" s="1"/>
  <c r="P1755" i="1" a="1"/>
  <c r="P1755" i="1" s="1"/>
  <c r="EP1755" i="1" s="1"/>
  <c r="P1756" i="1" a="1"/>
  <c r="P1756" i="1" s="1"/>
  <c r="EP1756" i="1" s="1"/>
  <c r="P1757" i="1" a="1"/>
  <c r="P1757" i="1" s="1"/>
  <c r="EP1757" i="1" s="1"/>
  <c r="P1758" i="1" a="1"/>
  <c r="P1758" i="1" s="1"/>
  <c r="EP1758" i="1" s="1"/>
  <c r="P1759" i="1" a="1"/>
  <c r="P1759" i="1" s="1"/>
  <c r="EP1759" i="1" s="1"/>
  <c r="P1760" i="1" a="1"/>
  <c r="P1760" i="1" s="1"/>
  <c r="EP1760" i="1" s="1"/>
  <c r="P1761" i="1" a="1"/>
  <c r="P1761" i="1" s="1"/>
  <c r="EP1761" i="1" s="1"/>
  <c r="P1762" i="1" a="1"/>
  <c r="P1762" i="1" s="1"/>
  <c r="EP1762" i="1" s="1"/>
  <c r="P1763" i="1" a="1"/>
  <c r="P1763" i="1" s="1"/>
  <c r="EP1763" i="1" s="1"/>
  <c r="P1764" i="1" a="1"/>
  <c r="P1764" i="1" s="1"/>
  <c r="EP1764" i="1" s="1"/>
  <c r="P1765" i="1" a="1"/>
  <c r="P1765" i="1" s="1"/>
  <c r="EP1765" i="1" s="1"/>
  <c r="P1766" i="1" a="1"/>
  <c r="P1766" i="1" s="1"/>
  <c r="EP1766" i="1" s="1"/>
  <c r="P1767" i="1" a="1"/>
  <c r="P1767" i="1" s="1"/>
  <c r="EP1767" i="1" s="1"/>
  <c r="P1768" i="1" a="1"/>
  <c r="P1768" i="1" s="1"/>
  <c r="EP1768" i="1" s="1"/>
  <c r="P1769" i="1" a="1"/>
  <c r="P1769" i="1" s="1"/>
  <c r="EP1769" i="1" s="1"/>
  <c r="P1770" i="1" a="1"/>
  <c r="P1770" i="1" s="1"/>
  <c r="EP1770" i="1" s="1"/>
  <c r="P1771" i="1" a="1"/>
  <c r="P1771" i="1" s="1"/>
  <c r="EP1771" i="1" s="1"/>
  <c r="P1772" i="1" a="1"/>
  <c r="P1772" i="1" s="1"/>
  <c r="EP1772" i="1" s="1"/>
  <c r="P1773" i="1" a="1"/>
  <c r="P1773" i="1" s="1"/>
  <c r="EP1773" i="1" s="1"/>
  <c r="P1774" i="1" a="1"/>
  <c r="P1774" i="1" s="1"/>
  <c r="EP1774" i="1" s="1"/>
  <c r="P1775" i="1" a="1"/>
  <c r="P1775" i="1" s="1"/>
  <c r="EP1775" i="1" s="1"/>
  <c r="P1776" i="1" a="1"/>
  <c r="P1776" i="1" s="1"/>
  <c r="EP1776" i="1" s="1"/>
  <c r="P1777" i="1" a="1"/>
  <c r="P1777" i="1" s="1"/>
  <c r="EP1777" i="1" s="1"/>
  <c r="P1778" i="1" a="1"/>
  <c r="P1778" i="1" s="1"/>
  <c r="EP1778" i="1" s="1"/>
  <c r="P1779" i="1" a="1"/>
  <c r="P1779" i="1" s="1"/>
  <c r="EP1779" i="1" s="1"/>
  <c r="P1780" i="1" a="1"/>
  <c r="P1780" i="1" s="1"/>
  <c r="EP1780" i="1" s="1"/>
  <c r="P1781" i="1" a="1"/>
  <c r="P1781" i="1" s="1"/>
  <c r="EP1781" i="1" s="1"/>
  <c r="P1782" i="1" a="1"/>
  <c r="P1782" i="1" s="1"/>
  <c r="EP1782" i="1" s="1"/>
  <c r="P1783" i="1" a="1"/>
  <c r="P1783" i="1" s="1"/>
  <c r="EP1783" i="1" s="1"/>
  <c r="P1784" i="1" a="1"/>
  <c r="P1784" i="1" s="1"/>
  <c r="EP1784" i="1" s="1"/>
  <c r="P1785" i="1" a="1"/>
  <c r="P1785" i="1" s="1"/>
  <c r="EP1785" i="1" s="1"/>
  <c r="P1786" i="1" a="1"/>
  <c r="P1786" i="1" s="1"/>
  <c r="EP1786" i="1" s="1"/>
  <c r="P1787" i="1" a="1"/>
  <c r="P1787" i="1" s="1"/>
  <c r="EP1787" i="1" s="1"/>
  <c r="P1788" i="1" a="1"/>
  <c r="P1788" i="1" s="1"/>
  <c r="EP1788" i="1" s="1"/>
  <c r="P1789" i="1" a="1"/>
  <c r="P1789" i="1" s="1"/>
  <c r="EP1789" i="1" s="1"/>
  <c r="P1790" i="1" a="1"/>
  <c r="P1790" i="1" s="1"/>
  <c r="EP1790" i="1" s="1"/>
  <c r="P1791" i="1" a="1"/>
  <c r="P1791" i="1" s="1"/>
  <c r="EP1791" i="1" s="1"/>
  <c r="P1792" i="1" a="1"/>
  <c r="P1792" i="1" s="1"/>
  <c r="EP1792" i="1" s="1"/>
  <c r="P1793" i="1" a="1"/>
  <c r="P1793" i="1" s="1"/>
  <c r="EP1793" i="1" s="1"/>
  <c r="P1794" i="1" a="1"/>
  <c r="P1794" i="1" s="1"/>
  <c r="EP1794" i="1" s="1"/>
  <c r="P1795" i="1" a="1"/>
  <c r="P1795" i="1" s="1"/>
  <c r="EP1795" i="1" s="1"/>
  <c r="P1796" i="1" a="1"/>
  <c r="P1796" i="1" s="1"/>
  <c r="EP1796" i="1" s="1"/>
  <c r="P1797" i="1" a="1"/>
  <c r="P1797" i="1" s="1"/>
  <c r="EP1797" i="1" s="1"/>
  <c r="P1798" i="1" a="1"/>
  <c r="P1798" i="1" s="1"/>
  <c r="EP1798" i="1" s="1"/>
  <c r="P1799" i="1" a="1"/>
  <c r="P1799" i="1" s="1"/>
  <c r="EP1799" i="1" s="1"/>
  <c r="P1800" i="1" a="1"/>
  <c r="P1800" i="1" s="1"/>
  <c r="EP1800" i="1" s="1"/>
  <c r="P1801" i="1" a="1"/>
  <c r="P1801" i="1" s="1"/>
  <c r="EP1801" i="1" s="1"/>
  <c r="P1802" i="1" a="1"/>
  <c r="P1802" i="1" s="1"/>
  <c r="EP1802" i="1" s="1"/>
  <c r="P1803" i="1" a="1"/>
  <c r="P1803" i="1" s="1"/>
  <c r="EP1803" i="1" s="1"/>
  <c r="P1804" i="1" a="1"/>
  <c r="P1804" i="1" s="1"/>
  <c r="EP1804" i="1" s="1"/>
  <c r="P1805" i="1" a="1"/>
  <c r="P1805" i="1" s="1"/>
  <c r="EP1805" i="1" s="1"/>
  <c r="P1806" i="1" a="1"/>
  <c r="P1806" i="1" s="1"/>
  <c r="EP1806" i="1" s="1"/>
  <c r="P1807" i="1" a="1"/>
  <c r="P1807" i="1" s="1"/>
  <c r="EP1807" i="1" s="1"/>
  <c r="P1808" i="1" a="1"/>
  <c r="P1808" i="1" s="1"/>
  <c r="EP1808" i="1" s="1"/>
  <c r="P1809" i="1" a="1"/>
  <c r="P1809" i="1" s="1"/>
  <c r="EP1809" i="1" s="1"/>
  <c r="P1810" i="1" a="1"/>
  <c r="P1810" i="1" s="1"/>
  <c r="EP1810" i="1" s="1"/>
  <c r="P1811" i="1" a="1"/>
  <c r="P1811" i="1" s="1"/>
  <c r="EP1811" i="1" s="1"/>
  <c r="P1812" i="1" a="1"/>
  <c r="P1812" i="1" s="1"/>
  <c r="EP1812" i="1" s="1"/>
  <c r="P1813" i="1" a="1"/>
  <c r="P1813" i="1" s="1"/>
  <c r="EP1813" i="1" s="1"/>
  <c r="P1814" i="1" a="1"/>
  <c r="P1814" i="1" s="1"/>
  <c r="EP1814" i="1" s="1"/>
  <c r="P1815" i="1" a="1"/>
  <c r="P1815" i="1" s="1"/>
  <c r="EP1815" i="1" s="1"/>
  <c r="P1816" i="1" a="1"/>
  <c r="P1816" i="1" s="1"/>
  <c r="EP1816" i="1" s="1"/>
  <c r="P1817" i="1" a="1"/>
  <c r="P1817" i="1" s="1"/>
  <c r="EP1817" i="1" s="1"/>
  <c r="P1818" i="1" a="1"/>
  <c r="P1818" i="1" s="1"/>
  <c r="EP1818" i="1" s="1"/>
  <c r="P1819" i="1" a="1"/>
  <c r="P1819" i="1" s="1"/>
  <c r="EP1819" i="1" s="1"/>
  <c r="P1820" i="1" a="1"/>
  <c r="P1820" i="1" s="1"/>
  <c r="EP1820" i="1" s="1"/>
  <c r="P1821" i="1" a="1"/>
  <c r="P1821" i="1" s="1"/>
  <c r="EP1821" i="1" s="1"/>
  <c r="P1822" i="1" a="1"/>
  <c r="P1822" i="1" s="1"/>
  <c r="EP1822" i="1" s="1"/>
  <c r="P1823" i="1" a="1"/>
  <c r="P1823" i="1" s="1"/>
  <c r="EP1823" i="1" s="1"/>
  <c r="P1824" i="1" a="1"/>
  <c r="P1824" i="1" s="1"/>
  <c r="EP1824" i="1" s="1"/>
  <c r="P1825" i="1" a="1"/>
  <c r="P1825" i="1" s="1"/>
  <c r="EP1825" i="1" s="1"/>
  <c r="P1826" i="1" a="1"/>
  <c r="P1826" i="1" s="1"/>
  <c r="EP1826" i="1" s="1"/>
  <c r="P1827" i="1" a="1"/>
  <c r="P1827" i="1" s="1"/>
  <c r="EP1827" i="1" s="1"/>
  <c r="P1828" i="1" a="1"/>
  <c r="P1828" i="1" s="1"/>
  <c r="EP1828" i="1" s="1"/>
  <c r="P1829" i="1" a="1"/>
  <c r="P1829" i="1" s="1"/>
  <c r="EP1829" i="1" s="1"/>
  <c r="P1830" i="1" a="1"/>
  <c r="P1830" i="1" s="1"/>
  <c r="EP1830" i="1" s="1"/>
  <c r="P1831" i="1" a="1"/>
  <c r="P1831" i="1" s="1"/>
  <c r="EP1831" i="1" s="1"/>
  <c r="P1832" i="1" a="1"/>
  <c r="P1832" i="1" s="1"/>
  <c r="EP1832" i="1" s="1"/>
  <c r="P1833" i="1" a="1"/>
  <c r="P1833" i="1" s="1"/>
  <c r="EP1833" i="1" s="1"/>
  <c r="P1834" i="1" a="1"/>
  <c r="P1834" i="1" s="1"/>
  <c r="EP1834" i="1" s="1"/>
  <c r="P1835" i="1" a="1"/>
  <c r="P1835" i="1" s="1"/>
  <c r="EP1835" i="1" s="1"/>
  <c r="P1836" i="1" a="1"/>
  <c r="P1836" i="1" s="1"/>
  <c r="EP1836" i="1" s="1"/>
  <c r="P1837" i="1" a="1"/>
  <c r="P1837" i="1" s="1"/>
  <c r="EP1837" i="1" s="1"/>
  <c r="P1838" i="1" a="1"/>
  <c r="P1838" i="1" s="1"/>
  <c r="EP1838" i="1" s="1"/>
  <c r="P1839" i="1" a="1"/>
  <c r="P1839" i="1" s="1"/>
  <c r="EP1839" i="1" s="1"/>
  <c r="P1840" i="1" a="1"/>
  <c r="P1840" i="1" s="1"/>
  <c r="EP1840" i="1" s="1"/>
  <c r="P1841" i="1" a="1"/>
  <c r="P1841" i="1" s="1"/>
  <c r="EP1841" i="1" s="1"/>
  <c r="P1842" i="1" a="1"/>
  <c r="P1842" i="1" s="1"/>
  <c r="EP1842" i="1" s="1"/>
  <c r="P1843" i="1" a="1"/>
  <c r="P1843" i="1" s="1"/>
  <c r="EP1843" i="1" s="1"/>
  <c r="P1844" i="1" a="1"/>
  <c r="P1844" i="1" s="1"/>
  <c r="EP1844" i="1" s="1"/>
  <c r="P1845" i="1" a="1"/>
  <c r="P1845" i="1" s="1"/>
  <c r="EP1845" i="1" s="1"/>
  <c r="P1846" i="1" a="1"/>
  <c r="P1846" i="1" s="1"/>
  <c r="EP1846" i="1" s="1"/>
  <c r="P1847" i="1" a="1"/>
  <c r="P1847" i="1" s="1"/>
  <c r="EP1847" i="1" s="1"/>
  <c r="P1848" i="1" a="1"/>
  <c r="P1848" i="1" s="1"/>
  <c r="EP1848" i="1" s="1"/>
  <c r="P1849" i="1" a="1"/>
  <c r="P1849" i="1" s="1"/>
  <c r="EP1849" i="1" s="1"/>
  <c r="P1850" i="1" a="1"/>
  <c r="P1850" i="1" s="1"/>
  <c r="EP1850" i="1" s="1"/>
  <c r="P1851" i="1" a="1"/>
  <c r="P1851" i="1" s="1"/>
  <c r="EP1851" i="1" s="1"/>
  <c r="P1852" i="1" a="1"/>
  <c r="P1852" i="1" s="1"/>
  <c r="EP1852" i="1" s="1"/>
  <c r="P1853" i="1" a="1"/>
  <c r="P1853" i="1" s="1"/>
  <c r="EP1853" i="1" s="1"/>
  <c r="P1854" i="1" a="1"/>
  <c r="P1854" i="1" s="1"/>
  <c r="EP1854" i="1" s="1"/>
  <c r="P1855" i="1" a="1"/>
  <c r="P1855" i="1" s="1"/>
  <c r="EP1855" i="1" s="1"/>
  <c r="P1856" i="1" a="1"/>
  <c r="P1856" i="1" s="1"/>
  <c r="EP1856" i="1" s="1"/>
  <c r="P1857" i="1" a="1"/>
  <c r="P1857" i="1" s="1"/>
  <c r="EP1857" i="1" s="1"/>
  <c r="P1858" i="1" a="1"/>
  <c r="P1858" i="1" s="1"/>
  <c r="EP1858" i="1" s="1"/>
  <c r="P1859" i="1" a="1"/>
  <c r="P1859" i="1" s="1"/>
  <c r="EP1859" i="1" s="1"/>
  <c r="P1860" i="1" a="1"/>
  <c r="P1860" i="1" s="1"/>
  <c r="EP1860" i="1" s="1"/>
  <c r="P1861" i="1" a="1"/>
  <c r="P1861" i="1" s="1"/>
  <c r="EP1861" i="1" s="1"/>
  <c r="P1862" i="1" a="1"/>
  <c r="P1862" i="1" s="1"/>
  <c r="EP1862" i="1" s="1"/>
  <c r="P1863" i="1" a="1"/>
  <c r="P1863" i="1" s="1"/>
  <c r="EP1863" i="1" s="1"/>
  <c r="P1864" i="1" a="1"/>
  <c r="P1864" i="1"/>
  <c r="EP1864" i="1" s="1"/>
  <c r="P1865" i="1" a="1"/>
  <c r="P1865" i="1" s="1"/>
  <c r="EP1865" i="1" s="1"/>
  <c r="P1866" i="1" a="1"/>
  <c r="P1866" i="1" s="1"/>
  <c r="EP1866" i="1" s="1"/>
  <c r="P1867" i="1" a="1"/>
  <c r="P1867" i="1" s="1"/>
  <c r="EP1867" i="1" s="1"/>
  <c r="P1868" i="1" a="1"/>
  <c r="P1868" i="1"/>
  <c r="EP1868" i="1" s="1"/>
  <c r="P1869" i="1" a="1"/>
  <c r="P1869" i="1" s="1"/>
  <c r="EP1869" i="1" s="1"/>
  <c r="P1870" i="1" a="1"/>
  <c r="P1870" i="1" s="1"/>
  <c r="EP1870" i="1" s="1"/>
  <c r="P1871" i="1" a="1"/>
  <c r="P1871" i="1" s="1"/>
  <c r="EP1871" i="1" s="1"/>
  <c r="P1872" i="1" a="1"/>
  <c r="P1872" i="1"/>
  <c r="EP1872" i="1" s="1"/>
  <c r="P1873" i="1" a="1"/>
  <c r="P1873" i="1" s="1"/>
  <c r="EP1873" i="1" s="1"/>
  <c r="P1874" i="1" a="1"/>
  <c r="P1874" i="1" s="1"/>
  <c r="EP1874" i="1" s="1"/>
  <c r="P1875" i="1" a="1"/>
  <c r="P1875" i="1" s="1"/>
  <c r="EP1875" i="1" s="1"/>
  <c r="P1876" i="1" a="1"/>
  <c r="P1876" i="1"/>
  <c r="EP1876" i="1" s="1"/>
  <c r="P1877" i="1" a="1"/>
  <c r="P1877" i="1" s="1"/>
  <c r="EP1877" i="1" s="1"/>
  <c r="P1878" i="1" a="1"/>
  <c r="P1878" i="1" s="1"/>
  <c r="EP1878" i="1" s="1"/>
  <c r="P1879" i="1" a="1"/>
  <c r="P1879" i="1" s="1"/>
  <c r="EP1879" i="1" s="1"/>
  <c r="P1880" i="1" a="1"/>
  <c r="P1880" i="1"/>
  <c r="EP1880" i="1" s="1"/>
  <c r="P1881" i="1" a="1"/>
  <c r="P1881" i="1" s="1"/>
  <c r="EP1881" i="1" s="1"/>
  <c r="P1882" i="1" a="1"/>
  <c r="P1882" i="1" s="1"/>
  <c r="EP1882" i="1" s="1"/>
  <c r="P1883" i="1" a="1"/>
  <c r="P1883" i="1" s="1"/>
  <c r="EP1883" i="1" s="1"/>
  <c r="P1884" i="1" a="1"/>
  <c r="P1884" i="1"/>
  <c r="EP1884" i="1" s="1"/>
  <c r="P1885" i="1" a="1"/>
  <c r="P1885" i="1" s="1"/>
  <c r="EP1885" i="1" s="1"/>
  <c r="P1886" i="1" a="1"/>
  <c r="P1886" i="1" s="1"/>
  <c r="EP1886" i="1" s="1"/>
  <c r="P1887" i="1" a="1"/>
  <c r="P1887" i="1" s="1"/>
  <c r="EP1887" i="1" s="1"/>
  <c r="P1888" i="1" a="1"/>
  <c r="P1888" i="1"/>
  <c r="EP1888" i="1" s="1"/>
  <c r="P1889" i="1" a="1"/>
  <c r="P1889" i="1" s="1"/>
  <c r="EP1889" i="1" s="1"/>
  <c r="P1890" i="1" a="1"/>
  <c r="P1890" i="1" s="1"/>
  <c r="EP1890" i="1" s="1"/>
  <c r="P1891" i="1" a="1"/>
  <c r="P1891" i="1" s="1"/>
  <c r="EP1891" i="1" s="1"/>
  <c r="P1892" i="1" a="1"/>
  <c r="P1892" i="1"/>
  <c r="EP1892" i="1" s="1"/>
  <c r="P1893" i="1" a="1"/>
  <c r="P1893" i="1" s="1"/>
  <c r="EP1893" i="1" s="1"/>
  <c r="P1894" i="1" a="1"/>
  <c r="P1894" i="1" s="1"/>
  <c r="EP1894" i="1" s="1"/>
  <c r="P1895" i="1" a="1"/>
  <c r="P1895" i="1" s="1"/>
  <c r="EP1895" i="1" s="1"/>
  <c r="P1896" i="1" a="1"/>
  <c r="P1896" i="1"/>
  <c r="EP1896" i="1" s="1"/>
  <c r="P1897" i="1" a="1"/>
  <c r="P1897" i="1" s="1"/>
  <c r="EP1897" i="1" s="1"/>
  <c r="P1898" i="1" a="1"/>
  <c r="P1898" i="1" s="1"/>
  <c r="EP1898" i="1" s="1"/>
  <c r="P1899" i="1" a="1"/>
  <c r="P1899" i="1" s="1"/>
  <c r="EP1899" i="1" s="1"/>
  <c r="P1900" i="1" a="1"/>
  <c r="P1900" i="1"/>
  <c r="EP1900" i="1" s="1"/>
  <c r="P1901" i="1" a="1"/>
  <c r="P1901" i="1" s="1"/>
  <c r="EP1901" i="1" s="1"/>
  <c r="P1902" i="1" a="1"/>
  <c r="P1902" i="1" s="1"/>
  <c r="EP1902" i="1" s="1"/>
  <c r="P1903" i="1" a="1"/>
  <c r="P1903" i="1" s="1"/>
  <c r="EP1903" i="1" s="1"/>
  <c r="P1904" i="1" a="1"/>
  <c r="P1904" i="1"/>
  <c r="EP1904" i="1" s="1"/>
  <c r="P1905" i="1" a="1"/>
  <c r="P1905" i="1" s="1"/>
  <c r="EP1905" i="1" s="1"/>
  <c r="P1906" i="1" a="1"/>
  <c r="P1906" i="1" s="1"/>
  <c r="EP1906" i="1" s="1"/>
  <c r="P1907" i="1" a="1"/>
  <c r="P1907" i="1" s="1"/>
  <c r="EP1907" i="1" s="1"/>
  <c r="P1908" i="1" a="1"/>
  <c r="P1908" i="1"/>
  <c r="EP1908" i="1" s="1"/>
  <c r="P1909" i="1" a="1"/>
  <c r="P1909" i="1" s="1"/>
  <c r="EP1909" i="1" s="1"/>
  <c r="P1910" i="1" a="1"/>
  <c r="P1910" i="1" s="1"/>
  <c r="EP1910" i="1" s="1"/>
  <c r="P1911" i="1" a="1"/>
  <c r="P1911" i="1" s="1"/>
  <c r="EP1911" i="1" s="1"/>
  <c r="P1912" i="1" a="1"/>
  <c r="P1912" i="1"/>
  <c r="EP1912" i="1" s="1"/>
  <c r="P1913" i="1" a="1"/>
  <c r="P1913" i="1" s="1"/>
  <c r="EP1913" i="1" s="1"/>
  <c r="P1914" i="1" a="1"/>
  <c r="P1914" i="1" s="1"/>
  <c r="EP1914" i="1" s="1"/>
  <c r="P1915" i="1" a="1"/>
  <c r="P1915" i="1" s="1"/>
  <c r="EP1915" i="1" s="1"/>
  <c r="P1916" i="1" a="1"/>
  <c r="P1916" i="1"/>
  <c r="EP1916" i="1" s="1"/>
  <c r="P1917" i="1" a="1"/>
  <c r="P1917" i="1" s="1"/>
  <c r="EP1917" i="1" s="1"/>
  <c r="P1918" i="1" a="1"/>
  <c r="P1918" i="1" s="1"/>
  <c r="EP1918" i="1" s="1"/>
  <c r="P1919" i="1" a="1"/>
  <c r="P1919" i="1" s="1"/>
  <c r="EP1919" i="1" s="1"/>
  <c r="P1920" i="1" a="1"/>
  <c r="P1920" i="1"/>
  <c r="EP1920" i="1" s="1"/>
  <c r="P1921" i="1" a="1"/>
  <c r="P1921" i="1" s="1"/>
  <c r="EP1921" i="1" s="1"/>
  <c r="P1922" i="1" a="1"/>
  <c r="P1922" i="1" s="1"/>
  <c r="EP1922" i="1" s="1"/>
  <c r="P1923" i="1" a="1"/>
  <c r="P1923" i="1" s="1"/>
  <c r="EP1923" i="1" s="1"/>
  <c r="P1924" i="1" a="1"/>
  <c r="P1924" i="1"/>
  <c r="EP1924" i="1" s="1"/>
  <c r="P1925" i="1" a="1"/>
  <c r="P1925" i="1" s="1"/>
  <c r="EP1925" i="1" s="1"/>
  <c r="P1926" i="1" a="1"/>
  <c r="P1926" i="1" s="1"/>
  <c r="EP1926" i="1" s="1"/>
  <c r="P1927" i="1" a="1"/>
  <c r="P1927" i="1" s="1"/>
  <c r="EP1927" i="1" s="1"/>
  <c r="P1928" i="1" a="1"/>
  <c r="P1928" i="1"/>
  <c r="EP1928" i="1" s="1"/>
  <c r="P1929" i="1" a="1"/>
  <c r="P1929" i="1" s="1"/>
  <c r="EP1929" i="1" s="1"/>
  <c r="P1930" i="1" a="1"/>
  <c r="P1930" i="1" s="1"/>
  <c r="EP1930" i="1" s="1"/>
  <c r="P1931" i="1" a="1"/>
  <c r="P1931" i="1" s="1"/>
  <c r="EP1931" i="1" s="1"/>
  <c r="P1932" i="1" a="1"/>
  <c r="P1932" i="1"/>
  <c r="EP1932" i="1" s="1"/>
  <c r="P1933" i="1" a="1"/>
  <c r="P1933" i="1" s="1"/>
  <c r="EP1933" i="1" s="1"/>
  <c r="P1934" i="1" a="1"/>
  <c r="P1934" i="1" s="1"/>
  <c r="EP1934" i="1" s="1"/>
  <c r="P1935" i="1" a="1"/>
  <c r="P1935" i="1" s="1"/>
  <c r="EP1935" i="1" s="1"/>
  <c r="P1936" i="1" a="1"/>
  <c r="P1936" i="1"/>
  <c r="EP1936" i="1" s="1"/>
  <c r="P1937" i="1" a="1"/>
  <c r="P1937" i="1" s="1"/>
  <c r="EP1937" i="1" s="1"/>
  <c r="P1938" i="1" a="1"/>
  <c r="P1938" i="1" s="1"/>
  <c r="EP1938" i="1" s="1"/>
  <c r="P1939" i="1" a="1"/>
  <c r="P1939" i="1" s="1"/>
  <c r="EP1939" i="1" s="1"/>
  <c r="P1940" i="1" a="1"/>
  <c r="P1940" i="1"/>
  <c r="EP1940" i="1" s="1"/>
  <c r="P1941" i="1" a="1"/>
  <c r="P1941" i="1" s="1"/>
  <c r="EP1941" i="1" s="1"/>
  <c r="P1942" i="1" a="1"/>
  <c r="P1942" i="1" s="1"/>
  <c r="EP1942" i="1" s="1"/>
  <c r="P1943" i="1" a="1"/>
  <c r="P1943" i="1" s="1"/>
  <c r="EP1943" i="1" s="1"/>
  <c r="P1944" i="1" a="1"/>
  <c r="P1944" i="1"/>
  <c r="EP1944" i="1" s="1"/>
  <c r="P1945" i="1" a="1"/>
  <c r="P1945" i="1" s="1"/>
  <c r="EP1945" i="1" s="1"/>
  <c r="P1946" i="1" a="1"/>
  <c r="P1946" i="1" s="1"/>
  <c r="EP1946" i="1" s="1"/>
  <c r="P1947" i="1" a="1"/>
  <c r="P1947" i="1" s="1"/>
  <c r="EP1947" i="1" s="1"/>
  <c r="P1948" i="1" a="1"/>
  <c r="P1948" i="1"/>
  <c r="EP1948" i="1" s="1"/>
  <c r="P1949" i="1" a="1"/>
  <c r="P1949" i="1" s="1"/>
  <c r="EP1949" i="1" s="1"/>
  <c r="P1950" i="1" a="1"/>
  <c r="P1950" i="1" s="1"/>
  <c r="EP1950" i="1" s="1"/>
  <c r="P1951" i="1" a="1"/>
  <c r="P1951" i="1" s="1"/>
  <c r="EP1951" i="1" s="1"/>
  <c r="P1952" i="1" a="1"/>
  <c r="P1952" i="1"/>
  <c r="EP1952" i="1" s="1"/>
  <c r="P1953" i="1" a="1"/>
  <c r="P1953" i="1" s="1"/>
  <c r="EP1953" i="1" s="1"/>
  <c r="P1954" i="1" a="1"/>
  <c r="P1954" i="1" s="1"/>
  <c r="EP1954" i="1" s="1"/>
  <c r="P1955" i="1" a="1"/>
  <c r="P1955" i="1" s="1"/>
  <c r="EP1955" i="1" s="1"/>
  <c r="P1956" i="1" a="1"/>
  <c r="P1956" i="1"/>
  <c r="EP1956" i="1" s="1"/>
  <c r="P1957" i="1" a="1"/>
  <c r="P1957" i="1" s="1"/>
  <c r="EP1957" i="1" s="1"/>
  <c r="P1958" i="1" a="1"/>
  <c r="P1958" i="1" s="1"/>
  <c r="EP1958" i="1" s="1"/>
  <c r="P1959" i="1" a="1"/>
  <c r="P1959" i="1" s="1"/>
  <c r="EP1959" i="1" s="1"/>
  <c r="P1960" i="1" a="1"/>
  <c r="P1960" i="1"/>
  <c r="EP1960" i="1" s="1"/>
  <c r="P1961" i="1" a="1"/>
  <c r="P1961" i="1" s="1"/>
  <c r="EP1961" i="1" s="1"/>
  <c r="P1962" i="1" a="1"/>
  <c r="P1962" i="1" s="1"/>
  <c r="EP1962" i="1" s="1"/>
  <c r="P1963" i="1" a="1"/>
  <c r="P1963" i="1" s="1"/>
  <c r="EP1963" i="1" s="1"/>
  <c r="P1964" i="1" a="1"/>
  <c r="P1964" i="1"/>
  <c r="EP1964" i="1" s="1"/>
  <c r="P1965" i="1" a="1"/>
  <c r="P1965" i="1" s="1"/>
  <c r="EP1965" i="1" s="1"/>
  <c r="P1966" i="1" a="1"/>
  <c r="P1966" i="1" s="1"/>
  <c r="EP1966" i="1" s="1"/>
  <c r="P1967" i="1" a="1"/>
  <c r="P1967" i="1" s="1"/>
  <c r="EP1967" i="1" s="1"/>
  <c r="P1968" i="1" a="1"/>
  <c r="P1968" i="1"/>
  <c r="EP1968" i="1" s="1"/>
  <c r="P1969" i="1" a="1"/>
  <c r="P1969" i="1" s="1"/>
  <c r="EP1969" i="1" s="1"/>
  <c r="P1970" i="1" a="1"/>
  <c r="P1970" i="1" s="1"/>
  <c r="EP1970" i="1" s="1"/>
  <c r="P1971" i="1" a="1"/>
  <c r="P1971" i="1" s="1"/>
  <c r="EP1971" i="1" s="1"/>
  <c r="P1972" i="1" a="1"/>
  <c r="P1972" i="1"/>
  <c r="EP1972" i="1" s="1"/>
  <c r="P1973" i="1" a="1"/>
  <c r="P1973" i="1" s="1"/>
  <c r="EP1973" i="1" s="1"/>
  <c r="P1974" i="1" a="1"/>
  <c r="P1974" i="1" s="1"/>
  <c r="EP1974" i="1" s="1"/>
  <c r="P1975" i="1" a="1"/>
  <c r="P1975" i="1" s="1"/>
  <c r="EP1975" i="1" s="1"/>
  <c r="P1976" i="1" a="1"/>
  <c r="P1976" i="1"/>
  <c r="EP1976" i="1" s="1"/>
  <c r="P1977" i="1" a="1"/>
  <c r="P1977" i="1" s="1"/>
  <c r="EP1977" i="1" s="1"/>
  <c r="P1978" i="1" a="1"/>
  <c r="P1978" i="1" s="1"/>
  <c r="EP1978" i="1" s="1"/>
  <c r="P1979" i="1" a="1"/>
  <c r="P1979" i="1" s="1"/>
  <c r="EP1979" i="1" s="1"/>
  <c r="P1980" i="1" a="1"/>
  <c r="P1980" i="1"/>
  <c r="EP1980" i="1" s="1"/>
  <c r="P1981" i="1" a="1"/>
  <c r="P1981" i="1" s="1"/>
  <c r="EP1981" i="1" s="1"/>
  <c r="P1982" i="1" a="1"/>
  <c r="P1982" i="1" s="1"/>
  <c r="EP1982" i="1" s="1"/>
  <c r="P1983" i="1" a="1"/>
  <c r="P1983" i="1" s="1"/>
  <c r="EP1983" i="1" s="1"/>
  <c r="P1984" i="1" a="1"/>
  <c r="P1984" i="1"/>
  <c r="EP1984" i="1" s="1"/>
  <c r="P1985" i="1" a="1"/>
  <c r="P1985" i="1" s="1"/>
  <c r="EP1985" i="1" s="1"/>
  <c r="P1986" i="1" a="1"/>
  <c r="P1986" i="1" s="1"/>
  <c r="EP1986" i="1" s="1"/>
  <c r="P1987" i="1" a="1"/>
  <c r="P1987" i="1" s="1"/>
  <c r="EP1987" i="1" s="1"/>
  <c r="P1988" i="1" a="1"/>
  <c r="P1988" i="1"/>
  <c r="EP1988" i="1" s="1"/>
  <c r="P1989" i="1" a="1"/>
  <c r="P1989" i="1" s="1"/>
  <c r="EP1989" i="1" s="1"/>
  <c r="P1990" i="1" a="1"/>
  <c r="P1990" i="1" s="1"/>
  <c r="EP1990" i="1" s="1"/>
  <c r="P1991" i="1" a="1"/>
  <c r="P1991" i="1" s="1"/>
  <c r="EP1991" i="1" s="1"/>
  <c r="P1992" i="1" a="1"/>
  <c r="P1992" i="1"/>
  <c r="EP1992" i="1" s="1"/>
  <c r="P1993" i="1" a="1"/>
  <c r="P1993" i="1" s="1"/>
  <c r="EP1993" i="1" s="1"/>
  <c r="P1994" i="1" a="1"/>
  <c r="P1994" i="1" s="1"/>
  <c r="EP1994" i="1" s="1"/>
  <c r="P1995" i="1" a="1"/>
  <c r="P1995" i="1" s="1"/>
  <c r="EP1995" i="1" s="1"/>
  <c r="P1996" i="1" a="1"/>
  <c r="P1996" i="1"/>
  <c r="EP1996" i="1" s="1"/>
  <c r="P1997" i="1" a="1"/>
  <c r="P1997" i="1" s="1"/>
  <c r="EP1997" i="1" s="1"/>
  <c r="P1998" i="1" a="1"/>
  <c r="P1998" i="1" s="1"/>
  <c r="EP1998" i="1" s="1"/>
  <c r="P1999" i="1" a="1"/>
  <c r="P1999" i="1" s="1"/>
  <c r="EP1999" i="1" s="1"/>
  <c r="P2000" i="1" a="1"/>
  <c r="P2000" i="1"/>
  <c r="EP2000" i="1" s="1"/>
  <c r="P2001" i="1" a="1"/>
  <c r="P2001" i="1" s="1"/>
  <c r="EP2001" i="1" s="1"/>
  <c r="P2002" i="1" a="1"/>
  <c r="P2002" i="1" s="1"/>
  <c r="EP2002" i="1" s="1"/>
  <c r="P2003" i="1" a="1"/>
  <c r="P2003" i="1" s="1"/>
  <c r="EP2003" i="1" s="1"/>
  <c r="P2004" i="1" a="1"/>
  <c r="P2004" i="1"/>
  <c r="EP2004" i="1" s="1"/>
  <c r="P2005" i="1" a="1"/>
  <c r="P2005" i="1" s="1"/>
  <c r="EP2005" i="1" s="1"/>
  <c r="P2006" i="1" a="1"/>
  <c r="P2006" i="1" s="1"/>
  <c r="EP2006" i="1" s="1"/>
  <c r="P2007" i="1" a="1"/>
  <c r="P2007" i="1" s="1"/>
  <c r="EP2007" i="1" s="1"/>
  <c r="P2008" i="1" a="1"/>
  <c r="P2008" i="1"/>
  <c r="EP2008" i="1" s="1"/>
  <c r="P2009" i="1" a="1"/>
  <c r="P2009" i="1" s="1"/>
  <c r="EP2009" i="1" s="1"/>
  <c r="P2010" i="1" a="1"/>
  <c r="P2010" i="1" s="1"/>
  <c r="EP2010" i="1" s="1"/>
  <c r="P2011" i="1" a="1"/>
  <c r="P2011" i="1" s="1"/>
  <c r="EP2011" i="1" s="1"/>
  <c r="P2012" i="1" a="1"/>
  <c r="P2012" i="1"/>
  <c r="EP2012" i="1" s="1"/>
  <c r="P2013" i="1" a="1"/>
  <c r="P2013" i="1" s="1"/>
  <c r="EP2013" i="1" s="1"/>
  <c r="P2014" i="1" a="1"/>
  <c r="P2014" i="1" s="1"/>
  <c r="EP2014" i="1" s="1"/>
  <c r="P2015" i="1" a="1"/>
  <c r="P2015" i="1" s="1"/>
  <c r="EP2015" i="1" s="1"/>
  <c r="P2016" i="1" a="1"/>
  <c r="P2016" i="1"/>
  <c r="EP2016" i="1" s="1"/>
  <c r="P2017" i="1" a="1"/>
  <c r="P2017" i="1" s="1"/>
  <c r="EP2017" i="1" s="1"/>
  <c r="P2018" i="1" a="1"/>
  <c r="P2018" i="1" s="1"/>
  <c r="EP2018" i="1" s="1"/>
  <c r="P2019" i="1" a="1"/>
  <c r="P2019" i="1" s="1"/>
  <c r="EP2019" i="1" s="1"/>
  <c r="P2020" i="1" a="1"/>
  <c r="P2020" i="1"/>
  <c r="EP2020" i="1" s="1"/>
  <c r="P2021" i="1" a="1"/>
  <c r="P2021" i="1" s="1"/>
  <c r="EP2021" i="1" s="1"/>
  <c r="P2022" i="1" a="1"/>
  <c r="P2022" i="1" s="1"/>
  <c r="EP2022" i="1" s="1"/>
  <c r="P2023" i="1" a="1"/>
  <c r="P2023" i="1" s="1"/>
  <c r="EP2023" i="1" s="1"/>
  <c r="P2024" i="1" a="1"/>
  <c r="P2024" i="1"/>
  <c r="EP2024" i="1" s="1"/>
  <c r="P2025" i="1" a="1"/>
  <c r="P2025" i="1" s="1"/>
  <c r="EP2025" i="1" s="1"/>
  <c r="P2026" i="1" a="1"/>
  <c r="P2026" i="1" s="1"/>
  <c r="EP2026" i="1" s="1"/>
  <c r="P2027" i="1" a="1"/>
  <c r="P2027" i="1" s="1"/>
  <c r="EP2027" i="1" s="1"/>
  <c r="P2028" i="1" a="1"/>
  <c r="P2028" i="1"/>
  <c r="EP2028" i="1" s="1"/>
  <c r="P2029" i="1" a="1"/>
  <c r="P2029" i="1" s="1"/>
  <c r="EP2029" i="1" s="1"/>
  <c r="P2030" i="1" a="1"/>
  <c r="P2030" i="1" s="1"/>
  <c r="EP2030" i="1" s="1"/>
  <c r="P2031" i="1" a="1"/>
  <c r="P2031" i="1" s="1"/>
  <c r="EP2031" i="1" s="1"/>
  <c r="P2032" i="1" a="1"/>
  <c r="P2032" i="1"/>
  <c r="EP2032" i="1" s="1"/>
  <c r="P2033" i="1" a="1"/>
  <c r="P2033" i="1" s="1"/>
  <c r="EP2033" i="1" s="1"/>
  <c r="P2034" i="1" a="1"/>
  <c r="P2034" i="1" s="1"/>
  <c r="EP2034" i="1" s="1"/>
  <c r="P2035" i="1" a="1"/>
  <c r="P2035" i="1" s="1"/>
  <c r="EP2035" i="1" s="1"/>
  <c r="P2036" i="1" a="1"/>
  <c r="P2036" i="1"/>
  <c r="EP2036" i="1" s="1"/>
  <c r="P2037" i="1" a="1"/>
  <c r="P2037" i="1" s="1"/>
  <c r="EP2037" i="1" s="1"/>
  <c r="P2038" i="1" a="1"/>
  <c r="P2038" i="1" s="1"/>
  <c r="EP2038" i="1" s="1"/>
  <c r="P2039" i="1" a="1"/>
  <c r="P2039" i="1" s="1"/>
  <c r="EP2039" i="1" s="1"/>
  <c r="P2040" i="1" a="1"/>
  <c r="P2040" i="1"/>
  <c r="EP2040" i="1" s="1"/>
  <c r="P2041" i="1" a="1"/>
  <c r="P2041" i="1" s="1"/>
  <c r="EP2041" i="1" s="1"/>
  <c r="P2042" i="1" a="1"/>
  <c r="P2042" i="1" s="1"/>
  <c r="EP2042" i="1" s="1"/>
  <c r="P2043" i="1" a="1"/>
  <c r="P2043" i="1" s="1"/>
  <c r="EP2043" i="1" s="1"/>
  <c r="P2044" i="1" a="1"/>
  <c r="P2044" i="1"/>
  <c r="EP2044" i="1" s="1"/>
  <c r="P2045" i="1" a="1"/>
  <c r="P2045" i="1" s="1"/>
  <c r="EP2045" i="1" s="1"/>
  <c r="P2046" i="1" a="1"/>
  <c r="P2046" i="1" s="1"/>
  <c r="EP2046" i="1" s="1"/>
  <c r="P2047" i="1" a="1"/>
  <c r="P2047" i="1" s="1"/>
  <c r="EP2047" i="1" s="1"/>
  <c r="P2048" i="1" a="1"/>
  <c r="P2048" i="1"/>
  <c r="EP2048" i="1" s="1"/>
  <c r="P2049" i="1" a="1"/>
  <c r="P2049" i="1" s="1"/>
  <c r="EP2049" i="1" s="1"/>
  <c r="P2050" i="1" a="1"/>
  <c r="P2050" i="1" s="1"/>
  <c r="EP2050" i="1" s="1"/>
  <c r="P2051" i="1" a="1"/>
  <c r="P2051" i="1" s="1"/>
  <c r="EP2051" i="1" s="1"/>
  <c r="P2052" i="1" a="1"/>
  <c r="P2052" i="1"/>
  <c r="EP2052" i="1" s="1"/>
  <c r="P2053" i="1" a="1"/>
  <c r="P2053" i="1" s="1"/>
  <c r="EP2053" i="1" s="1"/>
  <c r="P2054" i="1" a="1"/>
  <c r="P2054" i="1" s="1"/>
  <c r="EP2054" i="1" s="1"/>
  <c r="P2055" i="1" a="1"/>
  <c r="P2055" i="1" s="1"/>
  <c r="EP2055" i="1" s="1"/>
  <c r="P2056" i="1" a="1"/>
  <c r="P2056" i="1"/>
  <c r="EP2056" i="1" s="1"/>
  <c r="P2057" i="1" a="1"/>
  <c r="P2057" i="1" s="1"/>
  <c r="EP2057" i="1" s="1"/>
  <c r="P2058" i="1" a="1"/>
  <c r="P2058" i="1" s="1"/>
  <c r="EP2058" i="1" s="1"/>
  <c r="P2059" i="1" a="1"/>
  <c r="P2059" i="1" s="1"/>
  <c r="EP2059" i="1" s="1"/>
  <c r="P2060" i="1" a="1"/>
  <c r="P2060" i="1"/>
  <c r="EP2060" i="1" s="1"/>
  <c r="P2061" i="1" a="1"/>
  <c r="P2061" i="1" s="1"/>
  <c r="EP2061" i="1" s="1"/>
  <c r="P2062" i="1" a="1"/>
  <c r="P2062" i="1" s="1"/>
  <c r="EP2062" i="1" s="1"/>
  <c r="P2063" i="1" a="1"/>
  <c r="P2063" i="1" s="1"/>
  <c r="EP2063" i="1" s="1"/>
  <c r="P2064" i="1" a="1"/>
  <c r="P2064" i="1"/>
  <c r="EP2064" i="1" s="1"/>
  <c r="P2065" i="1" a="1"/>
  <c r="P2065" i="1" s="1"/>
  <c r="EP2065" i="1" s="1"/>
  <c r="P2066" i="1" a="1"/>
  <c r="P2066" i="1" s="1"/>
  <c r="EP2066" i="1" s="1"/>
  <c r="P2067" i="1" a="1"/>
  <c r="P2067" i="1" s="1"/>
  <c r="EP2067" i="1" s="1"/>
  <c r="P2068" i="1" a="1"/>
  <c r="P2068" i="1"/>
  <c r="EP2068" i="1" s="1"/>
  <c r="P2069" i="1" a="1"/>
  <c r="P2069" i="1" s="1"/>
  <c r="EP2069" i="1" s="1"/>
  <c r="P2070" i="1" a="1"/>
  <c r="P2070" i="1" s="1"/>
  <c r="EP2070" i="1" s="1"/>
  <c r="P2071" i="1" a="1"/>
  <c r="P2071" i="1" s="1"/>
  <c r="EP2071" i="1" s="1"/>
  <c r="P2072" i="1" a="1"/>
  <c r="P2072" i="1"/>
  <c r="EP2072" i="1" s="1"/>
  <c r="P2073" i="1" a="1"/>
  <c r="P2073" i="1" s="1"/>
  <c r="EP2073" i="1" s="1"/>
  <c r="P2074" i="1" a="1"/>
  <c r="P2074" i="1" s="1"/>
  <c r="EP2074" i="1" s="1"/>
  <c r="P2075" i="1" a="1"/>
  <c r="P2075" i="1" s="1"/>
  <c r="EP2075" i="1" s="1"/>
  <c r="P2076" i="1" a="1"/>
  <c r="P2076" i="1"/>
  <c r="EP2076" i="1" s="1"/>
  <c r="P2077" i="1" a="1"/>
  <c r="P2077" i="1" s="1"/>
  <c r="EP2077" i="1" s="1"/>
  <c r="P2078" i="1" a="1"/>
  <c r="P2078" i="1" s="1"/>
  <c r="EP2078" i="1" s="1"/>
  <c r="P2079" i="1" a="1"/>
  <c r="P2079" i="1" s="1"/>
  <c r="EP2079" i="1" s="1"/>
  <c r="P2080" i="1" a="1"/>
  <c r="P2080" i="1"/>
  <c r="EP2080" i="1" s="1"/>
  <c r="P2081" i="1" a="1"/>
  <c r="P2081" i="1" s="1"/>
  <c r="EP2081" i="1" s="1"/>
  <c r="P2082" i="1" a="1"/>
  <c r="P2082" i="1" s="1"/>
  <c r="EP2082" i="1" s="1"/>
  <c r="P2083" i="1" a="1"/>
  <c r="P2083" i="1" s="1"/>
  <c r="EP2083" i="1" s="1"/>
  <c r="P2084" i="1" a="1"/>
  <c r="P2084" i="1"/>
  <c r="EP2084" i="1" s="1"/>
  <c r="P2085" i="1" a="1"/>
  <c r="P2085" i="1" s="1"/>
  <c r="EP2085" i="1" s="1"/>
  <c r="P2086" i="1" a="1"/>
  <c r="P2086" i="1" s="1"/>
  <c r="EP2086" i="1" s="1"/>
  <c r="P2087" i="1" a="1"/>
  <c r="P2087" i="1" s="1"/>
  <c r="EP2087" i="1" s="1"/>
  <c r="P2088" i="1" a="1"/>
  <c r="P2088" i="1"/>
  <c r="EP2088" i="1" s="1"/>
  <c r="P2089" i="1" a="1"/>
  <c r="P2089" i="1" s="1"/>
  <c r="EP2089" i="1" s="1"/>
  <c r="P2090" i="1" a="1"/>
  <c r="P2090" i="1" s="1"/>
  <c r="EP2090" i="1" s="1"/>
  <c r="P2091" i="1" a="1"/>
  <c r="P2091" i="1" s="1"/>
  <c r="EP2091" i="1" s="1"/>
  <c r="P2092" i="1" a="1"/>
  <c r="P2092" i="1"/>
  <c r="EP2092" i="1" s="1"/>
  <c r="P2093" i="1" a="1"/>
  <c r="P2093" i="1" s="1"/>
  <c r="EP2093" i="1" s="1"/>
  <c r="P2094" i="1" a="1"/>
  <c r="P2094" i="1" s="1"/>
  <c r="EP2094" i="1" s="1"/>
  <c r="P2095" i="1" a="1"/>
  <c r="P2095" i="1" s="1"/>
  <c r="EP2095" i="1" s="1"/>
  <c r="P2096" i="1" a="1"/>
  <c r="P2096" i="1"/>
  <c r="EP2096" i="1" s="1"/>
  <c r="P2097" i="1" a="1"/>
  <c r="P2097" i="1" s="1"/>
  <c r="EP2097" i="1" s="1"/>
  <c r="P2098" i="1" a="1"/>
  <c r="P2098" i="1" s="1"/>
  <c r="EP2098" i="1" s="1"/>
  <c r="P2099" i="1" a="1"/>
  <c r="P2099" i="1" s="1"/>
  <c r="EP2099" i="1" s="1"/>
  <c r="P2100" i="1" a="1"/>
  <c r="P2100" i="1"/>
  <c r="EP2100" i="1" s="1"/>
  <c r="P2101" i="1" a="1"/>
  <c r="P2101" i="1" s="1"/>
  <c r="EP2101" i="1" s="1"/>
  <c r="P2102" i="1" a="1"/>
  <c r="P2102" i="1" s="1"/>
  <c r="EP2102" i="1" s="1"/>
  <c r="P2103" i="1" a="1"/>
  <c r="P2103" i="1" s="1"/>
  <c r="EP2103" i="1" s="1"/>
  <c r="P2104" i="1" a="1"/>
  <c r="P2104" i="1"/>
  <c r="EP2104" i="1" s="1"/>
  <c r="P2105" i="1" a="1"/>
  <c r="P2105" i="1" s="1"/>
  <c r="EP2105" i="1" s="1"/>
  <c r="P2106" i="1" a="1"/>
  <c r="P2106" i="1" s="1"/>
  <c r="EP2106" i="1" s="1"/>
  <c r="P2107" i="1" a="1"/>
  <c r="P2107" i="1" s="1"/>
  <c r="EP2107" i="1" s="1"/>
  <c r="P2108" i="1" a="1"/>
  <c r="P2108" i="1"/>
  <c r="EP2108" i="1" s="1"/>
  <c r="P2109" i="1" a="1"/>
  <c r="P2109" i="1" s="1"/>
  <c r="EP2109" i="1" s="1"/>
  <c r="P2110" i="1" a="1"/>
  <c r="P2110" i="1" s="1"/>
  <c r="EP2110" i="1" s="1"/>
  <c r="P2111" i="1" a="1"/>
  <c r="P2111" i="1" s="1"/>
  <c r="EP2111" i="1" s="1"/>
  <c r="P2112" i="1" a="1"/>
  <c r="P2112" i="1"/>
  <c r="EP2112" i="1" s="1"/>
  <c r="P2113" i="1" a="1"/>
  <c r="P2113" i="1" s="1"/>
  <c r="EP2113" i="1" s="1"/>
  <c r="P2114" i="1" a="1"/>
  <c r="P2114" i="1" s="1"/>
  <c r="EP2114" i="1" s="1"/>
  <c r="P2115" i="1" a="1"/>
  <c r="P2115" i="1" s="1"/>
  <c r="EP2115" i="1" s="1"/>
  <c r="P2116" i="1" a="1"/>
  <c r="P2116" i="1"/>
  <c r="EP2116" i="1" s="1"/>
  <c r="P2117" i="1" a="1"/>
  <c r="P2117" i="1" s="1"/>
  <c r="EP2117" i="1" s="1"/>
  <c r="P2118" i="1" a="1"/>
  <c r="P2118" i="1" s="1"/>
  <c r="EP2118" i="1" s="1"/>
  <c r="P2119" i="1" a="1"/>
  <c r="P2119" i="1" s="1"/>
  <c r="EP2119" i="1" s="1"/>
  <c r="P2120" i="1" a="1"/>
  <c r="P2120" i="1"/>
  <c r="EP2120" i="1" s="1"/>
  <c r="P2121" i="1" a="1"/>
  <c r="P2121" i="1" s="1"/>
  <c r="EP2121" i="1" s="1"/>
  <c r="P2122" i="1" a="1"/>
  <c r="P2122" i="1" s="1"/>
  <c r="EP2122" i="1" s="1"/>
  <c r="P2123" i="1" a="1"/>
  <c r="P2123" i="1" s="1"/>
  <c r="EP2123" i="1" s="1"/>
  <c r="P2124" i="1" a="1"/>
  <c r="P2124" i="1"/>
  <c r="EP2124" i="1" s="1"/>
  <c r="P2125" i="1" a="1"/>
  <c r="P2125" i="1" s="1"/>
  <c r="EP2125" i="1" s="1"/>
  <c r="P2126" i="1" a="1"/>
  <c r="P2126" i="1" s="1"/>
  <c r="EP2126" i="1" s="1"/>
  <c r="P2127" i="1" a="1"/>
  <c r="P2127" i="1" s="1"/>
  <c r="EP2127" i="1" s="1"/>
  <c r="P2128" i="1" a="1"/>
  <c r="P2128" i="1"/>
  <c r="EP2128" i="1" s="1"/>
  <c r="P2129" i="1" a="1"/>
  <c r="P2129" i="1" s="1"/>
  <c r="EP2129" i="1" s="1"/>
  <c r="P2130" i="1" a="1"/>
  <c r="P2130" i="1" s="1"/>
  <c r="EP2130" i="1" s="1"/>
  <c r="P2131" i="1" a="1"/>
  <c r="P2131" i="1" s="1"/>
  <c r="EP2131" i="1" s="1"/>
  <c r="P2132" i="1" a="1"/>
  <c r="P2132" i="1"/>
  <c r="EP2132" i="1" s="1"/>
  <c r="P2133" i="1" a="1"/>
  <c r="P2133" i="1" s="1"/>
  <c r="EP2133" i="1" s="1"/>
  <c r="P2134" i="1" a="1"/>
  <c r="P2134" i="1" s="1"/>
  <c r="EP2134" i="1" s="1"/>
  <c r="P2135" i="1" a="1"/>
  <c r="P2135" i="1" s="1"/>
  <c r="EP2135" i="1" s="1"/>
  <c r="P2136" i="1" a="1"/>
  <c r="P2136" i="1"/>
  <c r="EP2136" i="1" s="1"/>
  <c r="P2137" i="1" a="1"/>
  <c r="P2137" i="1" s="1"/>
  <c r="EP2137" i="1" s="1"/>
  <c r="P2138" i="1" a="1"/>
  <c r="P2138" i="1" s="1"/>
  <c r="EP2138" i="1" s="1"/>
  <c r="P2139" i="1" a="1"/>
  <c r="P2139" i="1" s="1"/>
  <c r="EP2139" i="1" s="1"/>
  <c r="P2140" i="1" a="1"/>
  <c r="P2140" i="1"/>
  <c r="EP2140" i="1" s="1"/>
  <c r="P2141" i="1" a="1"/>
  <c r="P2141" i="1" s="1"/>
  <c r="EP2141" i="1" s="1"/>
  <c r="P2142" i="1" a="1"/>
  <c r="P2142" i="1" s="1"/>
  <c r="EP2142" i="1" s="1"/>
  <c r="P2143" i="1" a="1"/>
  <c r="P2143" i="1" s="1"/>
  <c r="EP2143" i="1" s="1"/>
  <c r="P2144" i="1" a="1"/>
  <c r="P2144" i="1"/>
  <c r="EP2144" i="1" s="1"/>
  <c r="P2145" i="1" a="1"/>
  <c r="P2145" i="1" s="1"/>
  <c r="EP2145" i="1" s="1"/>
  <c r="P2146" i="1" a="1"/>
  <c r="P2146" i="1" s="1"/>
  <c r="EP2146" i="1" s="1"/>
  <c r="P2147" i="1" a="1"/>
  <c r="P2147" i="1" s="1"/>
  <c r="EP2147" i="1" s="1"/>
  <c r="P2148" i="1" a="1"/>
  <c r="P2148" i="1"/>
  <c r="EP2148" i="1" s="1"/>
  <c r="P2149" i="1" a="1"/>
  <c r="P2149" i="1" s="1"/>
  <c r="EP2149" i="1" s="1"/>
  <c r="P2150" i="1" a="1"/>
  <c r="P2150" i="1" s="1"/>
  <c r="EP2150" i="1" s="1"/>
  <c r="P2151" i="1" a="1"/>
  <c r="P2151" i="1" s="1"/>
  <c r="EP2151" i="1" s="1"/>
  <c r="P2152" i="1" a="1"/>
  <c r="P2152" i="1"/>
  <c r="EP2152" i="1" s="1"/>
  <c r="P2153" i="1" a="1"/>
  <c r="P2153" i="1" s="1"/>
  <c r="EP2153" i="1" s="1"/>
  <c r="P2154" i="1" a="1"/>
  <c r="P2154" i="1" s="1"/>
  <c r="EP2154" i="1" s="1"/>
  <c r="P2155" i="1" a="1"/>
  <c r="P2155" i="1" s="1"/>
  <c r="EP2155" i="1" s="1"/>
  <c r="P2156" i="1" a="1"/>
  <c r="P2156" i="1"/>
  <c r="EP2156" i="1" s="1"/>
  <c r="P2157" i="1" a="1"/>
  <c r="P2157" i="1" s="1"/>
  <c r="EP2157" i="1" s="1"/>
  <c r="P2158" i="1" a="1"/>
  <c r="P2158" i="1" s="1"/>
  <c r="EP2158" i="1" s="1"/>
  <c r="P2159" i="1" a="1"/>
  <c r="P2159" i="1" s="1"/>
  <c r="EP2159" i="1" s="1"/>
  <c r="P2160" i="1" a="1"/>
  <c r="P2160" i="1"/>
  <c r="EP2160" i="1" s="1"/>
  <c r="P2161" i="1" a="1"/>
  <c r="P2161" i="1" s="1"/>
  <c r="EP2161" i="1" s="1"/>
  <c r="P2162" i="1" a="1"/>
  <c r="P2162" i="1" s="1"/>
  <c r="EP2162" i="1" s="1"/>
  <c r="P2163" i="1" a="1"/>
  <c r="P2163" i="1" s="1"/>
  <c r="EP2163" i="1" s="1"/>
  <c r="P2164" i="1" a="1"/>
  <c r="P2164" i="1"/>
  <c r="EP2164" i="1" s="1"/>
  <c r="P2165" i="1" a="1"/>
  <c r="P2165" i="1" s="1"/>
  <c r="EP2165" i="1" s="1"/>
  <c r="P2166" i="1" a="1"/>
  <c r="P2166" i="1" s="1"/>
  <c r="EP2166" i="1" s="1"/>
  <c r="P2167" i="1" a="1"/>
  <c r="P2167" i="1" s="1"/>
  <c r="EP2167" i="1" s="1"/>
  <c r="P2168" i="1" a="1"/>
  <c r="P2168" i="1"/>
  <c r="EP2168" i="1" s="1"/>
  <c r="P2169" i="1" a="1"/>
  <c r="P2169" i="1" s="1"/>
  <c r="EP2169" i="1" s="1"/>
  <c r="P2170" i="1" a="1"/>
  <c r="P2170" i="1" s="1"/>
  <c r="EP2170" i="1" s="1"/>
  <c r="P2171" i="1" a="1"/>
  <c r="P2171" i="1" s="1"/>
  <c r="EP2171" i="1" s="1"/>
  <c r="P2172" i="1" a="1"/>
  <c r="P2172" i="1"/>
  <c r="EP2172" i="1" s="1"/>
  <c r="P2173" i="1" a="1"/>
  <c r="P2173" i="1" s="1"/>
  <c r="EP2173" i="1" s="1"/>
  <c r="P2174" i="1" a="1"/>
  <c r="P2174" i="1" s="1"/>
  <c r="EP2174" i="1" s="1"/>
  <c r="P2175" i="1" a="1"/>
  <c r="P2175" i="1" s="1"/>
  <c r="EP2175" i="1" s="1"/>
  <c r="P2176" i="1" a="1"/>
  <c r="P2176" i="1"/>
  <c r="EP2176" i="1" s="1"/>
  <c r="P2177" i="1" a="1"/>
  <c r="P2177" i="1" s="1"/>
  <c r="EP2177" i="1" s="1"/>
  <c r="P2178" i="1" a="1"/>
  <c r="P2178" i="1" s="1"/>
  <c r="EP2178" i="1" s="1"/>
  <c r="P2179" i="1" a="1"/>
  <c r="P2179" i="1" s="1"/>
  <c r="EP2179" i="1" s="1"/>
  <c r="P2180" i="1" a="1"/>
  <c r="P2180" i="1"/>
  <c r="EP2180" i="1" s="1"/>
  <c r="P2181" i="1" a="1"/>
  <c r="P2181" i="1" s="1"/>
  <c r="EP2181" i="1" s="1"/>
  <c r="P2182" i="1" a="1"/>
  <c r="P2182" i="1" s="1"/>
  <c r="EP2182" i="1" s="1"/>
  <c r="P2183" i="1" a="1"/>
  <c r="P2183" i="1" s="1"/>
  <c r="EP2183" i="1" s="1"/>
  <c r="P2184" i="1" a="1"/>
  <c r="P2184" i="1"/>
  <c r="EP2184" i="1" s="1"/>
  <c r="P2185" i="1" a="1"/>
  <c r="P2185" i="1" s="1"/>
  <c r="EP2185" i="1" s="1"/>
  <c r="P2186" i="1" a="1"/>
  <c r="P2186" i="1" s="1"/>
  <c r="EP2186" i="1" s="1"/>
  <c r="P2187" i="1" a="1"/>
  <c r="P2187" i="1" s="1"/>
  <c r="EP2187" i="1" s="1"/>
  <c r="P2188" i="1" a="1"/>
  <c r="P2188" i="1"/>
  <c r="EP2188" i="1" s="1"/>
  <c r="P2189" i="1" a="1"/>
  <c r="P2189" i="1" s="1"/>
  <c r="EP2189" i="1" s="1"/>
  <c r="P2190" i="1" a="1"/>
  <c r="P2190" i="1" s="1"/>
  <c r="EP2190" i="1" s="1"/>
  <c r="P2191" i="1" a="1"/>
  <c r="P2191" i="1" s="1"/>
  <c r="EP2191" i="1" s="1"/>
  <c r="P2192" i="1" a="1"/>
  <c r="P2192" i="1"/>
  <c r="EP2192" i="1" s="1"/>
  <c r="P2193" i="1" a="1"/>
  <c r="P2193" i="1" s="1"/>
  <c r="EP2193" i="1" s="1"/>
  <c r="P2194" i="1" a="1"/>
  <c r="P2194" i="1" s="1"/>
  <c r="EP2194" i="1" s="1"/>
  <c r="P2195" i="1" a="1"/>
  <c r="P2195" i="1" s="1"/>
  <c r="EP2195" i="1" s="1"/>
  <c r="P2196" i="1" a="1"/>
  <c r="P2196" i="1"/>
  <c r="P2197" i="1" a="1"/>
  <c r="P2197" i="1" s="1"/>
  <c r="P2198" i="1" a="1"/>
  <c r="P2198" i="1" s="1"/>
  <c r="P2199" i="1" a="1"/>
  <c r="P2199" i="1" s="1"/>
  <c r="P2200" i="1" a="1"/>
  <c r="P2200" i="1"/>
  <c r="P2201" i="1" a="1"/>
  <c r="P2201" i="1" s="1"/>
  <c r="P4" i="1" a="1"/>
  <c r="P4" i="1" s="1"/>
  <c r="EP4" i="1" s="1"/>
  <c r="EN2001" i="1"/>
  <c r="EM2001" i="1"/>
  <c r="EH2001" i="1"/>
  <c r="EG2001" i="1"/>
  <c r="EN2000" i="1"/>
  <c r="EM2000" i="1"/>
  <c r="EH2000" i="1"/>
  <c r="EG2000" i="1"/>
  <c r="EN1999" i="1"/>
  <c r="EM1999" i="1"/>
  <c r="EH1999" i="1"/>
  <c r="EG1999" i="1"/>
  <c r="EN1998" i="1"/>
  <c r="EM1998" i="1"/>
  <c r="EH1998" i="1"/>
  <c r="EG1998" i="1"/>
  <c r="EN1997" i="1"/>
  <c r="EM1997" i="1"/>
  <c r="EH1997" i="1"/>
  <c r="EG1997" i="1"/>
  <c r="EN1996" i="1"/>
  <c r="EM1996" i="1"/>
  <c r="EH1996" i="1"/>
  <c r="EG1996" i="1"/>
  <c r="EN1995" i="1"/>
  <c r="EM1995" i="1"/>
  <c r="EH1995" i="1"/>
  <c r="EG1995" i="1"/>
  <c r="EN1994" i="1"/>
  <c r="EM1994" i="1"/>
  <c r="EH1994" i="1"/>
  <c r="EG1994" i="1"/>
  <c r="EN1993" i="1"/>
  <c r="EM1993" i="1"/>
  <c r="EH1993" i="1"/>
  <c r="EG1993" i="1"/>
  <c r="EN1992" i="1"/>
  <c r="EM1992" i="1"/>
  <c r="EH1992" i="1"/>
  <c r="EG1992" i="1"/>
  <c r="EN1991" i="1"/>
  <c r="EM1991" i="1"/>
  <c r="EH1991" i="1"/>
  <c r="EG1991" i="1"/>
  <c r="EN1990" i="1"/>
  <c r="EM1990" i="1"/>
  <c r="EH1990" i="1"/>
  <c r="EG1990" i="1"/>
  <c r="EN1989" i="1"/>
  <c r="EM1989" i="1"/>
  <c r="EH1989" i="1"/>
  <c r="EG1989" i="1"/>
  <c r="EN1988" i="1"/>
  <c r="EM1988" i="1"/>
  <c r="EH1988" i="1"/>
  <c r="EG1988" i="1"/>
  <c r="EN1987" i="1"/>
  <c r="EM1987" i="1"/>
  <c r="EH1987" i="1"/>
  <c r="EG1987" i="1"/>
  <c r="EN1986" i="1"/>
  <c r="EM1986" i="1"/>
  <c r="EH1986" i="1"/>
  <c r="EG1986" i="1"/>
  <c r="EN1985" i="1"/>
  <c r="EM1985" i="1"/>
  <c r="EH1985" i="1"/>
  <c r="EG1985" i="1"/>
  <c r="EN1984" i="1"/>
  <c r="EM1984" i="1"/>
  <c r="EH1984" i="1"/>
  <c r="EG1984" i="1"/>
  <c r="EN1983" i="1"/>
  <c r="EM1983" i="1"/>
  <c r="EH1983" i="1"/>
  <c r="EG1983" i="1"/>
  <c r="EN1982" i="1"/>
  <c r="EM1982" i="1"/>
  <c r="EH1982" i="1"/>
  <c r="EG1982" i="1"/>
  <c r="EN1981" i="1"/>
  <c r="EM1981" i="1"/>
  <c r="EH1981" i="1"/>
  <c r="EG1981" i="1"/>
  <c r="EN1980" i="1"/>
  <c r="EM1980" i="1"/>
  <c r="EH1980" i="1"/>
  <c r="EG1980" i="1"/>
  <c r="EN1979" i="1"/>
  <c r="EM1979" i="1"/>
  <c r="EH1979" i="1"/>
  <c r="EG1979" i="1"/>
  <c r="EN1978" i="1"/>
  <c r="EM1978" i="1"/>
  <c r="EH1978" i="1"/>
  <c r="EG1978" i="1"/>
  <c r="EN1977" i="1"/>
  <c r="EM1977" i="1"/>
  <c r="EH1977" i="1"/>
  <c r="EG1977" i="1"/>
  <c r="EN1976" i="1"/>
  <c r="EM1976" i="1"/>
  <c r="EH1976" i="1"/>
  <c r="EG1976" i="1"/>
  <c r="EN1975" i="1"/>
  <c r="EM1975" i="1"/>
  <c r="EH1975" i="1"/>
  <c r="EG1975" i="1"/>
  <c r="EN1974" i="1"/>
  <c r="EM1974" i="1"/>
  <c r="EH1974" i="1"/>
  <c r="EG1974" i="1"/>
  <c r="EN1973" i="1"/>
  <c r="EM1973" i="1"/>
  <c r="EH1973" i="1"/>
  <c r="EG1973" i="1"/>
  <c r="EN1972" i="1"/>
  <c r="EM1972" i="1"/>
  <c r="EH1972" i="1"/>
  <c r="EG1972" i="1"/>
  <c r="EN1971" i="1"/>
  <c r="EM1971" i="1"/>
  <c r="EH1971" i="1"/>
  <c r="EG1971" i="1"/>
  <c r="EN1970" i="1"/>
  <c r="EM1970" i="1"/>
  <c r="EH1970" i="1"/>
  <c r="EG1970" i="1"/>
  <c r="EN1969" i="1"/>
  <c r="EM1969" i="1"/>
  <c r="EH1969" i="1"/>
  <c r="EG1969" i="1"/>
  <c r="EN1968" i="1"/>
  <c r="EM1968" i="1"/>
  <c r="EH1968" i="1"/>
  <c r="EG1968" i="1"/>
  <c r="EN1967" i="1"/>
  <c r="EM1967" i="1"/>
  <c r="EH1967" i="1"/>
  <c r="EG1967" i="1"/>
  <c r="EN1966" i="1"/>
  <c r="EM1966" i="1"/>
  <c r="EH1966" i="1"/>
  <c r="EG1966" i="1"/>
  <c r="EN1965" i="1"/>
  <c r="EM1965" i="1"/>
  <c r="EH1965" i="1"/>
  <c r="EG1965" i="1"/>
  <c r="EN1964" i="1"/>
  <c r="EM1964" i="1"/>
  <c r="EH1964" i="1"/>
  <c r="EG1964" i="1"/>
  <c r="EN1963" i="1"/>
  <c r="EM1963" i="1"/>
  <c r="EH1963" i="1"/>
  <c r="EG1963" i="1"/>
  <c r="EN1962" i="1"/>
  <c r="EM1962" i="1"/>
  <c r="EH1962" i="1"/>
  <c r="EG1962" i="1"/>
  <c r="EN1961" i="1"/>
  <c r="EM1961" i="1"/>
  <c r="EH1961" i="1"/>
  <c r="EG1961" i="1"/>
  <c r="EN1960" i="1"/>
  <c r="EM1960" i="1"/>
  <c r="EH1960" i="1"/>
  <c r="EG1960" i="1"/>
  <c r="EN1959" i="1"/>
  <c r="EM1959" i="1"/>
  <c r="EH1959" i="1"/>
  <c r="EG1959" i="1"/>
  <c r="EN1958" i="1"/>
  <c r="EM1958" i="1"/>
  <c r="EH1958" i="1"/>
  <c r="EG1958" i="1"/>
  <c r="EN1957" i="1"/>
  <c r="EM1957" i="1"/>
  <c r="EH1957" i="1"/>
  <c r="EG1957" i="1"/>
  <c r="EN1956" i="1"/>
  <c r="EM1956" i="1"/>
  <c r="EH1956" i="1"/>
  <c r="EG1956" i="1"/>
  <c r="EN1955" i="1"/>
  <c r="EM1955" i="1"/>
  <c r="EH1955" i="1"/>
  <c r="EG1955" i="1"/>
  <c r="EN1954" i="1"/>
  <c r="EM1954" i="1"/>
  <c r="EH1954" i="1"/>
  <c r="EG1954" i="1"/>
  <c r="EN1953" i="1"/>
  <c r="EM1953" i="1"/>
  <c r="EH1953" i="1"/>
  <c r="EG1953" i="1"/>
  <c r="EN1952" i="1"/>
  <c r="EM1952" i="1"/>
  <c r="EH1952" i="1"/>
  <c r="EG1952" i="1"/>
  <c r="EN1951" i="1"/>
  <c r="EM1951" i="1"/>
  <c r="EH1951" i="1"/>
  <c r="EG1951" i="1"/>
  <c r="EN1950" i="1"/>
  <c r="EM1950" i="1"/>
  <c r="EH1950" i="1"/>
  <c r="EG1950" i="1"/>
  <c r="EN1949" i="1"/>
  <c r="EM1949" i="1"/>
  <c r="EH1949" i="1"/>
  <c r="EG1949" i="1"/>
  <c r="EN1948" i="1"/>
  <c r="EM1948" i="1"/>
  <c r="EH1948" i="1"/>
  <c r="EG1948" i="1"/>
  <c r="EN1947" i="1"/>
  <c r="EM1947" i="1"/>
  <c r="EH1947" i="1"/>
  <c r="EG1947" i="1"/>
  <c r="EN1946" i="1"/>
  <c r="EM1946" i="1"/>
  <c r="EH1946" i="1"/>
  <c r="EG1946" i="1"/>
  <c r="EN1945" i="1"/>
  <c r="EM1945" i="1"/>
  <c r="EH1945" i="1"/>
  <c r="EG1945" i="1"/>
  <c r="EN1944" i="1"/>
  <c r="EM1944" i="1"/>
  <c r="EH1944" i="1"/>
  <c r="EG1944" i="1"/>
  <c r="EN1943" i="1"/>
  <c r="EM1943" i="1"/>
  <c r="EH1943" i="1"/>
  <c r="EG1943" i="1"/>
  <c r="EN1942" i="1"/>
  <c r="EM1942" i="1"/>
  <c r="EH1942" i="1"/>
  <c r="EG1942" i="1"/>
  <c r="EN1941" i="1"/>
  <c r="EM1941" i="1"/>
  <c r="EH1941" i="1"/>
  <c r="EG1941" i="1"/>
  <c r="EN1940" i="1"/>
  <c r="EM1940" i="1"/>
  <c r="EH1940" i="1"/>
  <c r="EG1940" i="1"/>
  <c r="EN1939" i="1"/>
  <c r="EM1939" i="1"/>
  <c r="EH1939" i="1"/>
  <c r="EG1939" i="1"/>
  <c r="EN1938" i="1"/>
  <c r="EM1938" i="1"/>
  <c r="EH1938" i="1"/>
  <c r="EG1938" i="1"/>
  <c r="EN1937" i="1"/>
  <c r="EM1937" i="1"/>
  <c r="EH1937" i="1"/>
  <c r="EG1937" i="1"/>
  <c r="EN1936" i="1"/>
  <c r="EM1936" i="1"/>
  <c r="EH1936" i="1"/>
  <c r="EG1936" i="1"/>
  <c r="EN1935" i="1"/>
  <c r="EM1935" i="1"/>
  <c r="EH1935" i="1"/>
  <c r="EG1935" i="1"/>
  <c r="EN1934" i="1"/>
  <c r="EM1934" i="1"/>
  <c r="EH1934" i="1"/>
  <c r="EG1934" i="1"/>
  <c r="EN1933" i="1"/>
  <c r="EM1933" i="1"/>
  <c r="EH1933" i="1"/>
  <c r="EG1933" i="1"/>
  <c r="EN1932" i="1"/>
  <c r="EM1932" i="1"/>
  <c r="EH1932" i="1"/>
  <c r="EG1932" i="1"/>
  <c r="EN1931" i="1"/>
  <c r="EM1931" i="1"/>
  <c r="EH1931" i="1"/>
  <c r="EG1931" i="1"/>
  <c r="EN1930" i="1"/>
  <c r="EM1930" i="1"/>
  <c r="EH1930" i="1"/>
  <c r="EG1930" i="1"/>
  <c r="EN1929" i="1"/>
  <c r="EM1929" i="1"/>
  <c r="EH1929" i="1"/>
  <c r="EG1929" i="1"/>
  <c r="EN1928" i="1"/>
  <c r="EM1928" i="1"/>
  <c r="EH1928" i="1"/>
  <c r="EG1928" i="1"/>
  <c r="EN1927" i="1"/>
  <c r="EM1927" i="1"/>
  <c r="EH1927" i="1"/>
  <c r="EG1927" i="1"/>
  <c r="EN1926" i="1"/>
  <c r="EM1926" i="1"/>
  <c r="EH1926" i="1"/>
  <c r="EG1926" i="1"/>
  <c r="EN1925" i="1"/>
  <c r="EM1925" i="1"/>
  <c r="EH1925" i="1"/>
  <c r="EG1925" i="1"/>
  <c r="EN1924" i="1"/>
  <c r="EM1924" i="1"/>
  <c r="EH1924" i="1"/>
  <c r="EG1924" i="1"/>
  <c r="EN1923" i="1"/>
  <c r="EM1923" i="1"/>
  <c r="EH1923" i="1"/>
  <c r="EG1923" i="1"/>
  <c r="EN1922" i="1"/>
  <c r="EM1922" i="1"/>
  <c r="EH1922" i="1"/>
  <c r="EG1922" i="1"/>
  <c r="EN1921" i="1"/>
  <c r="EM1921" i="1"/>
  <c r="EH1921" i="1"/>
  <c r="EG1921" i="1"/>
  <c r="EN1920" i="1"/>
  <c r="EM1920" i="1"/>
  <c r="EH1920" i="1"/>
  <c r="EG1920" i="1"/>
  <c r="EN1919" i="1"/>
  <c r="EM1919" i="1"/>
  <c r="EH1919" i="1"/>
  <c r="EG1919" i="1"/>
  <c r="EN1918" i="1"/>
  <c r="EM1918" i="1"/>
  <c r="EH1918" i="1"/>
  <c r="EG1918" i="1"/>
  <c r="EN1917" i="1"/>
  <c r="EM1917" i="1"/>
  <c r="EH1917" i="1"/>
  <c r="EG1917" i="1"/>
  <c r="EN1916" i="1"/>
  <c r="EM1916" i="1"/>
  <c r="EH1916" i="1"/>
  <c r="EG1916" i="1"/>
  <c r="EN1915" i="1"/>
  <c r="EM1915" i="1"/>
  <c r="EH1915" i="1"/>
  <c r="EG1915" i="1"/>
  <c r="EN1914" i="1"/>
  <c r="EM1914" i="1"/>
  <c r="EH1914" i="1"/>
  <c r="EG1914" i="1"/>
  <c r="EN1913" i="1"/>
  <c r="EM1913" i="1"/>
  <c r="EH1913" i="1"/>
  <c r="EG1913" i="1"/>
  <c r="EN1912" i="1"/>
  <c r="EM1912" i="1"/>
  <c r="EH1912" i="1"/>
  <c r="EG1912" i="1"/>
  <c r="EN1911" i="1"/>
  <c r="EM1911" i="1"/>
  <c r="EH1911" i="1"/>
  <c r="EG1911" i="1"/>
  <c r="EN1910" i="1"/>
  <c r="EM1910" i="1"/>
  <c r="EH1910" i="1"/>
  <c r="EG1910" i="1"/>
  <c r="EN1909" i="1"/>
  <c r="EM1909" i="1"/>
  <c r="EH1909" i="1"/>
  <c r="EG1909" i="1"/>
  <c r="EN1908" i="1"/>
  <c r="EM1908" i="1"/>
  <c r="EH1908" i="1"/>
  <c r="EG1908" i="1"/>
  <c r="EN1907" i="1"/>
  <c r="EM1907" i="1"/>
  <c r="EH1907" i="1"/>
  <c r="EG1907" i="1"/>
  <c r="EN1906" i="1"/>
  <c r="EM1906" i="1"/>
  <c r="EH1906" i="1"/>
  <c r="EG1906" i="1"/>
  <c r="EN1905" i="1"/>
  <c r="EM1905" i="1"/>
  <c r="EH1905" i="1"/>
  <c r="EG1905" i="1"/>
  <c r="EN1904" i="1"/>
  <c r="EM1904" i="1"/>
  <c r="EH1904" i="1"/>
  <c r="EG1904" i="1"/>
  <c r="EN1903" i="1"/>
  <c r="EM1903" i="1"/>
  <c r="EH1903" i="1"/>
  <c r="EG1903" i="1"/>
  <c r="EN1902" i="1"/>
  <c r="EM1902" i="1"/>
  <c r="EH1902" i="1"/>
  <c r="EG1902" i="1"/>
  <c r="EN1901" i="1"/>
  <c r="EM1901" i="1"/>
  <c r="EH1901" i="1"/>
  <c r="EG1901" i="1"/>
  <c r="EN1900" i="1"/>
  <c r="EM1900" i="1"/>
  <c r="EH1900" i="1"/>
  <c r="EG1900" i="1"/>
  <c r="EN1899" i="1"/>
  <c r="EM1899" i="1"/>
  <c r="EH1899" i="1"/>
  <c r="EG1899" i="1"/>
  <c r="EN1898" i="1"/>
  <c r="EM1898" i="1"/>
  <c r="EH1898" i="1"/>
  <c r="EG1898" i="1"/>
  <c r="EN1897" i="1"/>
  <c r="EM1897" i="1"/>
  <c r="EH1897" i="1"/>
  <c r="EG1897" i="1"/>
  <c r="EN1896" i="1"/>
  <c r="EM1896" i="1"/>
  <c r="EH1896" i="1"/>
  <c r="EG1896" i="1"/>
  <c r="EN1895" i="1"/>
  <c r="EM1895" i="1"/>
  <c r="EH1895" i="1"/>
  <c r="EG1895" i="1"/>
  <c r="EN1894" i="1"/>
  <c r="EM1894" i="1"/>
  <c r="EH1894" i="1"/>
  <c r="EG1894" i="1"/>
  <c r="EN1893" i="1"/>
  <c r="EM1893" i="1"/>
  <c r="EH1893" i="1"/>
  <c r="EG1893" i="1"/>
  <c r="EN1892" i="1"/>
  <c r="EM1892" i="1"/>
  <c r="EH1892" i="1"/>
  <c r="EG1892" i="1"/>
  <c r="EN1891" i="1"/>
  <c r="EM1891" i="1"/>
  <c r="EH1891" i="1"/>
  <c r="EG1891" i="1"/>
  <c r="EN1890" i="1"/>
  <c r="EM1890" i="1"/>
  <c r="EH1890" i="1"/>
  <c r="EG1890" i="1"/>
  <c r="EN1889" i="1"/>
  <c r="EM1889" i="1"/>
  <c r="EH1889" i="1"/>
  <c r="EG1889" i="1"/>
  <c r="EN1888" i="1"/>
  <c r="EM1888" i="1"/>
  <c r="EH1888" i="1"/>
  <c r="EG1888" i="1"/>
  <c r="EN1887" i="1"/>
  <c r="EM1887" i="1"/>
  <c r="EH1887" i="1"/>
  <c r="EG1887" i="1"/>
  <c r="EN1886" i="1"/>
  <c r="EM1886" i="1"/>
  <c r="EH1886" i="1"/>
  <c r="EG1886" i="1"/>
  <c r="EN1885" i="1"/>
  <c r="EM1885" i="1"/>
  <c r="EH1885" i="1"/>
  <c r="EG1885" i="1"/>
  <c r="EN1884" i="1"/>
  <c r="EM1884" i="1"/>
  <c r="EH1884" i="1"/>
  <c r="EG1884" i="1"/>
  <c r="EN1883" i="1"/>
  <c r="EM1883" i="1"/>
  <c r="EH1883" i="1"/>
  <c r="EG1883" i="1"/>
  <c r="EN1882" i="1"/>
  <c r="EM1882" i="1"/>
  <c r="EH1882" i="1"/>
  <c r="EG1882" i="1"/>
  <c r="EN1881" i="1"/>
  <c r="EM1881" i="1"/>
  <c r="EH1881" i="1"/>
  <c r="EG1881" i="1"/>
  <c r="EN1880" i="1"/>
  <c r="EM1880" i="1"/>
  <c r="EH1880" i="1"/>
  <c r="EG1880" i="1"/>
  <c r="EN1879" i="1"/>
  <c r="EM1879" i="1"/>
  <c r="EH1879" i="1"/>
  <c r="EG1879" i="1"/>
  <c r="EN1878" i="1"/>
  <c r="EM1878" i="1"/>
  <c r="EH1878" i="1"/>
  <c r="EG1878" i="1"/>
  <c r="EN1877" i="1"/>
  <c r="EM1877" i="1"/>
  <c r="EH1877" i="1"/>
  <c r="EG1877" i="1"/>
  <c r="EN1876" i="1"/>
  <c r="EM1876" i="1"/>
  <c r="EH1876" i="1"/>
  <c r="EG1876" i="1"/>
  <c r="EN1875" i="1"/>
  <c r="EM1875" i="1"/>
  <c r="EH1875" i="1"/>
  <c r="EG1875" i="1"/>
  <c r="EN1874" i="1"/>
  <c r="EM1874" i="1"/>
  <c r="EH1874" i="1"/>
  <c r="EG1874" i="1"/>
  <c r="EN1873" i="1"/>
  <c r="EM1873" i="1"/>
  <c r="EH1873" i="1"/>
  <c r="EG1873" i="1"/>
  <c r="EN1872" i="1"/>
  <c r="EM1872" i="1"/>
  <c r="EH1872" i="1"/>
  <c r="EG1872" i="1"/>
  <c r="EN1871" i="1"/>
  <c r="EM1871" i="1"/>
  <c r="EH1871" i="1"/>
  <c r="EG1871" i="1"/>
  <c r="EN1870" i="1"/>
  <c r="EM1870" i="1"/>
  <c r="EH1870" i="1"/>
  <c r="EG1870" i="1"/>
  <c r="EN1869" i="1"/>
  <c r="EM1869" i="1"/>
  <c r="EH1869" i="1"/>
  <c r="EG1869" i="1"/>
  <c r="EN1868" i="1"/>
  <c r="EM1868" i="1"/>
  <c r="EH1868" i="1"/>
  <c r="EG1868" i="1"/>
  <c r="EN1867" i="1"/>
  <c r="EM1867" i="1"/>
  <c r="EH1867" i="1"/>
  <c r="EG1867" i="1"/>
  <c r="EN1866" i="1"/>
  <c r="EM1866" i="1"/>
  <c r="EH1866" i="1"/>
  <c r="EG1866" i="1"/>
  <c r="EN1865" i="1"/>
  <c r="EM1865" i="1"/>
  <c r="EH1865" i="1"/>
  <c r="EG1865" i="1"/>
  <c r="EN1864" i="1"/>
  <c r="EM1864" i="1"/>
  <c r="EH1864" i="1"/>
  <c r="EG1864" i="1"/>
  <c r="EN1863" i="1"/>
  <c r="EM1863" i="1"/>
  <c r="EH1863" i="1"/>
  <c r="EG1863" i="1"/>
  <c r="EN1862" i="1"/>
  <c r="EM1862" i="1"/>
  <c r="EH1862" i="1"/>
  <c r="EG1862" i="1"/>
  <c r="EN1861" i="1"/>
  <c r="EM1861" i="1"/>
  <c r="EH1861" i="1"/>
  <c r="EG1861" i="1"/>
  <c r="EN1860" i="1"/>
  <c r="EM1860" i="1"/>
  <c r="EH1860" i="1"/>
  <c r="EG1860" i="1"/>
  <c r="EN1859" i="1"/>
  <c r="EM1859" i="1"/>
  <c r="EH1859" i="1"/>
  <c r="EG1859" i="1"/>
  <c r="EN1858" i="1"/>
  <c r="EM1858" i="1"/>
  <c r="EH1858" i="1"/>
  <c r="EG1858" i="1"/>
  <c r="EN1857" i="1"/>
  <c r="EM1857" i="1"/>
  <c r="EH1857" i="1"/>
  <c r="EG1857" i="1"/>
  <c r="EN1856" i="1"/>
  <c r="EM1856" i="1"/>
  <c r="EH1856" i="1"/>
  <c r="EG1856" i="1"/>
  <c r="EN1855" i="1"/>
  <c r="EM1855" i="1"/>
  <c r="EH1855" i="1"/>
  <c r="EG1855" i="1"/>
  <c r="EN1854" i="1"/>
  <c r="EM1854" i="1"/>
  <c r="EH1854" i="1"/>
  <c r="EG1854" i="1"/>
  <c r="EN1853" i="1"/>
  <c r="EM1853" i="1"/>
  <c r="EH1853" i="1"/>
  <c r="EG1853" i="1"/>
  <c r="EN1852" i="1"/>
  <c r="EM1852" i="1"/>
  <c r="EH1852" i="1"/>
  <c r="EG1852" i="1"/>
  <c r="EN1851" i="1"/>
  <c r="EM1851" i="1"/>
  <c r="EH1851" i="1"/>
  <c r="EG1851" i="1"/>
  <c r="EN1850" i="1"/>
  <c r="EM1850" i="1"/>
  <c r="EH1850" i="1"/>
  <c r="EG1850" i="1"/>
  <c r="EN1849" i="1"/>
  <c r="EM1849" i="1"/>
  <c r="EH1849" i="1"/>
  <c r="EG1849" i="1"/>
  <c r="EN1848" i="1"/>
  <c r="EM1848" i="1"/>
  <c r="EH1848" i="1"/>
  <c r="EG1848" i="1"/>
  <c r="EN1847" i="1"/>
  <c r="EM1847" i="1"/>
  <c r="EH1847" i="1"/>
  <c r="EG1847" i="1"/>
  <c r="EN1846" i="1"/>
  <c r="EM1846" i="1"/>
  <c r="EH1846" i="1"/>
  <c r="EG1846" i="1"/>
  <c r="EN1845" i="1"/>
  <c r="EM1845" i="1"/>
  <c r="EH1845" i="1"/>
  <c r="EG1845" i="1"/>
  <c r="EN1844" i="1"/>
  <c r="EM1844" i="1"/>
  <c r="EH1844" i="1"/>
  <c r="EG1844" i="1"/>
  <c r="EN1843" i="1"/>
  <c r="EM1843" i="1"/>
  <c r="EH1843" i="1"/>
  <c r="EG1843" i="1"/>
  <c r="EN1842" i="1"/>
  <c r="EM1842" i="1"/>
  <c r="EH1842" i="1"/>
  <c r="EG1842" i="1"/>
  <c r="EN1841" i="1"/>
  <c r="EM1841" i="1"/>
  <c r="EH1841" i="1"/>
  <c r="EG1841" i="1"/>
  <c r="EN1840" i="1"/>
  <c r="EM1840" i="1"/>
  <c r="EH1840" i="1"/>
  <c r="EG1840" i="1"/>
  <c r="EN1839" i="1"/>
  <c r="EM1839" i="1"/>
  <c r="EH1839" i="1"/>
  <c r="EG1839" i="1"/>
  <c r="EN1838" i="1"/>
  <c r="EM1838" i="1"/>
  <c r="EH1838" i="1"/>
  <c r="EG1838" i="1"/>
  <c r="EN1837" i="1"/>
  <c r="EM1837" i="1"/>
  <c r="EH1837" i="1"/>
  <c r="EG1837" i="1"/>
  <c r="EN1836" i="1"/>
  <c r="EM1836" i="1"/>
  <c r="EH1836" i="1"/>
  <c r="EG1836" i="1"/>
  <c r="EN1835" i="1"/>
  <c r="EM1835" i="1"/>
  <c r="EH1835" i="1"/>
  <c r="EG1835" i="1"/>
  <c r="EN1834" i="1"/>
  <c r="EM1834" i="1"/>
  <c r="EH1834" i="1"/>
  <c r="EG1834" i="1"/>
  <c r="EN1833" i="1"/>
  <c r="EM1833" i="1"/>
  <c r="EH1833" i="1"/>
  <c r="EG1833" i="1"/>
  <c r="EN1832" i="1"/>
  <c r="EM1832" i="1"/>
  <c r="EH1832" i="1"/>
  <c r="EG1832" i="1"/>
  <c r="EN1831" i="1"/>
  <c r="EM1831" i="1"/>
  <c r="EH1831" i="1"/>
  <c r="EG1831" i="1"/>
  <c r="EN1830" i="1"/>
  <c r="EM1830" i="1"/>
  <c r="EH1830" i="1"/>
  <c r="EG1830" i="1"/>
  <c r="EN1829" i="1"/>
  <c r="EM1829" i="1"/>
  <c r="EH1829" i="1"/>
  <c r="EG1829" i="1"/>
  <c r="EN1828" i="1"/>
  <c r="EM1828" i="1"/>
  <c r="EH1828" i="1"/>
  <c r="EG1828" i="1"/>
  <c r="EN1827" i="1"/>
  <c r="EM1827" i="1"/>
  <c r="EH1827" i="1"/>
  <c r="EG1827" i="1"/>
  <c r="EN1826" i="1"/>
  <c r="EM1826" i="1"/>
  <c r="EH1826" i="1"/>
  <c r="EG1826" i="1"/>
  <c r="EN1825" i="1"/>
  <c r="EM1825" i="1"/>
  <c r="EH1825" i="1"/>
  <c r="EG1825" i="1"/>
  <c r="EN1824" i="1"/>
  <c r="EM1824" i="1"/>
  <c r="EH1824" i="1"/>
  <c r="EG1824" i="1"/>
  <c r="EN1823" i="1"/>
  <c r="EM1823" i="1"/>
  <c r="EH1823" i="1"/>
  <c r="EG1823" i="1"/>
  <c r="EN1822" i="1"/>
  <c r="EM1822" i="1"/>
  <c r="EH1822" i="1"/>
  <c r="EG1822" i="1"/>
  <c r="EN1821" i="1"/>
  <c r="EM1821" i="1"/>
  <c r="EH1821" i="1"/>
  <c r="EG1821" i="1"/>
  <c r="EN1820" i="1"/>
  <c r="EM1820" i="1"/>
  <c r="EH1820" i="1"/>
  <c r="EG1820" i="1"/>
  <c r="EN1819" i="1"/>
  <c r="EM1819" i="1"/>
  <c r="EH1819" i="1"/>
  <c r="EG1819" i="1"/>
  <c r="EN1818" i="1"/>
  <c r="EM1818" i="1"/>
  <c r="EH1818" i="1"/>
  <c r="EG1818" i="1"/>
  <c r="EN1817" i="1"/>
  <c r="EM1817" i="1"/>
  <c r="EH1817" i="1"/>
  <c r="EG1817" i="1"/>
  <c r="EN1816" i="1"/>
  <c r="EM1816" i="1"/>
  <c r="EH1816" i="1"/>
  <c r="EG1816" i="1"/>
  <c r="EN1815" i="1"/>
  <c r="EM1815" i="1"/>
  <c r="EH1815" i="1"/>
  <c r="EG1815" i="1"/>
  <c r="EN1814" i="1"/>
  <c r="EM1814" i="1"/>
  <c r="EH1814" i="1"/>
  <c r="EG1814" i="1"/>
  <c r="EN1813" i="1"/>
  <c r="EM1813" i="1"/>
  <c r="EH1813" i="1"/>
  <c r="EG1813" i="1"/>
  <c r="EN1812" i="1"/>
  <c r="EM1812" i="1"/>
  <c r="EH1812" i="1"/>
  <c r="EG1812" i="1"/>
  <c r="EN1811" i="1"/>
  <c r="EM1811" i="1"/>
  <c r="EH1811" i="1"/>
  <c r="EG1811" i="1"/>
  <c r="EN1810" i="1"/>
  <c r="EM1810" i="1"/>
  <c r="EH1810" i="1"/>
  <c r="EG1810" i="1"/>
  <c r="EN1809" i="1"/>
  <c r="EM1809" i="1"/>
  <c r="EH1809" i="1"/>
  <c r="EG1809" i="1"/>
  <c r="EN1808" i="1"/>
  <c r="EM1808" i="1"/>
  <c r="EH1808" i="1"/>
  <c r="EG1808" i="1"/>
  <c r="EN1807" i="1"/>
  <c r="EM1807" i="1"/>
  <c r="EH1807" i="1"/>
  <c r="EG1807" i="1"/>
  <c r="EN1806" i="1"/>
  <c r="EM1806" i="1"/>
  <c r="EH1806" i="1"/>
  <c r="EG1806" i="1"/>
  <c r="EN1805" i="1"/>
  <c r="EM1805" i="1"/>
  <c r="EH1805" i="1"/>
  <c r="EG1805" i="1"/>
  <c r="EN1804" i="1"/>
  <c r="EM1804" i="1"/>
  <c r="EH1804" i="1"/>
  <c r="EG1804" i="1"/>
  <c r="EN1803" i="1"/>
  <c r="EM1803" i="1"/>
  <c r="EH1803" i="1"/>
  <c r="EG1803" i="1"/>
  <c r="EN1802" i="1"/>
  <c r="EM1802" i="1"/>
  <c r="EH1802" i="1"/>
  <c r="EG1802" i="1"/>
  <c r="EN1801" i="1"/>
  <c r="EM1801" i="1"/>
  <c r="EH1801" i="1"/>
  <c r="EG1801" i="1"/>
  <c r="EN1800" i="1"/>
  <c r="EM1800" i="1"/>
  <c r="EH1800" i="1"/>
  <c r="EG1800" i="1"/>
  <c r="EN1799" i="1"/>
  <c r="EM1799" i="1"/>
  <c r="EH1799" i="1"/>
  <c r="EG1799" i="1"/>
  <c r="EN1798" i="1"/>
  <c r="EM1798" i="1"/>
  <c r="EH1798" i="1"/>
  <c r="EG1798" i="1"/>
  <c r="EN1797" i="1"/>
  <c r="EM1797" i="1"/>
  <c r="EH1797" i="1"/>
  <c r="EG1797" i="1"/>
  <c r="EN1796" i="1"/>
  <c r="EM1796" i="1"/>
  <c r="EH1796" i="1"/>
  <c r="EG1796" i="1"/>
  <c r="EN1795" i="1"/>
  <c r="EM1795" i="1"/>
  <c r="EH1795" i="1"/>
  <c r="EG1795" i="1"/>
  <c r="EN1794" i="1"/>
  <c r="EM1794" i="1"/>
  <c r="EH1794" i="1"/>
  <c r="EG1794" i="1"/>
  <c r="EN1793" i="1"/>
  <c r="EM1793" i="1"/>
  <c r="EH1793" i="1"/>
  <c r="EG1793" i="1"/>
  <c r="EN1792" i="1"/>
  <c r="EM1792" i="1"/>
  <c r="EH1792" i="1"/>
  <c r="EG1792" i="1"/>
  <c r="EN1791" i="1"/>
  <c r="EM1791" i="1"/>
  <c r="EH1791" i="1"/>
  <c r="EG1791" i="1"/>
  <c r="EN1790" i="1"/>
  <c r="EM1790" i="1"/>
  <c r="EH1790" i="1"/>
  <c r="EG1790" i="1"/>
  <c r="EN1789" i="1"/>
  <c r="EM1789" i="1"/>
  <c r="EH1789" i="1"/>
  <c r="EG1789" i="1"/>
  <c r="EN1788" i="1"/>
  <c r="EM1788" i="1"/>
  <c r="EH1788" i="1"/>
  <c r="EG1788" i="1"/>
  <c r="EN1787" i="1"/>
  <c r="EM1787" i="1"/>
  <c r="EH1787" i="1"/>
  <c r="EG1787" i="1"/>
  <c r="EN1786" i="1"/>
  <c r="EM1786" i="1"/>
  <c r="EH1786" i="1"/>
  <c r="EG1786" i="1"/>
  <c r="EN1785" i="1"/>
  <c r="EM1785" i="1"/>
  <c r="EH1785" i="1"/>
  <c r="EG1785" i="1"/>
  <c r="EN1784" i="1"/>
  <c r="EM1784" i="1"/>
  <c r="EH1784" i="1"/>
  <c r="EG1784" i="1"/>
  <c r="EN1783" i="1"/>
  <c r="EM1783" i="1"/>
  <c r="EH1783" i="1"/>
  <c r="EG1783" i="1"/>
  <c r="EN1782" i="1"/>
  <c r="EM1782" i="1"/>
  <c r="EH1782" i="1"/>
  <c r="EG1782" i="1"/>
  <c r="EN1781" i="1"/>
  <c r="EM1781" i="1"/>
  <c r="EH1781" i="1"/>
  <c r="EG1781" i="1"/>
  <c r="EN1780" i="1"/>
  <c r="EM1780" i="1"/>
  <c r="EH1780" i="1"/>
  <c r="EG1780" i="1"/>
  <c r="EN1779" i="1"/>
  <c r="EM1779" i="1"/>
  <c r="EH1779" i="1"/>
  <c r="EG1779" i="1"/>
  <c r="EN1778" i="1"/>
  <c r="EM1778" i="1"/>
  <c r="EH1778" i="1"/>
  <c r="EG1778" i="1"/>
  <c r="EN1777" i="1"/>
  <c r="EM1777" i="1"/>
  <c r="EH1777" i="1"/>
  <c r="EG1777" i="1"/>
  <c r="EN1776" i="1"/>
  <c r="EM1776" i="1"/>
  <c r="EH1776" i="1"/>
  <c r="EG1776" i="1"/>
  <c r="EN1775" i="1"/>
  <c r="EM1775" i="1"/>
  <c r="EH1775" i="1"/>
  <c r="EG1775" i="1"/>
  <c r="EN1774" i="1"/>
  <c r="EM1774" i="1"/>
  <c r="EH1774" i="1"/>
  <c r="EG1774" i="1"/>
  <c r="EN1773" i="1"/>
  <c r="EM1773" i="1"/>
  <c r="EH1773" i="1"/>
  <c r="EG1773" i="1"/>
  <c r="EN1772" i="1"/>
  <c r="EM1772" i="1"/>
  <c r="EH1772" i="1"/>
  <c r="EG1772" i="1"/>
  <c r="EN1771" i="1"/>
  <c r="EM1771" i="1"/>
  <c r="EH1771" i="1"/>
  <c r="EG1771" i="1"/>
  <c r="EN1770" i="1"/>
  <c r="EM1770" i="1"/>
  <c r="EH1770" i="1"/>
  <c r="EG1770" i="1"/>
  <c r="EN1769" i="1"/>
  <c r="EM1769" i="1"/>
  <c r="EH1769" i="1"/>
  <c r="EG1769" i="1"/>
  <c r="EN1768" i="1"/>
  <c r="EM1768" i="1"/>
  <c r="EH1768" i="1"/>
  <c r="EG1768" i="1"/>
  <c r="EN1767" i="1"/>
  <c r="EM1767" i="1"/>
  <c r="EH1767" i="1"/>
  <c r="EG1767" i="1"/>
  <c r="EN1766" i="1"/>
  <c r="EM1766" i="1"/>
  <c r="EH1766" i="1"/>
  <c r="EG1766" i="1"/>
  <c r="EN1765" i="1"/>
  <c r="EM1765" i="1"/>
  <c r="EH1765" i="1"/>
  <c r="EG1765" i="1"/>
  <c r="EN1764" i="1"/>
  <c r="EM1764" i="1"/>
  <c r="EH1764" i="1"/>
  <c r="EG1764" i="1"/>
  <c r="EN1763" i="1"/>
  <c r="EM1763" i="1"/>
  <c r="EH1763" i="1"/>
  <c r="EG1763" i="1"/>
  <c r="EN1762" i="1"/>
  <c r="EM1762" i="1"/>
  <c r="EH1762" i="1"/>
  <c r="EG1762" i="1"/>
  <c r="EN1761" i="1"/>
  <c r="EM1761" i="1"/>
  <c r="EH1761" i="1"/>
  <c r="EG1761" i="1"/>
  <c r="EN1760" i="1"/>
  <c r="EM1760" i="1"/>
  <c r="EH1760" i="1"/>
  <c r="EG1760" i="1"/>
  <c r="EN1759" i="1"/>
  <c r="EM1759" i="1"/>
  <c r="EH1759" i="1"/>
  <c r="EG1759" i="1"/>
  <c r="EN1758" i="1"/>
  <c r="EM1758" i="1"/>
  <c r="EH1758" i="1"/>
  <c r="EG1758" i="1"/>
  <c r="EN1757" i="1"/>
  <c r="EM1757" i="1"/>
  <c r="EH1757" i="1"/>
  <c r="EG1757" i="1"/>
  <c r="EN1756" i="1"/>
  <c r="EM1756" i="1"/>
  <c r="EH1756" i="1"/>
  <c r="EG1756" i="1"/>
  <c r="EN1755" i="1"/>
  <c r="EM1755" i="1"/>
  <c r="EH1755" i="1"/>
  <c r="EG1755" i="1"/>
  <c r="EN1754" i="1"/>
  <c r="EM1754" i="1"/>
  <c r="EH1754" i="1"/>
  <c r="EG1754" i="1"/>
  <c r="EN1753" i="1"/>
  <c r="EM1753" i="1"/>
  <c r="EH1753" i="1"/>
  <c r="EG1753" i="1"/>
  <c r="EN1752" i="1"/>
  <c r="EM1752" i="1"/>
  <c r="EH1752" i="1"/>
  <c r="EG1752" i="1"/>
  <c r="EN1751" i="1"/>
  <c r="EM1751" i="1"/>
  <c r="EH1751" i="1"/>
  <c r="EG1751" i="1"/>
  <c r="EN1750" i="1"/>
  <c r="EM1750" i="1"/>
  <c r="EH1750" i="1"/>
  <c r="EG1750" i="1"/>
  <c r="EN1749" i="1"/>
  <c r="EM1749" i="1"/>
  <c r="EH1749" i="1"/>
  <c r="EG1749" i="1"/>
  <c r="EN1748" i="1"/>
  <c r="EM1748" i="1"/>
  <c r="EH1748" i="1"/>
  <c r="EG1748" i="1"/>
  <c r="EN1747" i="1"/>
  <c r="EM1747" i="1"/>
  <c r="EH1747" i="1"/>
  <c r="EG1747" i="1"/>
  <c r="EN1746" i="1"/>
  <c r="EM1746" i="1"/>
  <c r="EH1746" i="1"/>
  <c r="EG1746" i="1"/>
  <c r="EN1745" i="1"/>
  <c r="EM1745" i="1"/>
  <c r="EH1745" i="1"/>
  <c r="EG1745" i="1"/>
  <c r="EN1744" i="1"/>
  <c r="EM1744" i="1"/>
  <c r="EH1744" i="1"/>
  <c r="EG1744" i="1"/>
  <c r="EN1743" i="1"/>
  <c r="EM1743" i="1"/>
  <c r="EH1743" i="1"/>
  <c r="EG1743" i="1"/>
  <c r="EN1742" i="1"/>
  <c r="EM1742" i="1"/>
  <c r="EH1742" i="1"/>
  <c r="EG1742" i="1"/>
  <c r="EN1741" i="1"/>
  <c r="EM1741" i="1"/>
  <c r="EH1741" i="1"/>
  <c r="EG1741" i="1"/>
  <c r="EN1740" i="1"/>
  <c r="EM1740" i="1"/>
  <c r="EH1740" i="1"/>
  <c r="EG1740" i="1"/>
  <c r="EN1739" i="1"/>
  <c r="EM1739" i="1"/>
  <c r="EH1739" i="1"/>
  <c r="EG1739" i="1"/>
  <c r="EN1738" i="1"/>
  <c r="EM1738" i="1"/>
  <c r="EH1738" i="1"/>
  <c r="EG1738" i="1"/>
  <c r="EN1737" i="1"/>
  <c r="EM1737" i="1"/>
  <c r="EH1737" i="1"/>
  <c r="EG1737" i="1"/>
  <c r="EN1736" i="1"/>
  <c r="EM1736" i="1"/>
  <c r="EH1736" i="1"/>
  <c r="EG1736" i="1"/>
  <c r="EN1735" i="1"/>
  <c r="EM1735" i="1"/>
  <c r="EH1735" i="1"/>
  <c r="EG1735" i="1"/>
  <c r="EN1734" i="1"/>
  <c r="EM1734" i="1"/>
  <c r="EH1734" i="1"/>
  <c r="EG1734" i="1"/>
  <c r="EN1733" i="1"/>
  <c r="EM1733" i="1"/>
  <c r="EH1733" i="1"/>
  <c r="EG1733" i="1"/>
  <c r="EN1732" i="1"/>
  <c r="EM1732" i="1"/>
  <c r="EH1732" i="1"/>
  <c r="EG1732" i="1"/>
  <c r="EN1731" i="1"/>
  <c r="EM1731" i="1"/>
  <c r="EH1731" i="1"/>
  <c r="EG1731" i="1"/>
  <c r="EN1730" i="1"/>
  <c r="EM1730" i="1"/>
  <c r="EH1730" i="1"/>
  <c r="EG1730" i="1"/>
  <c r="EN1729" i="1"/>
  <c r="EM1729" i="1"/>
  <c r="EH1729" i="1"/>
  <c r="EG1729" i="1"/>
  <c r="EN1728" i="1"/>
  <c r="EM1728" i="1"/>
  <c r="EH1728" i="1"/>
  <c r="EG1728" i="1"/>
  <c r="EN1727" i="1"/>
  <c r="EM1727" i="1"/>
  <c r="EH1727" i="1"/>
  <c r="EG1727" i="1"/>
  <c r="EN1726" i="1"/>
  <c r="EM1726" i="1"/>
  <c r="EH1726" i="1"/>
  <c r="EG1726" i="1"/>
  <c r="EN1725" i="1"/>
  <c r="EM1725" i="1"/>
  <c r="EH1725" i="1"/>
  <c r="EG1725" i="1"/>
  <c r="EN1724" i="1"/>
  <c r="EM1724" i="1"/>
  <c r="EH1724" i="1"/>
  <c r="EG1724" i="1"/>
  <c r="EN1723" i="1"/>
  <c r="EM1723" i="1"/>
  <c r="EH1723" i="1"/>
  <c r="EG1723" i="1"/>
  <c r="EN1722" i="1"/>
  <c r="EM1722" i="1"/>
  <c r="EH1722" i="1"/>
  <c r="EG1722" i="1"/>
  <c r="EN1721" i="1"/>
  <c r="EM1721" i="1"/>
  <c r="EH1721" i="1"/>
  <c r="EG1721" i="1"/>
  <c r="EN1720" i="1"/>
  <c r="EM1720" i="1"/>
  <c r="EH1720" i="1"/>
  <c r="EG1720" i="1"/>
  <c r="EN1719" i="1"/>
  <c r="EM1719" i="1"/>
  <c r="EH1719" i="1"/>
  <c r="EG1719" i="1"/>
  <c r="EN1718" i="1"/>
  <c r="EM1718" i="1"/>
  <c r="EH1718" i="1"/>
  <c r="EG1718" i="1"/>
  <c r="EN1717" i="1"/>
  <c r="EM1717" i="1"/>
  <c r="EH1717" i="1"/>
  <c r="EG1717" i="1"/>
  <c r="EN1716" i="1"/>
  <c r="EM1716" i="1"/>
  <c r="EH1716" i="1"/>
  <c r="EG1716" i="1"/>
  <c r="EN1715" i="1"/>
  <c r="EM1715" i="1"/>
  <c r="EH1715" i="1"/>
  <c r="EG1715" i="1"/>
  <c r="EN1714" i="1"/>
  <c r="EM1714" i="1"/>
  <c r="EH1714" i="1"/>
  <c r="EG1714" i="1"/>
  <c r="EN1713" i="1"/>
  <c r="EM1713" i="1"/>
  <c r="EH1713" i="1"/>
  <c r="EG1713" i="1"/>
  <c r="EN1712" i="1"/>
  <c r="EM1712" i="1"/>
  <c r="EH1712" i="1"/>
  <c r="EG1712" i="1"/>
  <c r="EN1711" i="1"/>
  <c r="EM1711" i="1"/>
  <c r="EH1711" i="1"/>
  <c r="EG1711" i="1"/>
  <c r="EN1710" i="1"/>
  <c r="EM1710" i="1"/>
  <c r="EH1710" i="1"/>
  <c r="EG1710" i="1"/>
  <c r="EN1709" i="1"/>
  <c r="EM1709" i="1"/>
  <c r="EH1709" i="1"/>
  <c r="EG1709" i="1"/>
  <c r="EN1708" i="1"/>
  <c r="EM1708" i="1"/>
  <c r="EH1708" i="1"/>
  <c r="EG1708" i="1"/>
  <c r="EN1707" i="1"/>
  <c r="EM1707" i="1"/>
  <c r="EH1707" i="1"/>
  <c r="EG1707" i="1"/>
  <c r="EN1706" i="1"/>
  <c r="EM1706" i="1"/>
  <c r="EH1706" i="1"/>
  <c r="EG1706" i="1"/>
  <c r="EN1705" i="1"/>
  <c r="EM1705" i="1"/>
  <c r="EH1705" i="1"/>
  <c r="EG1705" i="1"/>
  <c r="EN1704" i="1"/>
  <c r="EM1704" i="1"/>
  <c r="EH1704" i="1"/>
  <c r="EG1704" i="1"/>
  <c r="EN1703" i="1"/>
  <c r="EM1703" i="1"/>
  <c r="EH1703" i="1"/>
  <c r="EG1703" i="1"/>
  <c r="EN1702" i="1"/>
  <c r="EM1702" i="1"/>
  <c r="EH1702" i="1"/>
  <c r="EG1702" i="1"/>
  <c r="EN1701" i="1"/>
  <c r="EM1701" i="1"/>
  <c r="EH1701" i="1"/>
  <c r="EG1701" i="1"/>
  <c r="EN1700" i="1"/>
  <c r="EM1700" i="1"/>
  <c r="EH1700" i="1"/>
  <c r="EG1700" i="1"/>
  <c r="EN1699" i="1"/>
  <c r="EM1699" i="1"/>
  <c r="EH1699" i="1"/>
  <c r="EG1699" i="1"/>
  <c r="EN1698" i="1"/>
  <c r="EM1698" i="1"/>
  <c r="EH1698" i="1"/>
  <c r="EG1698" i="1"/>
  <c r="EN1697" i="1"/>
  <c r="EM1697" i="1"/>
  <c r="EH1697" i="1"/>
  <c r="EG1697" i="1"/>
  <c r="EN1696" i="1"/>
  <c r="EM1696" i="1"/>
  <c r="EH1696" i="1"/>
  <c r="EG1696" i="1"/>
  <c r="EN1695" i="1"/>
  <c r="EM1695" i="1"/>
  <c r="EH1695" i="1"/>
  <c r="EG1695" i="1"/>
  <c r="EN1694" i="1"/>
  <c r="EM1694" i="1"/>
  <c r="EH1694" i="1"/>
  <c r="EG1694" i="1"/>
  <c r="EN1693" i="1"/>
  <c r="EM1693" i="1"/>
  <c r="EH1693" i="1"/>
  <c r="EG1693" i="1"/>
  <c r="EN1692" i="1"/>
  <c r="EM1692" i="1"/>
  <c r="EH1692" i="1"/>
  <c r="EG1692" i="1"/>
  <c r="EN1691" i="1"/>
  <c r="EM1691" i="1"/>
  <c r="EH1691" i="1"/>
  <c r="EG1691" i="1"/>
  <c r="EN1690" i="1"/>
  <c r="EM1690" i="1"/>
  <c r="EH1690" i="1"/>
  <c r="EG1690" i="1"/>
  <c r="EN1689" i="1"/>
  <c r="EM1689" i="1"/>
  <c r="EH1689" i="1"/>
  <c r="EG1689" i="1"/>
  <c r="EN1688" i="1"/>
  <c r="EM1688" i="1"/>
  <c r="EH1688" i="1"/>
  <c r="EG1688" i="1"/>
  <c r="EN1687" i="1"/>
  <c r="EM1687" i="1"/>
  <c r="EH1687" i="1"/>
  <c r="EG1687" i="1"/>
  <c r="EN1686" i="1"/>
  <c r="EM1686" i="1"/>
  <c r="EH1686" i="1"/>
  <c r="EG1686" i="1"/>
  <c r="EN1685" i="1"/>
  <c r="EM1685" i="1"/>
  <c r="EH1685" i="1"/>
  <c r="EG1685" i="1"/>
  <c r="EN1684" i="1"/>
  <c r="EM1684" i="1"/>
  <c r="EH1684" i="1"/>
  <c r="EG1684" i="1"/>
  <c r="EN1683" i="1"/>
  <c r="EM1683" i="1"/>
  <c r="EH1683" i="1"/>
  <c r="EG1683" i="1"/>
  <c r="EN1682" i="1"/>
  <c r="EM1682" i="1"/>
  <c r="EH1682" i="1"/>
  <c r="EG1682" i="1"/>
  <c r="EN1681" i="1"/>
  <c r="EM1681" i="1"/>
  <c r="EH1681" i="1"/>
  <c r="EG1681" i="1"/>
  <c r="EN1680" i="1"/>
  <c r="EM1680" i="1"/>
  <c r="EH1680" i="1"/>
  <c r="EG1680" i="1"/>
  <c r="EN1679" i="1"/>
  <c r="EM1679" i="1"/>
  <c r="EH1679" i="1"/>
  <c r="EG1679" i="1"/>
  <c r="EN1678" i="1"/>
  <c r="EM1678" i="1"/>
  <c r="EH1678" i="1"/>
  <c r="EG1678" i="1"/>
  <c r="EN1677" i="1"/>
  <c r="EM1677" i="1"/>
  <c r="EH1677" i="1"/>
  <c r="EG1677" i="1"/>
  <c r="EN1676" i="1"/>
  <c r="EM1676" i="1"/>
  <c r="EH1676" i="1"/>
  <c r="EG1676" i="1"/>
  <c r="EN1675" i="1"/>
  <c r="EM1675" i="1"/>
  <c r="EH1675" i="1"/>
  <c r="EG1675" i="1"/>
  <c r="EN1674" i="1"/>
  <c r="EM1674" i="1"/>
  <c r="EH1674" i="1"/>
  <c r="EG1674" i="1"/>
  <c r="EN1673" i="1"/>
  <c r="EM1673" i="1"/>
  <c r="EH1673" i="1"/>
  <c r="EG1673" i="1"/>
  <c r="EN1672" i="1"/>
  <c r="EM1672" i="1"/>
  <c r="EH1672" i="1"/>
  <c r="EG1672" i="1"/>
  <c r="EN1671" i="1"/>
  <c r="EM1671" i="1"/>
  <c r="EH1671" i="1"/>
  <c r="EG1671" i="1"/>
  <c r="EN1670" i="1"/>
  <c r="EM1670" i="1"/>
  <c r="EH1670" i="1"/>
  <c r="EG1670" i="1"/>
  <c r="EN1669" i="1"/>
  <c r="EM1669" i="1"/>
  <c r="EH1669" i="1"/>
  <c r="EG1669" i="1"/>
  <c r="EN1668" i="1"/>
  <c r="EM1668" i="1"/>
  <c r="EH1668" i="1"/>
  <c r="EG1668" i="1"/>
  <c r="EN1667" i="1"/>
  <c r="EM1667" i="1"/>
  <c r="EH1667" i="1"/>
  <c r="EG1667" i="1"/>
  <c r="EN1666" i="1"/>
  <c r="EM1666" i="1"/>
  <c r="EH1666" i="1"/>
  <c r="EG1666" i="1"/>
  <c r="EN1665" i="1"/>
  <c r="EM1665" i="1"/>
  <c r="EH1665" i="1"/>
  <c r="EG1665" i="1"/>
  <c r="EN1664" i="1"/>
  <c r="EM1664" i="1"/>
  <c r="EH1664" i="1"/>
  <c r="EG1664" i="1"/>
  <c r="EN1663" i="1"/>
  <c r="EM1663" i="1"/>
  <c r="EH1663" i="1"/>
  <c r="EG1663" i="1"/>
  <c r="EN1662" i="1"/>
  <c r="EM1662" i="1"/>
  <c r="EH1662" i="1"/>
  <c r="EG1662" i="1"/>
  <c r="EN1661" i="1"/>
  <c r="EM1661" i="1"/>
  <c r="EH1661" i="1"/>
  <c r="EG1661" i="1"/>
  <c r="EN1660" i="1"/>
  <c r="EM1660" i="1"/>
  <c r="EH1660" i="1"/>
  <c r="EG1660" i="1"/>
  <c r="EN1659" i="1"/>
  <c r="EM1659" i="1"/>
  <c r="EH1659" i="1"/>
  <c r="EG1659" i="1"/>
  <c r="EN1658" i="1"/>
  <c r="EM1658" i="1"/>
  <c r="EH1658" i="1"/>
  <c r="EG1658" i="1"/>
  <c r="EN1657" i="1"/>
  <c r="EM1657" i="1"/>
  <c r="EH1657" i="1"/>
  <c r="EG1657" i="1"/>
  <c r="EN1656" i="1"/>
  <c r="EM1656" i="1"/>
  <c r="EH1656" i="1"/>
  <c r="EG1656" i="1"/>
  <c r="EN1655" i="1"/>
  <c r="EM1655" i="1"/>
  <c r="EH1655" i="1"/>
  <c r="EG1655" i="1"/>
  <c r="EN1654" i="1"/>
  <c r="EM1654" i="1"/>
  <c r="EH1654" i="1"/>
  <c r="EG1654" i="1"/>
  <c r="EN1653" i="1"/>
  <c r="EM1653" i="1"/>
  <c r="EH1653" i="1"/>
  <c r="EG1653" i="1"/>
  <c r="EN1652" i="1"/>
  <c r="EM1652" i="1"/>
  <c r="EH1652" i="1"/>
  <c r="EG1652" i="1"/>
  <c r="EN1651" i="1"/>
  <c r="EM1651" i="1"/>
  <c r="EH1651" i="1"/>
  <c r="EG1651" i="1"/>
  <c r="EN1650" i="1"/>
  <c r="EM1650" i="1"/>
  <c r="EH1650" i="1"/>
  <c r="EG1650" i="1"/>
  <c r="EN1649" i="1"/>
  <c r="EM1649" i="1"/>
  <c r="EH1649" i="1"/>
  <c r="EG1649" i="1"/>
  <c r="EN1648" i="1"/>
  <c r="EM1648" i="1"/>
  <c r="EH1648" i="1"/>
  <c r="EG1648" i="1"/>
  <c r="EN1647" i="1"/>
  <c r="EM1647" i="1"/>
  <c r="EH1647" i="1"/>
  <c r="EG1647" i="1"/>
  <c r="EN1646" i="1"/>
  <c r="EM1646" i="1"/>
  <c r="EH1646" i="1"/>
  <c r="EG1646" i="1"/>
  <c r="EN1645" i="1"/>
  <c r="EM1645" i="1"/>
  <c r="EH1645" i="1"/>
  <c r="EG1645" i="1"/>
  <c r="EN1644" i="1"/>
  <c r="EM1644" i="1"/>
  <c r="EH1644" i="1"/>
  <c r="EG1644" i="1"/>
  <c r="EN1643" i="1"/>
  <c r="EM1643" i="1"/>
  <c r="EH1643" i="1"/>
  <c r="EG1643" i="1"/>
  <c r="EN1642" i="1"/>
  <c r="EM1642" i="1"/>
  <c r="EH1642" i="1"/>
  <c r="EG1642" i="1"/>
  <c r="EN1641" i="1"/>
  <c r="EM1641" i="1"/>
  <c r="EH1641" i="1"/>
  <c r="EG1641" i="1"/>
  <c r="EN1640" i="1"/>
  <c r="EM1640" i="1"/>
  <c r="EH1640" i="1"/>
  <c r="EG1640" i="1"/>
  <c r="EN1639" i="1"/>
  <c r="EM1639" i="1"/>
  <c r="EH1639" i="1"/>
  <c r="EG1639" i="1"/>
  <c r="EN1638" i="1"/>
  <c r="EM1638" i="1"/>
  <c r="EH1638" i="1"/>
  <c r="EG1638" i="1"/>
  <c r="EN1637" i="1"/>
  <c r="EM1637" i="1"/>
  <c r="EH1637" i="1"/>
  <c r="EG1637" i="1"/>
  <c r="EN1636" i="1"/>
  <c r="EM1636" i="1"/>
  <c r="EH1636" i="1"/>
  <c r="EG1636" i="1"/>
  <c r="EN1635" i="1"/>
  <c r="EM1635" i="1"/>
  <c r="EH1635" i="1"/>
  <c r="EG1635" i="1"/>
  <c r="EN1634" i="1"/>
  <c r="EM1634" i="1"/>
  <c r="EH1634" i="1"/>
  <c r="EG1634" i="1"/>
  <c r="EN1633" i="1"/>
  <c r="EM1633" i="1"/>
  <c r="EH1633" i="1"/>
  <c r="EG1633" i="1"/>
  <c r="EN1632" i="1"/>
  <c r="EM1632" i="1"/>
  <c r="EH1632" i="1"/>
  <c r="EG1632" i="1"/>
  <c r="EN1631" i="1"/>
  <c r="EM1631" i="1"/>
  <c r="EH1631" i="1"/>
  <c r="EG1631" i="1"/>
  <c r="EN1630" i="1"/>
  <c r="EM1630" i="1"/>
  <c r="EH1630" i="1"/>
  <c r="EG1630" i="1"/>
  <c r="EN1629" i="1"/>
  <c r="EM1629" i="1"/>
  <c r="EH1629" i="1"/>
  <c r="EG1629" i="1"/>
  <c r="EN1628" i="1"/>
  <c r="EM1628" i="1"/>
  <c r="EH1628" i="1"/>
  <c r="EG1628" i="1"/>
  <c r="EN1627" i="1"/>
  <c r="EM1627" i="1"/>
  <c r="EH1627" i="1"/>
  <c r="EG1627" i="1"/>
  <c r="EN1626" i="1"/>
  <c r="EM1626" i="1"/>
  <c r="EH1626" i="1"/>
  <c r="EG1626" i="1"/>
  <c r="EN1625" i="1"/>
  <c r="EM1625" i="1"/>
  <c r="EH1625" i="1"/>
  <c r="EG1625" i="1"/>
  <c r="EN1624" i="1"/>
  <c r="EM1624" i="1"/>
  <c r="EH1624" i="1"/>
  <c r="EG1624" i="1"/>
  <c r="EN1623" i="1"/>
  <c r="EM1623" i="1"/>
  <c r="EH1623" i="1"/>
  <c r="EG1623" i="1"/>
  <c r="EN1622" i="1"/>
  <c r="EM1622" i="1"/>
  <c r="EH1622" i="1"/>
  <c r="EG1622" i="1"/>
  <c r="EN1621" i="1"/>
  <c r="EM1621" i="1"/>
  <c r="EH1621" i="1"/>
  <c r="EG1621" i="1"/>
  <c r="EN1620" i="1"/>
  <c r="EM1620" i="1"/>
  <c r="EH1620" i="1"/>
  <c r="EG1620" i="1"/>
  <c r="EN1619" i="1"/>
  <c r="EM1619" i="1"/>
  <c r="EH1619" i="1"/>
  <c r="EG1619" i="1"/>
  <c r="EN1618" i="1"/>
  <c r="EM1618" i="1"/>
  <c r="EH1618" i="1"/>
  <c r="EG1618" i="1"/>
  <c r="EN1617" i="1"/>
  <c r="EM1617" i="1"/>
  <c r="EH1617" i="1"/>
  <c r="EG1617" i="1"/>
  <c r="EN1616" i="1"/>
  <c r="EM1616" i="1"/>
  <c r="EH1616" i="1"/>
  <c r="EG1616" i="1"/>
  <c r="EN1615" i="1"/>
  <c r="EM1615" i="1"/>
  <c r="EH1615" i="1"/>
  <c r="EG1615" i="1"/>
  <c r="EN1614" i="1"/>
  <c r="EM1614" i="1"/>
  <c r="EH1614" i="1"/>
  <c r="EG1614" i="1"/>
  <c r="EN1613" i="1"/>
  <c r="EM1613" i="1"/>
  <c r="EH1613" i="1"/>
  <c r="EG1613" i="1"/>
  <c r="EN1612" i="1"/>
  <c r="EM1612" i="1"/>
  <c r="EH1612" i="1"/>
  <c r="EG1612" i="1"/>
  <c r="EN1611" i="1"/>
  <c r="EM1611" i="1"/>
  <c r="EH1611" i="1"/>
  <c r="EG1611" i="1"/>
  <c r="EN1610" i="1"/>
  <c r="EM1610" i="1"/>
  <c r="EH1610" i="1"/>
  <c r="EG1610" i="1"/>
  <c r="EN1609" i="1"/>
  <c r="EM1609" i="1"/>
  <c r="EH1609" i="1"/>
  <c r="EG1609" i="1"/>
  <c r="EN1608" i="1"/>
  <c r="EM1608" i="1"/>
  <c r="EH1608" i="1"/>
  <c r="EG1608" i="1"/>
  <c r="EN1607" i="1"/>
  <c r="EM1607" i="1"/>
  <c r="EH1607" i="1"/>
  <c r="EG1607" i="1"/>
  <c r="EN1606" i="1"/>
  <c r="EM1606" i="1"/>
  <c r="EH1606" i="1"/>
  <c r="EG1606" i="1"/>
  <c r="EN1605" i="1"/>
  <c r="EM1605" i="1"/>
  <c r="EH1605" i="1"/>
  <c r="EG1605" i="1"/>
  <c r="EN1604" i="1"/>
  <c r="EM1604" i="1"/>
  <c r="EH1604" i="1"/>
  <c r="EG1604" i="1"/>
  <c r="EN1603" i="1"/>
  <c r="EM1603" i="1"/>
  <c r="EH1603" i="1"/>
  <c r="EG1603" i="1"/>
  <c r="EN1602" i="1"/>
  <c r="EM1602" i="1"/>
  <c r="EH1602" i="1"/>
  <c r="EG1602" i="1"/>
  <c r="EN1601" i="1"/>
  <c r="EM1601" i="1"/>
  <c r="EH1601" i="1"/>
  <c r="EG1601" i="1"/>
  <c r="EN1600" i="1"/>
  <c r="EM1600" i="1"/>
  <c r="EH1600" i="1"/>
  <c r="EG1600" i="1"/>
  <c r="EN1599" i="1"/>
  <c r="EM1599" i="1"/>
  <c r="EH1599" i="1"/>
  <c r="EG1599" i="1"/>
  <c r="EN1598" i="1"/>
  <c r="EM1598" i="1"/>
  <c r="EH1598" i="1"/>
  <c r="EG1598" i="1"/>
  <c r="EN1597" i="1"/>
  <c r="EM1597" i="1"/>
  <c r="EH1597" i="1"/>
  <c r="EG1597" i="1"/>
  <c r="EN1596" i="1"/>
  <c r="EM1596" i="1"/>
  <c r="EH1596" i="1"/>
  <c r="EG1596" i="1"/>
  <c r="EN1595" i="1"/>
  <c r="EM1595" i="1"/>
  <c r="EH1595" i="1"/>
  <c r="EG1595" i="1"/>
  <c r="EN1594" i="1"/>
  <c r="EM1594" i="1"/>
  <c r="EH1594" i="1"/>
  <c r="EG1594" i="1"/>
  <c r="EN1593" i="1"/>
  <c r="EM1593" i="1"/>
  <c r="EH1593" i="1"/>
  <c r="EG1593" i="1"/>
  <c r="EN1592" i="1"/>
  <c r="EM1592" i="1"/>
  <c r="EH1592" i="1"/>
  <c r="EG1592" i="1"/>
  <c r="EN1591" i="1"/>
  <c r="EM1591" i="1"/>
  <c r="EH1591" i="1"/>
  <c r="EG1591" i="1"/>
  <c r="EN1590" i="1"/>
  <c r="EM1590" i="1"/>
  <c r="EH1590" i="1"/>
  <c r="EG1590" i="1"/>
  <c r="EN1589" i="1"/>
  <c r="EM1589" i="1"/>
  <c r="EH1589" i="1"/>
  <c r="EG1589" i="1"/>
  <c r="EN1588" i="1"/>
  <c r="EM1588" i="1"/>
  <c r="EH1588" i="1"/>
  <c r="EG1588" i="1"/>
  <c r="EN1587" i="1"/>
  <c r="EM1587" i="1"/>
  <c r="EH1587" i="1"/>
  <c r="EG1587" i="1"/>
  <c r="EN1586" i="1"/>
  <c r="EM1586" i="1"/>
  <c r="EH1586" i="1"/>
  <c r="EG1586" i="1"/>
  <c r="EN1585" i="1"/>
  <c r="EM1585" i="1"/>
  <c r="EH1585" i="1"/>
  <c r="EG1585" i="1"/>
  <c r="EN1584" i="1"/>
  <c r="EM1584" i="1"/>
  <c r="EH1584" i="1"/>
  <c r="EG1584" i="1"/>
  <c r="EN1583" i="1"/>
  <c r="EM1583" i="1"/>
  <c r="EH1583" i="1"/>
  <c r="EG1583" i="1"/>
  <c r="EN1582" i="1"/>
  <c r="EM1582" i="1"/>
  <c r="EH1582" i="1"/>
  <c r="EG1582" i="1"/>
  <c r="EN1581" i="1"/>
  <c r="EM1581" i="1"/>
  <c r="EH1581" i="1"/>
  <c r="EG1581" i="1"/>
  <c r="EN1580" i="1"/>
  <c r="EM1580" i="1"/>
  <c r="EH1580" i="1"/>
  <c r="EG1580" i="1"/>
  <c r="EN1579" i="1"/>
  <c r="EM1579" i="1"/>
  <c r="EH1579" i="1"/>
  <c r="EG1579" i="1"/>
  <c r="EN1578" i="1"/>
  <c r="EM1578" i="1"/>
  <c r="EH1578" i="1"/>
  <c r="EG1578" i="1"/>
  <c r="EN1577" i="1"/>
  <c r="EM1577" i="1"/>
  <c r="EH1577" i="1"/>
  <c r="EG1577" i="1"/>
  <c r="EN1576" i="1"/>
  <c r="EM1576" i="1"/>
  <c r="EH1576" i="1"/>
  <c r="EG1576" i="1"/>
  <c r="EN1575" i="1"/>
  <c r="EM1575" i="1"/>
  <c r="EH1575" i="1"/>
  <c r="EG1575" i="1"/>
  <c r="EN1574" i="1"/>
  <c r="EM1574" i="1"/>
  <c r="EH1574" i="1"/>
  <c r="EG1574" i="1"/>
  <c r="EN1573" i="1"/>
  <c r="EM1573" i="1"/>
  <c r="EH1573" i="1"/>
  <c r="EG1573" i="1"/>
  <c r="EN1572" i="1"/>
  <c r="EM1572" i="1"/>
  <c r="EH1572" i="1"/>
  <c r="EG1572" i="1"/>
  <c r="EN1571" i="1"/>
  <c r="EM1571" i="1"/>
  <c r="EH1571" i="1"/>
  <c r="EG1571" i="1"/>
  <c r="EN1570" i="1"/>
  <c r="EM1570" i="1"/>
  <c r="EH1570" i="1"/>
  <c r="EG1570" i="1"/>
  <c r="EN1569" i="1"/>
  <c r="EM1569" i="1"/>
  <c r="EH1569" i="1"/>
  <c r="EG1569" i="1"/>
  <c r="EN1568" i="1"/>
  <c r="EM1568" i="1"/>
  <c r="EH1568" i="1"/>
  <c r="EG1568" i="1"/>
  <c r="EN1567" i="1"/>
  <c r="EM1567" i="1"/>
  <c r="EH1567" i="1"/>
  <c r="EG1567" i="1"/>
  <c r="EN1566" i="1"/>
  <c r="EM1566" i="1"/>
  <c r="EH1566" i="1"/>
  <c r="EG1566" i="1"/>
  <c r="EN1565" i="1"/>
  <c r="EM1565" i="1"/>
  <c r="EH1565" i="1"/>
  <c r="EG1565" i="1"/>
  <c r="EN1564" i="1"/>
  <c r="EM1564" i="1"/>
  <c r="EH1564" i="1"/>
  <c r="EG1564" i="1"/>
  <c r="EN1563" i="1"/>
  <c r="EM1563" i="1"/>
  <c r="EH1563" i="1"/>
  <c r="EG1563" i="1"/>
  <c r="EN1562" i="1"/>
  <c r="EM1562" i="1"/>
  <c r="EH1562" i="1"/>
  <c r="EG1562" i="1"/>
  <c r="EN1561" i="1"/>
  <c r="EM1561" i="1"/>
  <c r="EH1561" i="1"/>
  <c r="EG1561" i="1"/>
  <c r="EN1560" i="1"/>
  <c r="EM1560" i="1"/>
  <c r="EH1560" i="1"/>
  <c r="EG1560" i="1"/>
  <c r="EN1559" i="1"/>
  <c r="EM1559" i="1"/>
  <c r="EH1559" i="1"/>
  <c r="EG1559" i="1"/>
  <c r="EN1558" i="1"/>
  <c r="EM1558" i="1"/>
  <c r="EH1558" i="1"/>
  <c r="EG1558" i="1"/>
  <c r="EN1557" i="1"/>
  <c r="EM1557" i="1"/>
  <c r="EH1557" i="1"/>
  <c r="EG1557" i="1"/>
  <c r="EN1556" i="1"/>
  <c r="EM1556" i="1"/>
  <c r="EH1556" i="1"/>
  <c r="EG1556" i="1"/>
  <c r="EN1555" i="1"/>
  <c r="EM1555" i="1"/>
  <c r="EH1555" i="1"/>
  <c r="EG1555" i="1"/>
  <c r="EN1554" i="1"/>
  <c r="EM1554" i="1"/>
  <c r="EH1554" i="1"/>
  <c r="EG1554" i="1"/>
  <c r="EN1553" i="1"/>
  <c r="EM1553" i="1"/>
  <c r="EH1553" i="1"/>
  <c r="EG1553" i="1"/>
  <c r="EN1552" i="1"/>
  <c r="EM1552" i="1"/>
  <c r="EH1552" i="1"/>
  <c r="EG1552" i="1"/>
  <c r="EN1551" i="1"/>
  <c r="EM1551" i="1"/>
  <c r="EH1551" i="1"/>
  <c r="EG1551" i="1"/>
  <c r="EN1550" i="1"/>
  <c r="EM1550" i="1"/>
  <c r="EH1550" i="1"/>
  <c r="EG1550" i="1"/>
  <c r="EN1549" i="1"/>
  <c r="EM1549" i="1"/>
  <c r="EH1549" i="1"/>
  <c r="EG1549" i="1"/>
  <c r="EN1548" i="1"/>
  <c r="EM1548" i="1"/>
  <c r="EH1548" i="1"/>
  <c r="EG1548" i="1"/>
  <c r="EN1547" i="1"/>
  <c r="EM1547" i="1"/>
  <c r="EH1547" i="1"/>
  <c r="EG1547" i="1"/>
  <c r="EN1546" i="1"/>
  <c r="EM1546" i="1"/>
  <c r="EH1546" i="1"/>
  <c r="EG1546" i="1"/>
  <c r="EN1545" i="1"/>
  <c r="EM1545" i="1"/>
  <c r="EH1545" i="1"/>
  <c r="EG1545" i="1"/>
  <c r="EN1544" i="1"/>
  <c r="EM1544" i="1"/>
  <c r="EH1544" i="1"/>
  <c r="EG1544" i="1"/>
  <c r="EN1543" i="1"/>
  <c r="EM1543" i="1"/>
  <c r="EH1543" i="1"/>
  <c r="EG1543" i="1"/>
  <c r="EN1542" i="1"/>
  <c r="EM1542" i="1"/>
  <c r="EH1542" i="1"/>
  <c r="EG1542" i="1"/>
  <c r="EN1541" i="1"/>
  <c r="EM1541" i="1"/>
  <c r="EH1541" i="1"/>
  <c r="EG1541" i="1"/>
  <c r="EN1540" i="1"/>
  <c r="EM1540" i="1"/>
  <c r="EH1540" i="1"/>
  <c r="EG1540" i="1"/>
  <c r="EN1539" i="1"/>
  <c r="EM1539" i="1"/>
  <c r="EH1539" i="1"/>
  <c r="EG1539" i="1"/>
  <c r="EN1538" i="1"/>
  <c r="EM1538" i="1"/>
  <c r="EH1538" i="1"/>
  <c r="EG1538" i="1"/>
  <c r="EN1537" i="1"/>
  <c r="EM1537" i="1"/>
  <c r="EH1537" i="1"/>
  <c r="EG1537" i="1"/>
  <c r="EN1536" i="1"/>
  <c r="EM1536" i="1"/>
  <c r="EH1536" i="1"/>
  <c r="EG1536" i="1"/>
  <c r="EN1535" i="1"/>
  <c r="EM1535" i="1"/>
  <c r="EH1535" i="1"/>
  <c r="EG1535" i="1"/>
  <c r="EN1534" i="1"/>
  <c r="EM1534" i="1"/>
  <c r="EH1534" i="1"/>
  <c r="EG1534" i="1"/>
  <c r="EN1533" i="1"/>
  <c r="EM1533" i="1"/>
  <c r="EH1533" i="1"/>
  <c r="EG1533" i="1"/>
  <c r="EN1532" i="1"/>
  <c r="EM1532" i="1"/>
  <c r="EH1532" i="1"/>
  <c r="EG1532" i="1"/>
  <c r="EN1531" i="1"/>
  <c r="EM1531" i="1"/>
  <c r="EH1531" i="1"/>
  <c r="EG1531" i="1"/>
  <c r="EN1530" i="1"/>
  <c r="EM1530" i="1"/>
  <c r="EH1530" i="1"/>
  <c r="EG1530" i="1"/>
  <c r="EN1529" i="1"/>
  <c r="EM1529" i="1"/>
  <c r="EH1529" i="1"/>
  <c r="EG1529" i="1"/>
  <c r="EN1528" i="1"/>
  <c r="EM1528" i="1"/>
  <c r="EH1528" i="1"/>
  <c r="EG1528" i="1"/>
  <c r="EN1527" i="1"/>
  <c r="EM1527" i="1"/>
  <c r="EH1527" i="1"/>
  <c r="EG1527" i="1"/>
  <c r="EN1526" i="1"/>
  <c r="EM1526" i="1"/>
  <c r="EH1526" i="1"/>
  <c r="EG1526" i="1"/>
  <c r="EN1525" i="1"/>
  <c r="EM1525" i="1"/>
  <c r="EH1525" i="1"/>
  <c r="EG1525" i="1"/>
  <c r="EN1524" i="1"/>
  <c r="EM1524" i="1"/>
  <c r="EH1524" i="1"/>
  <c r="EG1524" i="1"/>
  <c r="EN1523" i="1"/>
  <c r="EM1523" i="1"/>
  <c r="EH1523" i="1"/>
  <c r="EG1523" i="1"/>
  <c r="EN1522" i="1"/>
  <c r="EM1522" i="1"/>
  <c r="EH1522" i="1"/>
  <c r="EG1522" i="1"/>
  <c r="EN1521" i="1"/>
  <c r="EM1521" i="1"/>
  <c r="EH1521" i="1"/>
  <c r="EG1521" i="1"/>
  <c r="EN1520" i="1"/>
  <c r="EM1520" i="1"/>
  <c r="EH1520" i="1"/>
  <c r="EG1520" i="1"/>
  <c r="EN1519" i="1"/>
  <c r="EM1519" i="1"/>
  <c r="EH1519" i="1"/>
  <c r="EG1519" i="1"/>
  <c r="EN1518" i="1"/>
  <c r="EM1518" i="1"/>
  <c r="EH1518" i="1"/>
  <c r="EG1518" i="1"/>
  <c r="EN1517" i="1"/>
  <c r="EM1517" i="1"/>
  <c r="EH1517" i="1"/>
  <c r="EG1517" i="1"/>
  <c r="EN1516" i="1"/>
  <c r="EM1516" i="1"/>
  <c r="EH1516" i="1"/>
  <c r="EG1516" i="1"/>
  <c r="EN1515" i="1"/>
  <c r="EM1515" i="1"/>
  <c r="EH1515" i="1"/>
  <c r="EG1515" i="1"/>
  <c r="EN1514" i="1"/>
  <c r="EM1514" i="1"/>
  <c r="EH1514" i="1"/>
  <c r="EG1514" i="1"/>
  <c r="EN1513" i="1"/>
  <c r="EM1513" i="1"/>
  <c r="EH1513" i="1"/>
  <c r="EG1513" i="1"/>
  <c r="EN1512" i="1"/>
  <c r="EM1512" i="1"/>
  <c r="EH1512" i="1"/>
  <c r="EG1512" i="1"/>
  <c r="EN1511" i="1"/>
  <c r="EM1511" i="1"/>
  <c r="EH1511" i="1"/>
  <c r="EG1511" i="1"/>
  <c r="EN1510" i="1"/>
  <c r="EM1510" i="1"/>
  <c r="EH1510" i="1"/>
  <c r="EG1510" i="1"/>
  <c r="EN1509" i="1"/>
  <c r="EM1509" i="1"/>
  <c r="EH1509" i="1"/>
  <c r="EG1509" i="1"/>
  <c r="EN1508" i="1"/>
  <c r="EM1508" i="1"/>
  <c r="EH1508" i="1"/>
  <c r="EG1508" i="1"/>
  <c r="EN1507" i="1"/>
  <c r="EM1507" i="1"/>
  <c r="EH1507" i="1"/>
  <c r="EG1507" i="1"/>
  <c r="EN1506" i="1"/>
  <c r="EM1506" i="1"/>
  <c r="EH1506" i="1"/>
  <c r="EG1506" i="1"/>
  <c r="EN1505" i="1"/>
  <c r="EM1505" i="1"/>
  <c r="EH1505" i="1"/>
  <c r="EG1505" i="1"/>
  <c r="EN1504" i="1"/>
  <c r="EM1504" i="1"/>
  <c r="EH1504" i="1"/>
  <c r="EG1504" i="1"/>
  <c r="EN1503" i="1"/>
  <c r="EM1503" i="1"/>
  <c r="EH1503" i="1"/>
  <c r="EG1503" i="1"/>
  <c r="EN1502" i="1"/>
  <c r="EM1502" i="1"/>
  <c r="EH1502" i="1"/>
  <c r="EG1502" i="1"/>
  <c r="EN1501" i="1"/>
  <c r="EM1501" i="1"/>
  <c r="EH1501" i="1"/>
  <c r="EG1501" i="1"/>
  <c r="EN1500" i="1"/>
  <c r="EM1500" i="1"/>
  <c r="EH1500" i="1"/>
  <c r="EG1500" i="1"/>
  <c r="EN1499" i="1"/>
  <c r="EM1499" i="1"/>
  <c r="EH1499" i="1"/>
  <c r="EG1499" i="1"/>
  <c r="EN1498" i="1"/>
  <c r="EM1498" i="1"/>
  <c r="EH1498" i="1"/>
  <c r="EG1498" i="1"/>
  <c r="EN1497" i="1"/>
  <c r="EM1497" i="1"/>
  <c r="EH1497" i="1"/>
  <c r="EG1497" i="1"/>
  <c r="EN1496" i="1"/>
  <c r="EM1496" i="1"/>
  <c r="EH1496" i="1"/>
  <c r="EG1496" i="1"/>
  <c r="EN1495" i="1"/>
  <c r="EM1495" i="1"/>
  <c r="EH1495" i="1"/>
  <c r="EG1495" i="1"/>
  <c r="EN1494" i="1"/>
  <c r="EM1494" i="1"/>
  <c r="EH1494" i="1"/>
  <c r="EG1494" i="1"/>
  <c r="EN1493" i="1"/>
  <c r="EM1493" i="1"/>
  <c r="EH1493" i="1"/>
  <c r="EG1493" i="1"/>
  <c r="EN1492" i="1"/>
  <c r="EM1492" i="1"/>
  <c r="EH1492" i="1"/>
  <c r="EG1492" i="1"/>
  <c r="EN1491" i="1"/>
  <c r="EM1491" i="1"/>
  <c r="EH1491" i="1"/>
  <c r="EG1491" i="1"/>
  <c r="EN1490" i="1"/>
  <c r="EM1490" i="1"/>
  <c r="EH1490" i="1"/>
  <c r="EG1490" i="1"/>
  <c r="EN1489" i="1"/>
  <c r="EM1489" i="1"/>
  <c r="EH1489" i="1"/>
  <c r="EG1489" i="1"/>
  <c r="EN1488" i="1"/>
  <c r="EM1488" i="1"/>
  <c r="EH1488" i="1"/>
  <c r="EG1488" i="1"/>
  <c r="EN1487" i="1"/>
  <c r="EM1487" i="1"/>
  <c r="EH1487" i="1"/>
  <c r="EG1487" i="1"/>
  <c r="EN1486" i="1"/>
  <c r="EM1486" i="1"/>
  <c r="EH1486" i="1"/>
  <c r="EG1486" i="1"/>
  <c r="EN1485" i="1"/>
  <c r="EM1485" i="1"/>
  <c r="EH1485" i="1"/>
  <c r="EG1485" i="1"/>
  <c r="EN1484" i="1"/>
  <c r="EM1484" i="1"/>
  <c r="EH1484" i="1"/>
  <c r="EG1484" i="1"/>
  <c r="EN1483" i="1"/>
  <c r="EM1483" i="1"/>
  <c r="EH1483" i="1"/>
  <c r="EG1483" i="1"/>
  <c r="EN1482" i="1"/>
  <c r="EM1482" i="1"/>
  <c r="EH1482" i="1"/>
  <c r="EG1482" i="1"/>
  <c r="EN1481" i="1"/>
  <c r="EM1481" i="1"/>
  <c r="EH1481" i="1"/>
  <c r="EG1481" i="1"/>
  <c r="EN1480" i="1"/>
  <c r="EM1480" i="1"/>
  <c r="EH1480" i="1"/>
  <c r="EG1480" i="1"/>
  <c r="EN1479" i="1"/>
  <c r="EM1479" i="1"/>
  <c r="EH1479" i="1"/>
  <c r="EG1479" i="1"/>
  <c r="EN1478" i="1"/>
  <c r="EM1478" i="1"/>
  <c r="EH1478" i="1"/>
  <c r="EG1478" i="1"/>
  <c r="EN1477" i="1"/>
  <c r="EM1477" i="1"/>
  <c r="EH1477" i="1"/>
  <c r="EG1477" i="1"/>
  <c r="EN1476" i="1"/>
  <c r="EM1476" i="1"/>
  <c r="EH1476" i="1"/>
  <c r="EG1476" i="1"/>
  <c r="EN1475" i="1"/>
  <c r="EM1475" i="1"/>
  <c r="EH1475" i="1"/>
  <c r="EG1475" i="1"/>
  <c r="EN1474" i="1"/>
  <c r="EM1474" i="1"/>
  <c r="EH1474" i="1"/>
  <c r="EG1474" i="1"/>
  <c r="EN1473" i="1"/>
  <c r="EM1473" i="1"/>
  <c r="EH1473" i="1"/>
  <c r="EG1473" i="1"/>
  <c r="EN1472" i="1"/>
  <c r="EM1472" i="1"/>
  <c r="EH1472" i="1"/>
  <c r="EG1472" i="1"/>
  <c r="EN1471" i="1"/>
  <c r="EM1471" i="1"/>
  <c r="EH1471" i="1"/>
  <c r="EG1471" i="1"/>
  <c r="EN1470" i="1"/>
  <c r="EM1470" i="1"/>
  <c r="EH1470" i="1"/>
  <c r="EG1470" i="1"/>
  <c r="EN1469" i="1"/>
  <c r="EM1469" i="1"/>
  <c r="EH1469" i="1"/>
  <c r="EG1469" i="1"/>
  <c r="EN1468" i="1"/>
  <c r="EM1468" i="1"/>
  <c r="EH1468" i="1"/>
  <c r="EG1468" i="1"/>
  <c r="EN1467" i="1"/>
  <c r="EM1467" i="1"/>
  <c r="EH1467" i="1"/>
  <c r="EG1467" i="1"/>
  <c r="EN1466" i="1"/>
  <c r="EM1466" i="1"/>
  <c r="EH1466" i="1"/>
  <c r="EG1466" i="1"/>
  <c r="EN1465" i="1"/>
  <c r="EM1465" i="1"/>
  <c r="EH1465" i="1"/>
  <c r="EG1465" i="1"/>
  <c r="EN1464" i="1"/>
  <c r="EM1464" i="1"/>
  <c r="EH1464" i="1"/>
  <c r="EG1464" i="1"/>
  <c r="EN1463" i="1"/>
  <c r="EM1463" i="1"/>
  <c r="EH1463" i="1"/>
  <c r="EG1463" i="1"/>
  <c r="EN1462" i="1"/>
  <c r="EM1462" i="1"/>
  <c r="EH1462" i="1"/>
  <c r="EG1462" i="1"/>
  <c r="EN1461" i="1"/>
  <c r="EM1461" i="1"/>
  <c r="EH1461" i="1"/>
  <c r="EG1461" i="1"/>
  <c r="EN1460" i="1"/>
  <c r="EM1460" i="1"/>
  <c r="EH1460" i="1"/>
  <c r="EG1460" i="1"/>
  <c r="EN1459" i="1"/>
  <c r="EM1459" i="1"/>
  <c r="EH1459" i="1"/>
  <c r="EG1459" i="1"/>
  <c r="EN1458" i="1"/>
  <c r="EM1458" i="1"/>
  <c r="EH1458" i="1"/>
  <c r="EG1458" i="1"/>
  <c r="EN1457" i="1"/>
  <c r="EM1457" i="1"/>
  <c r="EH1457" i="1"/>
  <c r="EG1457" i="1"/>
  <c r="EN1456" i="1"/>
  <c r="EM1456" i="1"/>
  <c r="EH1456" i="1"/>
  <c r="EG1456" i="1"/>
  <c r="EN1455" i="1"/>
  <c r="EM1455" i="1"/>
  <c r="EH1455" i="1"/>
  <c r="EG1455" i="1"/>
  <c r="EN1454" i="1"/>
  <c r="EM1454" i="1"/>
  <c r="EH1454" i="1"/>
  <c r="EG1454" i="1"/>
  <c r="EN1453" i="1"/>
  <c r="EM1453" i="1"/>
  <c r="EH1453" i="1"/>
  <c r="EG1453" i="1"/>
  <c r="EN1452" i="1"/>
  <c r="EM1452" i="1"/>
  <c r="EH1452" i="1"/>
  <c r="EG1452" i="1"/>
  <c r="EN1451" i="1"/>
  <c r="EM1451" i="1"/>
  <c r="EH1451" i="1"/>
  <c r="EG1451" i="1"/>
  <c r="EN1450" i="1"/>
  <c r="EM1450" i="1"/>
  <c r="EH1450" i="1"/>
  <c r="EG1450" i="1"/>
  <c r="EN1449" i="1"/>
  <c r="EM1449" i="1"/>
  <c r="EH1449" i="1"/>
  <c r="EG1449" i="1"/>
  <c r="EN1448" i="1"/>
  <c r="EM1448" i="1"/>
  <c r="EH1448" i="1"/>
  <c r="EG1448" i="1"/>
  <c r="EN1447" i="1"/>
  <c r="EM1447" i="1"/>
  <c r="EH1447" i="1"/>
  <c r="EG1447" i="1"/>
  <c r="EN1446" i="1"/>
  <c r="EM1446" i="1"/>
  <c r="EH1446" i="1"/>
  <c r="EG1446" i="1"/>
  <c r="EN1445" i="1"/>
  <c r="EM1445" i="1"/>
  <c r="EH1445" i="1"/>
  <c r="EG1445" i="1"/>
  <c r="EN1444" i="1"/>
  <c r="EM1444" i="1"/>
  <c r="EH1444" i="1"/>
  <c r="EG1444" i="1"/>
  <c r="EN1443" i="1"/>
  <c r="EM1443" i="1"/>
  <c r="EH1443" i="1"/>
  <c r="EG1443" i="1"/>
  <c r="EN1442" i="1"/>
  <c r="EM1442" i="1"/>
  <c r="EH1442" i="1"/>
  <c r="EG1442" i="1"/>
  <c r="EN1441" i="1"/>
  <c r="EM1441" i="1"/>
  <c r="EH1441" i="1"/>
  <c r="EG1441" i="1"/>
  <c r="EN1440" i="1"/>
  <c r="EM1440" i="1"/>
  <c r="EH1440" i="1"/>
  <c r="EG1440" i="1"/>
  <c r="EN1439" i="1"/>
  <c r="EM1439" i="1"/>
  <c r="EH1439" i="1"/>
  <c r="EG1439" i="1"/>
  <c r="EN1438" i="1"/>
  <c r="EM1438" i="1"/>
  <c r="EH1438" i="1"/>
  <c r="EG1438" i="1"/>
  <c r="EN1437" i="1"/>
  <c r="EM1437" i="1"/>
  <c r="EH1437" i="1"/>
  <c r="EG1437" i="1"/>
  <c r="EN1436" i="1"/>
  <c r="EM1436" i="1"/>
  <c r="EH1436" i="1"/>
  <c r="EG1436" i="1"/>
  <c r="EN1435" i="1"/>
  <c r="EM1435" i="1"/>
  <c r="EH1435" i="1"/>
  <c r="EG1435" i="1"/>
  <c r="EN1434" i="1"/>
  <c r="EM1434" i="1"/>
  <c r="EH1434" i="1"/>
  <c r="EG1434" i="1"/>
  <c r="EN1433" i="1"/>
  <c r="EM1433" i="1"/>
  <c r="EH1433" i="1"/>
  <c r="EG1433" i="1"/>
  <c r="EN1432" i="1"/>
  <c r="EM1432" i="1"/>
  <c r="EH1432" i="1"/>
  <c r="EG1432" i="1"/>
  <c r="EN1431" i="1"/>
  <c r="EM1431" i="1"/>
  <c r="EH1431" i="1"/>
  <c r="EG1431" i="1"/>
  <c r="EN1430" i="1"/>
  <c r="EM1430" i="1"/>
  <c r="EH1430" i="1"/>
  <c r="EG1430" i="1"/>
  <c r="EN1429" i="1"/>
  <c r="EM1429" i="1"/>
  <c r="EH1429" i="1"/>
  <c r="EG1429" i="1"/>
  <c r="EN1428" i="1"/>
  <c r="EM1428" i="1"/>
  <c r="EH1428" i="1"/>
  <c r="EG1428" i="1"/>
  <c r="EN1427" i="1"/>
  <c r="EM1427" i="1"/>
  <c r="EH1427" i="1"/>
  <c r="EG1427" i="1"/>
  <c r="EN1426" i="1"/>
  <c r="EM1426" i="1"/>
  <c r="EH1426" i="1"/>
  <c r="EG1426" i="1"/>
  <c r="EN1425" i="1"/>
  <c r="EM1425" i="1"/>
  <c r="EH1425" i="1"/>
  <c r="EG1425" i="1"/>
  <c r="EN1424" i="1"/>
  <c r="EM1424" i="1"/>
  <c r="EH1424" i="1"/>
  <c r="EG1424" i="1"/>
  <c r="EN1423" i="1"/>
  <c r="EM1423" i="1"/>
  <c r="EH1423" i="1"/>
  <c r="EG1423" i="1"/>
  <c r="EN1422" i="1"/>
  <c r="EM1422" i="1"/>
  <c r="EH1422" i="1"/>
  <c r="EG1422" i="1"/>
  <c r="EN1421" i="1"/>
  <c r="EM1421" i="1"/>
  <c r="EH1421" i="1"/>
  <c r="EG1421" i="1"/>
  <c r="EN1420" i="1"/>
  <c r="EM1420" i="1"/>
  <c r="EH1420" i="1"/>
  <c r="EG1420" i="1"/>
  <c r="EN1419" i="1"/>
  <c r="EM1419" i="1"/>
  <c r="EH1419" i="1"/>
  <c r="EG1419" i="1"/>
  <c r="EN1418" i="1"/>
  <c r="EM1418" i="1"/>
  <c r="EH1418" i="1"/>
  <c r="EG1418" i="1"/>
  <c r="EN1417" i="1"/>
  <c r="EM1417" i="1"/>
  <c r="EH1417" i="1"/>
  <c r="EG1417" i="1"/>
  <c r="EN1416" i="1"/>
  <c r="EM1416" i="1"/>
  <c r="EH1416" i="1"/>
  <c r="EG1416" i="1"/>
  <c r="EN1415" i="1"/>
  <c r="EM1415" i="1"/>
  <c r="EH1415" i="1"/>
  <c r="EG1415" i="1"/>
  <c r="EN1414" i="1"/>
  <c r="EM1414" i="1"/>
  <c r="EH1414" i="1"/>
  <c r="EG1414" i="1"/>
  <c r="EN1413" i="1"/>
  <c r="EM1413" i="1"/>
  <c r="EH1413" i="1"/>
  <c r="EG1413" i="1"/>
  <c r="EN1412" i="1"/>
  <c r="EM1412" i="1"/>
  <c r="EH1412" i="1"/>
  <c r="EG1412" i="1"/>
  <c r="EN1411" i="1"/>
  <c r="EM1411" i="1"/>
  <c r="EH1411" i="1"/>
  <c r="EG1411" i="1"/>
  <c r="EN1410" i="1"/>
  <c r="EM1410" i="1"/>
  <c r="EH1410" i="1"/>
  <c r="EG1410" i="1"/>
  <c r="EN1409" i="1"/>
  <c r="EM1409" i="1"/>
  <c r="EH1409" i="1"/>
  <c r="EG1409" i="1"/>
  <c r="EN1408" i="1"/>
  <c r="EM1408" i="1"/>
  <c r="EH1408" i="1"/>
  <c r="EG1408" i="1"/>
  <c r="EN1407" i="1"/>
  <c r="EM1407" i="1"/>
  <c r="EH1407" i="1"/>
  <c r="EG1407" i="1"/>
  <c r="EN1406" i="1"/>
  <c r="EM1406" i="1"/>
  <c r="EH1406" i="1"/>
  <c r="EG1406" i="1"/>
  <c r="EN1405" i="1"/>
  <c r="EM1405" i="1"/>
  <c r="EH1405" i="1"/>
  <c r="EG1405" i="1"/>
  <c r="EN1404" i="1"/>
  <c r="EM1404" i="1"/>
  <c r="EH1404" i="1"/>
  <c r="EG1404" i="1"/>
  <c r="EN1403" i="1"/>
  <c r="EM1403" i="1"/>
  <c r="EH1403" i="1"/>
  <c r="EG1403" i="1"/>
  <c r="EN1402" i="1"/>
  <c r="EM1402" i="1"/>
  <c r="EH1402" i="1"/>
  <c r="EG1402" i="1"/>
  <c r="EN1401" i="1"/>
  <c r="EM1401" i="1"/>
  <c r="EH1401" i="1"/>
  <c r="EG1401" i="1"/>
  <c r="EN1400" i="1"/>
  <c r="EM1400" i="1"/>
  <c r="EH1400" i="1"/>
  <c r="EG1400" i="1"/>
  <c r="EN1399" i="1"/>
  <c r="EM1399" i="1"/>
  <c r="EH1399" i="1"/>
  <c r="EG1399" i="1"/>
  <c r="EN1398" i="1"/>
  <c r="EM1398" i="1"/>
  <c r="EH1398" i="1"/>
  <c r="EG1398" i="1"/>
  <c r="EN1397" i="1"/>
  <c r="EM1397" i="1"/>
  <c r="EH1397" i="1"/>
  <c r="EG1397" i="1"/>
  <c r="EN1396" i="1"/>
  <c r="EM1396" i="1"/>
  <c r="EH1396" i="1"/>
  <c r="EG1396" i="1"/>
  <c r="EN1395" i="1"/>
  <c r="EM1395" i="1"/>
  <c r="EH1395" i="1"/>
  <c r="EG1395" i="1"/>
  <c r="EN1394" i="1"/>
  <c r="EM1394" i="1"/>
  <c r="EH1394" i="1"/>
  <c r="EG1394" i="1"/>
  <c r="EN1393" i="1"/>
  <c r="EM1393" i="1"/>
  <c r="EH1393" i="1"/>
  <c r="EG1393" i="1"/>
  <c r="EN1392" i="1"/>
  <c r="EM1392" i="1"/>
  <c r="EH1392" i="1"/>
  <c r="EG1392" i="1"/>
  <c r="EN1391" i="1"/>
  <c r="EM1391" i="1"/>
  <c r="EH1391" i="1"/>
  <c r="EG1391" i="1"/>
  <c r="EN1390" i="1"/>
  <c r="EM1390" i="1"/>
  <c r="EH1390" i="1"/>
  <c r="EG1390" i="1"/>
  <c r="EN1389" i="1"/>
  <c r="EM1389" i="1"/>
  <c r="EH1389" i="1"/>
  <c r="EG1389" i="1"/>
  <c r="EN1388" i="1"/>
  <c r="EM1388" i="1"/>
  <c r="EH1388" i="1"/>
  <c r="EG1388" i="1"/>
  <c r="EN1387" i="1"/>
  <c r="EM1387" i="1"/>
  <c r="EH1387" i="1"/>
  <c r="EG1387" i="1"/>
  <c r="EN1386" i="1"/>
  <c r="EM1386" i="1"/>
  <c r="EH1386" i="1"/>
  <c r="EG1386" i="1"/>
  <c r="EN1385" i="1"/>
  <c r="EM1385" i="1"/>
  <c r="EH1385" i="1"/>
  <c r="EG1385" i="1"/>
  <c r="EN1384" i="1"/>
  <c r="EM1384" i="1"/>
  <c r="EH1384" i="1"/>
  <c r="EG1384" i="1"/>
  <c r="EN1383" i="1"/>
  <c r="EM1383" i="1"/>
  <c r="EH1383" i="1"/>
  <c r="EG1383" i="1"/>
  <c r="EN1382" i="1"/>
  <c r="EM1382" i="1"/>
  <c r="EH1382" i="1"/>
  <c r="EG1382" i="1"/>
  <c r="EN1381" i="1"/>
  <c r="EM1381" i="1"/>
  <c r="EH1381" i="1"/>
  <c r="EG1381" i="1"/>
  <c r="EN1380" i="1"/>
  <c r="EM1380" i="1"/>
  <c r="EH1380" i="1"/>
  <c r="EG1380" i="1"/>
  <c r="EN1379" i="1"/>
  <c r="EM1379" i="1"/>
  <c r="EH1379" i="1"/>
  <c r="EG1379" i="1"/>
  <c r="EN1378" i="1"/>
  <c r="EM1378" i="1"/>
  <c r="EH1378" i="1"/>
  <c r="EG1378" i="1"/>
  <c r="EN1377" i="1"/>
  <c r="EM1377" i="1"/>
  <c r="EH1377" i="1"/>
  <c r="EG1377" i="1"/>
  <c r="EN1376" i="1"/>
  <c r="EM1376" i="1"/>
  <c r="EH1376" i="1"/>
  <c r="EG1376" i="1"/>
  <c r="EN1375" i="1"/>
  <c r="EM1375" i="1"/>
  <c r="EH1375" i="1"/>
  <c r="EG1375" i="1"/>
  <c r="EN1374" i="1"/>
  <c r="EM1374" i="1"/>
  <c r="EH1374" i="1"/>
  <c r="EG1374" i="1"/>
  <c r="EN1373" i="1"/>
  <c r="EM1373" i="1"/>
  <c r="EH1373" i="1"/>
  <c r="EG1373" i="1"/>
  <c r="EN1372" i="1"/>
  <c r="EM1372" i="1"/>
  <c r="EH1372" i="1"/>
  <c r="EG1372" i="1"/>
  <c r="EN1371" i="1"/>
  <c r="EM1371" i="1"/>
  <c r="EH1371" i="1"/>
  <c r="EG1371" i="1"/>
  <c r="EN1370" i="1"/>
  <c r="EM1370" i="1"/>
  <c r="EH1370" i="1"/>
  <c r="EG1370" i="1"/>
  <c r="EN1369" i="1"/>
  <c r="EM1369" i="1"/>
  <c r="EH1369" i="1"/>
  <c r="EG1369" i="1"/>
  <c r="EN1368" i="1"/>
  <c r="EM1368" i="1"/>
  <c r="EH1368" i="1"/>
  <c r="EG1368" i="1"/>
  <c r="EN1367" i="1"/>
  <c r="EM1367" i="1"/>
  <c r="EH1367" i="1"/>
  <c r="EG1367" i="1"/>
  <c r="EN1366" i="1"/>
  <c r="EM1366" i="1"/>
  <c r="EH1366" i="1"/>
  <c r="EG1366" i="1"/>
  <c r="EN1365" i="1"/>
  <c r="EM1365" i="1"/>
  <c r="EH1365" i="1"/>
  <c r="EG1365" i="1"/>
  <c r="EN1364" i="1"/>
  <c r="EM1364" i="1"/>
  <c r="EH1364" i="1"/>
  <c r="EG1364" i="1"/>
  <c r="EN1363" i="1"/>
  <c r="EM1363" i="1"/>
  <c r="EH1363" i="1"/>
  <c r="EG1363" i="1"/>
  <c r="EN1362" i="1"/>
  <c r="EM1362" i="1"/>
  <c r="EH1362" i="1"/>
  <c r="EG1362" i="1"/>
  <c r="EN1361" i="1"/>
  <c r="EM1361" i="1"/>
  <c r="EH1361" i="1"/>
  <c r="EG1361" i="1"/>
  <c r="EN1360" i="1"/>
  <c r="EM1360" i="1"/>
  <c r="EH1360" i="1"/>
  <c r="EG1360" i="1"/>
  <c r="EN1359" i="1"/>
  <c r="EM1359" i="1"/>
  <c r="EH1359" i="1"/>
  <c r="EG1359" i="1"/>
  <c r="EN1358" i="1"/>
  <c r="EM1358" i="1"/>
  <c r="EH1358" i="1"/>
  <c r="EG1358" i="1"/>
  <c r="EN1357" i="1"/>
  <c r="EM1357" i="1"/>
  <c r="EH1357" i="1"/>
  <c r="EG1357" i="1"/>
  <c r="EN1356" i="1"/>
  <c r="EM1356" i="1"/>
  <c r="EH1356" i="1"/>
  <c r="EG1356" i="1"/>
  <c r="EN1355" i="1"/>
  <c r="EM1355" i="1"/>
  <c r="EH1355" i="1"/>
  <c r="EG1355" i="1"/>
  <c r="EN1354" i="1"/>
  <c r="EM1354" i="1"/>
  <c r="EH1354" i="1"/>
  <c r="EG1354" i="1"/>
  <c r="EN1353" i="1"/>
  <c r="EM1353" i="1"/>
  <c r="EH1353" i="1"/>
  <c r="EG1353" i="1"/>
  <c r="EN1352" i="1"/>
  <c r="EM1352" i="1"/>
  <c r="EH1352" i="1"/>
  <c r="EG1352" i="1"/>
  <c r="EN1351" i="1"/>
  <c r="EM1351" i="1"/>
  <c r="EH1351" i="1"/>
  <c r="EG1351" i="1"/>
  <c r="EN1350" i="1"/>
  <c r="EM1350" i="1"/>
  <c r="EH1350" i="1"/>
  <c r="EG1350" i="1"/>
  <c r="EN1349" i="1"/>
  <c r="EM1349" i="1"/>
  <c r="EH1349" i="1"/>
  <c r="EG1349" i="1"/>
  <c r="EN1348" i="1"/>
  <c r="EM1348" i="1"/>
  <c r="EH1348" i="1"/>
  <c r="EG1348" i="1"/>
  <c r="EN1347" i="1"/>
  <c r="EM1347" i="1"/>
  <c r="EH1347" i="1"/>
  <c r="EG1347" i="1"/>
  <c r="EN1346" i="1"/>
  <c r="EM1346" i="1"/>
  <c r="EH1346" i="1"/>
  <c r="EG1346" i="1"/>
  <c r="EN1345" i="1"/>
  <c r="EM1345" i="1"/>
  <c r="EH1345" i="1"/>
  <c r="EG1345" i="1"/>
  <c r="EN1344" i="1"/>
  <c r="EM1344" i="1"/>
  <c r="EH1344" i="1"/>
  <c r="EG1344" i="1"/>
  <c r="EN1343" i="1"/>
  <c r="EM1343" i="1"/>
  <c r="EH1343" i="1"/>
  <c r="EG1343" i="1"/>
  <c r="EN1342" i="1"/>
  <c r="EM1342" i="1"/>
  <c r="EH1342" i="1"/>
  <c r="EG1342" i="1"/>
  <c r="EN1341" i="1"/>
  <c r="EM1341" i="1"/>
  <c r="EH1341" i="1"/>
  <c r="EG1341" i="1"/>
  <c r="EN1340" i="1"/>
  <c r="EM1340" i="1"/>
  <c r="EH1340" i="1"/>
  <c r="EG1340" i="1"/>
  <c r="EN1339" i="1"/>
  <c r="EM1339" i="1"/>
  <c r="EH1339" i="1"/>
  <c r="EG1339" i="1"/>
  <c r="EN1338" i="1"/>
  <c r="EM1338" i="1"/>
  <c r="EH1338" i="1"/>
  <c r="EG1338" i="1"/>
  <c r="EN1337" i="1"/>
  <c r="EM1337" i="1"/>
  <c r="EH1337" i="1"/>
  <c r="EG1337" i="1"/>
  <c r="EN1336" i="1"/>
  <c r="EM1336" i="1"/>
  <c r="EH1336" i="1"/>
  <c r="EG1336" i="1"/>
  <c r="EN1335" i="1"/>
  <c r="EM1335" i="1"/>
  <c r="EH1335" i="1"/>
  <c r="EG1335" i="1"/>
  <c r="EN1334" i="1"/>
  <c r="EM1334" i="1"/>
  <c r="EH1334" i="1"/>
  <c r="EG1334" i="1"/>
  <c r="EN1333" i="1"/>
  <c r="EM1333" i="1"/>
  <c r="EH1333" i="1"/>
  <c r="EG1333" i="1"/>
  <c r="EN1332" i="1"/>
  <c r="EM1332" i="1"/>
  <c r="EH1332" i="1"/>
  <c r="EG1332" i="1"/>
  <c r="EN1331" i="1"/>
  <c r="EM1331" i="1"/>
  <c r="EH1331" i="1"/>
  <c r="EG1331" i="1"/>
  <c r="EN1330" i="1"/>
  <c r="EM1330" i="1"/>
  <c r="EH1330" i="1"/>
  <c r="EG1330" i="1"/>
  <c r="EN1329" i="1"/>
  <c r="EM1329" i="1"/>
  <c r="EH1329" i="1"/>
  <c r="EG1329" i="1"/>
  <c r="EN1328" i="1"/>
  <c r="EM1328" i="1"/>
  <c r="EH1328" i="1"/>
  <c r="EG1328" i="1"/>
  <c r="EN1327" i="1"/>
  <c r="EM1327" i="1"/>
  <c r="EH1327" i="1"/>
  <c r="EG1327" i="1"/>
  <c r="EN1326" i="1"/>
  <c r="EM1326" i="1"/>
  <c r="EH1326" i="1"/>
  <c r="EG1326" i="1"/>
  <c r="EN1325" i="1"/>
  <c r="EM1325" i="1"/>
  <c r="EH1325" i="1"/>
  <c r="EG1325" i="1"/>
  <c r="EN1324" i="1"/>
  <c r="EM1324" i="1"/>
  <c r="EH1324" i="1"/>
  <c r="EG1324" i="1"/>
  <c r="EN1323" i="1"/>
  <c r="EM1323" i="1"/>
  <c r="EH1323" i="1"/>
  <c r="EG1323" i="1"/>
  <c r="EN1322" i="1"/>
  <c r="EM1322" i="1"/>
  <c r="EH1322" i="1"/>
  <c r="EG1322" i="1"/>
  <c r="EN1321" i="1"/>
  <c r="EM1321" i="1"/>
  <c r="EH1321" i="1"/>
  <c r="EG1321" i="1"/>
  <c r="EN1320" i="1"/>
  <c r="EM1320" i="1"/>
  <c r="EH1320" i="1"/>
  <c r="EG1320" i="1"/>
  <c r="EN1319" i="1"/>
  <c r="EM1319" i="1"/>
  <c r="EH1319" i="1"/>
  <c r="EG1319" i="1"/>
  <c r="EN1318" i="1"/>
  <c r="EM1318" i="1"/>
  <c r="EH1318" i="1"/>
  <c r="EG1318" i="1"/>
  <c r="EN1317" i="1"/>
  <c r="EM1317" i="1"/>
  <c r="EH1317" i="1"/>
  <c r="EG1317" i="1"/>
  <c r="EN1316" i="1"/>
  <c r="EM1316" i="1"/>
  <c r="EH1316" i="1"/>
  <c r="EG1316" i="1"/>
  <c r="EN1315" i="1"/>
  <c r="EM1315" i="1"/>
  <c r="EH1315" i="1"/>
  <c r="EG1315" i="1"/>
  <c r="EN1314" i="1"/>
  <c r="EM1314" i="1"/>
  <c r="EH1314" i="1"/>
  <c r="EG1314" i="1"/>
  <c r="EN1313" i="1"/>
  <c r="EM1313" i="1"/>
  <c r="EH1313" i="1"/>
  <c r="EG1313" i="1"/>
  <c r="EN1312" i="1"/>
  <c r="EM1312" i="1"/>
  <c r="EH1312" i="1"/>
  <c r="EG1312" i="1"/>
  <c r="EN1311" i="1"/>
  <c r="EM1311" i="1"/>
  <c r="EH1311" i="1"/>
  <c r="EG1311" i="1"/>
  <c r="EN1310" i="1"/>
  <c r="EM1310" i="1"/>
  <c r="EH1310" i="1"/>
  <c r="EG1310" i="1"/>
  <c r="EN1309" i="1"/>
  <c r="EM1309" i="1"/>
  <c r="EH1309" i="1"/>
  <c r="EG1309" i="1"/>
  <c r="EN1308" i="1"/>
  <c r="EM1308" i="1"/>
  <c r="EH1308" i="1"/>
  <c r="EG1308" i="1"/>
  <c r="EN1307" i="1"/>
  <c r="EM1307" i="1"/>
  <c r="EH1307" i="1"/>
  <c r="EG1307" i="1"/>
  <c r="EN1306" i="1"/>
  <c r="EM1306" i="1"/>
  <c r="EH1306" i="1"/>
  <c r="EG1306" i="1"/>
  <c r="EN1305" i="1"/>
  <c r="EM1305" i="1"/>
  <c r="EH1305" i="1"/>
  <c r="EG1305" i="1"/>
  <c r="EN1304" i="1"/>
  <c r="EM1304" i="1"/>
  <c r="EH1304" i="1"/>
  <c r="EG1304" i="1"/>
  <c r="EN1303" i="1"/>
  <c r="EM1303" i="1"/>
  <c r="EH1303" i="1"/>
  <c r="EG1303" i="1"/>
  <c r="EN1302" i="1"/>
  <c r="EM1302" i="1"/>
  <c r="EH1302" i="1"/>
  <c r="EG1302" i="1"/>
  <c r="EN1301" i="1"/>
  <c r="EM1301" i="1"/>
  <c r="EH1301" i="1"/>
  <c r="EG1301" i="1"/>
  <c r="EN1300" i="1"/>
  <c r="EM1300" i="1"/>
  <c r="EH1300" i="1"/>
  <c r="EG1300" i="1"/>
  <c r="EN1299" i="1"/>
  <c r="EM1299" i="1"/>
  <c r="EH1299" i="1"/>
  <c r="EG1299" i="1"/>
  <c r="EN1298" i="1"/>
  <c r="EM1298" i="1"/>
  <c r="EH1298" i="1"/>
  <c r="EG1298" i="1"/>
  <c r="EN1297" i="1"/>
  <c r="EM1297" i="1"/>
  <c r="EH1297" i="1"/>
  <c r="EG1297" i="1"/>
  <c r="EN1296" i="1"/>
  <c r="EM1296" i="1"/>
  <c r="EH1296" i="1"/>
  <c r="EG1296" i="1"/>
  <c r="EN1295" i="1"/>
  <c r="EM1295" i="1"/>
  <c r="EH1295" i="1"/>
  <c r="EG1295" i="1"/>
  <c r="EN1294" i="1"/>
  <c r="EM1294" i="1"/>
  <c r="EH1294" i="1"/>
  <c r="EG1294" i="1"/>
  <c r="EN1293" i="1"/>
  <c r="EM1293" i="1"/>
  <c r="EH1293" i="1"/>
  <c r="EG1293" i="1"/>
  <c r="EN1292" i="1"/>
  <c r="EM1292" i="1"/>
  <c r="EH1292" i="1"/>
  <c r="EG1292" i="1"/>
  <c r="EN1291" i="1"/>
  <c r="EM1291" i="1"/>
  <c r="EH1291" i="1"/>
  <c r="EG1291" i="1"/>
  <c r="EN1290" i="1"/>
  <c r="EM1290" i="1"/>
  <c r="EH1290" i="1"/>
  <c r="EG1290" i="1"/>
  <c r="EN1289" i="1"/>
  <c r="EM1289" i="1"/>
  <c r="EH1289" i="1"/>
  <c r="EG1289" i="1"/>
  <c r="EN1288" i="1"/>
  <c r="EM1288" i="1"/>
  <c r="EH1288" i="1"/>
  <c r="EG1288" i="1"/>
  <c r="EN1287" i="1"/>
  <c r="EM1287" i="1"/>
  <c r="EH1287" i="1"/>
  <c r="EG1287" i="1"/>
  <c r="EN1286" i="1"/>
  <c r="EM1286" i="1"/>
  <c r="EH1286" i="1"/>
  <c r="EG1286" i="1"/>
  <c r="EN1285" i="1"/>
  <c r="EM1285" i="1"/>
  <c r="EH1285" i="1"/>
  <c r="EG1285" i="1"/>
  <c r="EN1284" i="1"/>
  <c r="EM1284" i="1"/>
  <c r="EH1284" i="1"/>
  <c r="EG1284" i="1"/>
  <c r="EN1283" i="1"/>
  <c r="EM1283" i="1"/>
  <c r="EH1283" i="1"/>
  <c r="EG1283" i="1"/>
  <c r="EN1282" i="1"/>
  <c r="EM1282" i="1"/>
  <c r="EH1282" i="1"/>
  <c r="EG1282" i="1"/>
  <c r="EN1281" i="1"/>
  <c r="EM1281" i="1"/>
  <c r="EH1281" i="1"/>
  <c r="EG1281" i="1"/>
  <c r="EN1280" i="1"/>
  <c r="EM1280" i="1"/>
  <c r="EH1280" i="1"/>
  <c r="EG1280" i="1"/>
  <c r="EN1279" i="1"/>
  <c r="EM1279" i="1"/>
  <c r="EH1279" i="1"/>
  <c r="EG1279" i="1"/>
  <c r="EN1278" i="1"/>
  <c r="EM1278" i="1"/>
  <c r="EH1278" i="1"/>
  <c r="EG1278" i="1"/>
  <c r="EN1277" i="1"/>
  <c r="EM1277" i="1"/>
  <c r="EH1277" i="1"/>
  <c r="EG1277" i="1"/>
  <c r="EN1276" i="1"/>
  <c r="EM1276" i="1"/>
  <c r="EH1276" i="1"/>
  <c r="EG1276" i="1"/>
  <c r="EN1275" i="1"/>
  <c r="EM1275" i="1"/>
  <c r="EH1275" i="1"/>
  <c r="EG1275" i="1"/>
  <c r="EN1274" i="1"/>
  <c r="EM1274" i="1"/>
  <c r="EH1274" i="1"/>
  <c r="EG1274" i="1"/>
  <c r="EN1273" i="1"/>
  <c r="EM1273" i="1"/>
  <c r="EH1273" i="1"/>
  <c r="EG1273" i="1"/>
  <c r="EN1272" i="1"/>
  <c r="EM1272" i="1"/>
  <c r="EH1272" i="1"/>
  <c r="EG1272" i="1"/>
  <c r="EN1271" i="1"/>
  <c r="EM1271" i="1"/>
  <c r="EH1271" i="1"/>
  <c r="EG1271" i="1"/>
  <c r="EN1270" i="1"/>
  <c r="EM1270" i="1"/>
  <c r="EH1270" i="1"/>
  <c r="EG1270" i="1"/>
  <c r="EN1269" i="1"/>
  <c r="EM1269" i="1"/>
  <c r="EH1269" i="1"/>
  <c r="EG1269" i="1"/>
  <c r="EN1268" i="1"/>
  <c r="EM1268" i="1"/>
  <c r="EH1268" i="1"/>
  <c r="EG1268" i="1"/>
  <c r="EN1267" i="1"/>
  <c r="EM1267" i="1"/>
  <c r="EH1267" i="1"/>
  <c r="EG1267" i="1"/>
  <c r="EN1266" i="1"/>
  <c r="EM1266" i="1"/>
  <c r="EH1266" i="1"/>
  <c r="EG1266" i="1"/>
  <c r="EN1265" i="1"/>
  <c r="EM1265" i="1"/>
  <c r="EH1265" i="1"/>
  <c r="EG1265" i="1"/>
  <c r="EN1264" i="1"/>
  <c r="EM1264" i="1"/>
  <c r="EH1264" i="1"/>
  <c r="EG1264" i="1"/>
  <c r="EN1263" i="1"/>
  <c r="EM1263" i="1"/>
  <c r="EH1263" i="1"/>
  <c r="EG1263" i="1"/>
  <c r="EN1262" i="1"/>
  <c r="EM1262" i="1"/>
  <c r="EH1262" i="1"/>
  <c r="EG1262" i="1"/>
  <c r="EN1261" i="1"/>
  <c r="EM1261" i="1"/>
  <c r="EH1261" i="1"/>
  <c r="EG1261" i="1"/>
  <c r="EN1260" i="1"/>
  <c r="EM1260" i="1"/>
  <c r="EH1260" i="1"/>
  <c r="EG1260" i="1"/>
  <c r="EN1259" i="1"/>
  <c r="EM1259" i="1"/>
  <c r="EH1259" i="1"/>
  <c r="EG1259" i="1"/>
  <c r="EN1258" i="1"/>
  <c r="EM1258" i="1"/>
  <c r="EH1258" i="1"/>
  <c r="EG1258" i="1"/>
  <c r="EN1257" i="1"/>
  <c r="EM1257" i="1"/>
  <c r="EH1257" i="1"/>
  <c r="EG1257" i="1"/>
  <c r="EN1256" i="1"/>
  <c r="EM1256" i="1"/>
  <c r="EH1256" i="1"/>
  <c r="EG1256" i="1"/>
  <c r="EN1255" i="1"/>
  <c r="EM1255" i="1"/>
  <c r="EH1255" i="1"/>
  <c r="EG1255" i="1"/>
  <c r="EN1254" i="1"/>
  <c r="EM1254" i="1"/>
  <c r="EH1254" i="1"/>
  <c r="EG1254" i="1"/>
  <c r="EN1253" i="1"/>
  <c r="EM1253" i="1"/>
  <c r="EH1253" i="1"/>
  <c r="EG1253" i="1"/>
  <c r="EN1252" i="1"/>
  <c r="EM1252" i="1"/>
  <c r="EH1252" i="1"/>
  <c r="EG1252" i="1"/>
  <c r="EN1251" i="1"/>
  <c r="EM1251" i="1"/>
  <c r="EH1251" i="1"/>
  <c r="EG1251" i="1"/>
  <c r="EN1250" i="1"/>
  <c r="EM1250" i="1"/>
  <c r="EH1250" i="1"/>
  <c r="EG1250" i="1"/>
  <c r="EN1249" i="1"/>
  <c r="EM1249" i="1"/>
  <c r="EH1249" i="1"/>
  <c r="EG1249" i="1"/>
  <c r="EN1248" i="1"/>
  <c r="EM1248" i="1"/>
  <c r="EH1248" i="1"/>
  <c r="EG1248" i="1"/>
  <c r="EN1247" i="1"/>
  <c r="EM1247" i="1"/>
  <c r="EH1247" i="1"/>
  <c r="EG1247" i="1"/>
  <c r="EN1246" i="1"/>
  <c r="EM1246" i="1"/>
  <c r="EH1246" i="1"/>
  <c r="EG1246" i="1"/>
  <c r="EN1245" i="1"/>
  <c r="EM1245" i="1"/>
  <c r="EH1245" i="1"/>
  <c r="EG1245" i="1"/>
  <c r="EN1244" i="1"/>
  <c r="EM1244" i="1"/>
  <c r="EH1244" i="1"/>
  <c r="EG1244" i="1"/>
  <c r="EN1243" i="1"/>
  <c r="EM1243" i="1"/>
  <c r="EH1243" i="1"/>
  <c r="EG1243" i="1"/>
  <c r="EN1242" i="1"/>
  <c r="EM1242" i="1"/>
  <c r="EH1242" i="1"/>
  <c r="EG1242" i="1"/>
  <c r="EN1241" i="1"/>
  <c r="EM1241" i="1"/>
  <c r="EH1241" i="1"/>
  <c r="EG1241" i="1"/>
  <c r="EN1240" i="1"/>
  <c r="EM1240" i="1"/>
  <c r="EH1240" i="1"/>
  <c r="EG1240" i="1"/>
  <c r="EN1239" i="1"/>
  <c r="EM1239" i="1"/>
  <c r="EH1239" i="1"/>
  <c r="EG1239" i="1"/>
  <c r="EN1238" i="1"/>
  <c r="EM1238" i="1"/>
  <c r="EH1238" i="1"/>
  <c r="EG1238" i="1"/>
  <c r="EN1237" i="1"/>
  <c r="EM1237" i="1"/>
  <c r="EH1237" i="1"/>
  <c r="EG1237" i="1"/>
  <c r="EN1236" i="1"/>
  <c r="EM1236" i="1"/>
  <c r="EH1236" i="1"/>
  <c r="EG1236" i="1"/>
  <c r="EN1235" i="1"/>
  <c r="EM1235" i="1"/>
  <c r="EH1235" i="1"/>
  <c r="EG1235" i="1"/>
  <c r="EN1234" i="1"/>
  <c r="EM1234" i="1"/>
  <c r="EH1234" i="1"/>
  <c r="EG1234" i="1"/>
  <c r="EN1233" i="1"/>
  <c r="EM1233" i="1"/>
  <c r="EH1233" i="1"/>
  <c r="EG1233" i="1"/>
  <c r="EN1232" i="1"/>
  <c r="EM1232" i="1"/>
  <c r="EH1232" i="1"/>
  <c r="EG1232" i="1"/>
  <c r="EN1231" i="1"/>
  <c r="EM1231" i="1"/>
  <c r="EH1231" i="1"/>
  <c r="EG1231" i="1"/>
  <c r="EN1230" i="1"/>
  <c r="EM1230" i="1"/>
  <c r="EH1230" i="1"/>
  <c r="EG1230" i="1"/>
  <c r="EN1229" i="1"/>
  <c r="EM1229" i="1"/>
  <c r="EH1229" i="1"/>
  <c r="EG1229" i="1"/>
  <c r="EN1228" i="1"/>
  <c r="EM1228" i="1"/>
  <c r="EH1228" i="1"/>
  <c r="EG1228" i="1"/>
  <c r="EN1227" i="1"/>
  <c r="EM1227" i="1"/>
  <c r="EH1227" i="1"/>
  <c r="EG1227" i="1"/>
  <c r="EN1226" i="1"/>
  <c r="EM1226" i="1"/>
  <c r="EH1226" i="1"/>
  <c r="EG1226" i="1"/>
  <c r="EN1225" i="1"/>
  <c r="EM1225" i="1"/>
  <c r="EH1225" i="1"/>
  <c r="EG1225" i="1"/>
  <c r="EN1224" i="1"/>
  <c r="EM1224" i="1"/>
  <c r="EH1224" i="1"/>
  <c r="EG1224" i="1"/>
  <c r="EN1223" i="1"/>
  <c r="EM1223" i="1"/>
  <c r="EH1223" i="1"/>
  <c r="EG1223" i="1"/>
  <c r="EN1222" i="1"/>
  <c r="EM1222" i="1"/>
  <c r="EH1222" i="1"/>
  <c r="EG1222" i="1"/>
  <c r="EN1221" i="1"/>
  <c r="EM1221" i="1"/>
  <c r="EH1221" i="1"/>
  <c r="EG1221" i="1"/>
  <c r="EN1220" i="1"/>
  <c r="EM1220" i="1"/>
  <c r="EH1220" i="1"/>
  <c r="EG1220" i="1"/>
  <c r="EN1219" i="1"/>
  <c r="EM1219" i="1"/>
  <c r="EH1219" i="1"/>
  <c r="EG1219" i="1"/>
  <c r="EN1218" i="1"/>
  <c r="EM1218" i="1"/>
  <c r="EH1218" i="1"/>
  <c r="EG1218" i="1"/>
  <c r="EN1217" i="1"/>
  <c r="EM1217" i="1"/>
  <c r="EH1217" i="1"/>
  <c r="EG1217" i="1"/>
  <c r="EN1216" i="1"/>
  <c r="EM1216" i="1"/>
  <c r="EH1216" i="1"/>
  <c r="EG1216" i="1"/>
  <c r="EN1215" i="1"/>
  <c r="EM1215" i="1"/>
  <c r="EH1215" i="1"/>
  <c r="EG1215" i="1"/>
  <c r="EN1214" i="1"/>
  <c r="EM1214" i="1"/>
  <c r="EH1214" i="1"/>
  <c r="EG1214" i="1"/>
  <c r="EN1213" i="1"/>
  <c r="EM1213" i="1"/>
  <c r="EH1213" i="1"/>
  <c r="EG1213" i="1"/>
  <c r="EN1212" i="1"/>
  <c r="EM1212" i="1"/>
  <c r="EH1212" i="1"/>
  <c r="EG1212" i="1"/>
  <c r="EN1211" i="1"/>
  <c r="EM1211" i="1"/>
  <c r="EH1211" i="1"/>
  <c r="EG1211" i="1"/>
  <c r="EN1210" i="1"/>
  <c r="EM1210" i="1"/>
  <c r="EH1210" i="1"/>
  <c r="EG1210" i="1"/>
  <c r="EN1209" i="1"/>
  <c r="EM1209" i="1"/>
  <c r="EH1209" i="1"/>
  <c r="EG1209" i="1"/>
  <c r="EN1208" i="1"/>
  <c r="EM1208" i="1"/>
  <c r="EH1208" i="1"/>
  <c r="EG1208" i="1"/>
  <c r="EN1207" i="1"/>
  <c r="EM1207" i="1"/>
  <c r="EH1207" i="1"/>
  <c r="EG1207" i="1"/>
  <c r="EN1206" i="1"/>
  <c r="EM1206" i="1"/>
  <c r="EH1206" i="1"/>
  <c r="EG1206" i="1"/>
  <c r="EN1205" i="1"/>
  <c r="EM1205" i="1"/>
  <c r="EH1205" i="1"/>
  <c r="EG1205" i="1"/>
  <c r="EN1204" i="1"/>
  <c r="EM1204" i="1"/>
  <c r="EH1204" i="1"/>
  <c r="EG1204" i="1"/>
  <c r="EN1203" i="1"/>
  <c r="EM1203" i="1"/>
  <c r="EH1203" i="1"/>
  <c r="EG1203" i="1"/>
  <c r="EN1202" i="1"/>
  <c r="EM1202" i="1"/>
  <c r="EH1202" i="1"/>
  <c r="EG1202" i="1"/>
  <c r="EN1201" i="1"/>
  <c r="EM1201" i="1"/>
  <c r="EH1201" i="1"/>
  <c r="EG1201" i="1"/>
  <c r="EN1200" i="1"/>
  <c r="EM1200" i="1"/>
  <c r="EH1200" i="1"/>
  <c r="EG1200" i="1"/>
  <c r="EN1199" i="1"/>
  <c r="EM1199" i="1"/>
  <c r="EH1199" i="1"/>
  <c r="EG1199" i="1"/>
  <c r="EN1198" i="1"/>
  <c r="EM1198" i="1"/>
  <c r="EH1198" i="1"/>
  <c r="EG1198" i="1"/>
  <c r="EN1197" i="1"/>
  <c r="EM1197" i="1"/>
  <c r="EH1197" i="1"/>
  <c r="EG1197" i="1"/>
  <c r="EN1196" i="1"/>
  <c r="EM1196" i="1"/>
  <c r="EH1196" i="1"/>
  <c r="EG1196" i="1"/>
  <c r="EN1195" i="1"/>
  <c r="EM1195" i="1"/>
  <c r="EH1195" i="1"/>
  <c r="EG1195" i="1"/>
  <c r="EN1194" i="1"/>
  <c r="EM1194" i="1"/>
  <c r="EH1194" i="1"/>
  <c r="EG1194" i="1"/>
  <c r="EN1193" i="1"/>
  <c r="EM1193" i="1"/>
  <c r="EH1193" i="1"/>
  <c r="EG1193" i="1"/>
  <c r="EN1192" i="1"/>
  <c r="EM1192" i="1"/>
  <c r="EH1192" i="1"/>
  <c r="EG1192" i="1"/>
  <c r="EN1191" i="1"/>
  <c r="EM1191" i="1"/>
  <c r="EH1191" i="1"/>
  <c r="EG1191" i="1"/>
  <c r="EN1190" i="1"/>
  <c r="EM1190" i="1"/>
  <c r="EH1190" i="1"/>
  <c r="EG1190" i="1"/>
  <c r="EN1189" i="1"/>
  <c r="EM1189" i="1"/>
  <c r="EH1189" i="1"/>
  <c r="EG1189" i="1"/>
  <c r="EN1188" i="1"/>
  <c r="EM1188" i="1"/>
  <c r="EH1188" i="1"/>
  <c r="EG1188" i="1"/>
  <c r="EN1187" i="1"/>
  <c r="EM1187" i="1"/>
  <c r="EH1187" i="1"/>
  <c r="EG1187" i="1"/>
  <c r="EN1186" i="1"/>
  <c r="EM1186" i="1"/>
  <c r="EH1186" i="1"/>
  <c r="EG1186" i="1"/>
  <c r="EN1185" i="1"/>
  <c r="EM1185" i="1"/>
  <c r="EH1185" i="1"/>
  <c r="EG1185" i="1"/>
  <c r="EN1184" i="1"/>
  <c r="EM1184" i="1"/>
  <c r="EH1184" i="1"/>
  <c r="EG1184" i="1"/>
  <c r="EN1183" i="1"/>
  <c r="EM1183" i="1"/>
  <c r="EH1183" i="1"/>
  <c r="EG1183" i="1"/>
  <c r="EN1182" i="1"/>
  <c r="EM1182" i="1"/>
  <c r="EH1182" i="1"/>
  <c r="EG1182" i="1"/>
  <c r="EN1181" i="1"/>
  <c r="EM1181" i="1"/>
  <c r="EH1181" i="1"/>
  <c r="EG1181" i="1"/>
  <c r="EN1180" i="1"/>
  <c r="EM1180" i="1"/>
  <c r="EH1180" i="1"/>
  <c r="EG1180" i="1"/>
  <c r="EN1179" i="1"/>
  <c r="EM1179" i="1"/>
  <c r="EH1179" i="1"/>
  <c r="EG1179" i="1"/>
  <c r="EN1178" i="1"/>
  <c r="EM1178" i="1"/>
  <c r="EH1178" i="1"/>
  <c r="EG1178" i="1"/>
  <c r="EN1177" i="1"/>
  <c r="EM1177" i="1"/>
  <c r="EH1177" i="1"/>
  <c r="EG1177" i="1"/>
  <c r="EN1176" i="1"/>
  <c r="EM1176" i="1"/>
  <c r="EH1176" i="1"/>
  <c r="EG1176" i="1"/>
  <c r="EN1175" i="1"/>
  <c r="EM1175" i="1"/>
  <c r="EH1175" i="1"/>
  <c r="EG1175" i="1"/>
  <c r="EN1174" i="1"/>
  <c r="EM1174" i="1"/>
  <c r="EH1174" i="1"/>
  <c r="EG1174" i="1"/>
  <c r="EN1173" i="1"/>
  <c r="EM1173" i="1"/>
  <c r="EH1173" i="1"/>
  <c r="EG1173" i="1"/>
  <c r="EN1172" i="1"/>
  <c r="EM1172" i="1"/>
  <c r="EH1172" i="1"/>
  <c r="EG1172" i="1"/>
  <c r="EN1171" i="1"/>
  <c r="EM1171" i="1"/>
  <c r="EH1171" i="1"/>
  <c r="EG1171" i="1"/>
  <c r="EN1170" i="1"/>
  <c r="EM1170" i="1"/>
  <c r="EH1170" i="1"/>
  <c r="EG1170" i="1"/>
  <c r="EN1169" i="1"/>
  <c r="EM1169" i="1"/>
  <c r="EH1169" i="1"/>
  <c r="EG1169" i="1"/>
  <c r="EN1168" i="1"/>
  <c r="EM1168" i="1"/>
  <c r="EH1168" i="1"/>
  <c r="EG1168" i="1"/>
  <c r="EN1167" i="1"/>
  <c r="EM1167" i="1"/>
  <c r="EH1167" i="1"/>
  <c r="EG1167" i="1"/>
  <c r="EN1166" i="1"/>
  <c r="EM1166" i="1"/>
  <c r="EH1166" i="1"/>
  <c r="EG1166" i="1"/>
  <c r="EN1165" i="1"/>
  <c r="EM1165" i="1"/>
  <c r="EH1165" i="1"/>
  <c r="EG1165" i="1"/>
  <c r="EN1164" i="1"/>
  <c r="EM1164" i="1"/>
  <c r="EH1164" i="1"/>
  <c r="EG1164" i="1"/>
  <c r="EN1163" i="1"/>
  <c r="EM1163" i="1"/>
  <c r="EH1163" i="1"/>
  <c r="EG1163" i="1"/>
  <c r="EN1162" i="1"/>
  <c r="EM1162" i="1"/>
  <c r="EH1162" i="1"/>
  <c r="EG1162" i="1"/>
  <c r="EN1161" i="1"/>
  <c r="EM1161" i="1"/>
  <c r="EH1161" i="1"/>
  <c r="EG1161" i="1"/>
  <c r="EN1160" i="1"/>
  <c r="EM1160" i="1"/>
  <c r="EH1160" i="1"/>
  <c r="EG1160" i="1"/>
  <c r="EN1159" i="1"/>
  <c r="EM1159" i="1"/>
  <c r="EH1159" i="1"/>
  <c r="EG1159" i="1"/>
  <c r="EN1158" i="1"/>
  <c r="EM1158" i="1"/>
  <c r="EH1158" i="1"/>
  <c r="EG1158" i="1"/>
  <c r="EN1157" i="1"/>
  <c r="EM1157" i="1"/>
  <c r="EH1157" i="1"/>
  <c r="EG1157" i="1"/>
  <c r="EN1156" i="1"/>
  <c r="EM1156" i="1"/>
  <c r="EH1156" i="1"/>
  <c r="EG1156" i="1"/>
  <c r="EN1155" i="1"/>
  <c r="EM1155" i="1"/>
  <c r="EH1155" i="1"/>
  <c r="EG1155" i="1"/>
  <c r="EN1154" i="1"/>
  <c r="EM1154" i="1"/>
  <c r="EH1154" i="1"/>
  <c r="EG1154" i="1"/>
  <c r="EN1153" i="1"/>
  <c r="EM1153" i="1"/>
  <c r="EH1153" i="1"/>
  <c r="EG1153" i="1"/>
  <c r="EN1152" i="1"/>
  <c r="EM1152" i="1"/>
  <c r="EH1152" i="1"/>
  <c r="EG1152" i="1"/>
  <c r="EN1151" i="1"/>
  <c r="EM1151" i="1"/>
  <c r="EH1151" i="1"/>
  <c r="EG1151" i="1"/>
  <c r="EN1150" i="1"/>
  <c r="EM1150" i="1"/>
  <c r="EH1150" i="1"/>
  <c r="EG1150" i="1"/>
  <c r="EN1149" i="1"/>
  <c r="EM1149" i="1"/>
  <c r="EH1149" i="1"/>
  <c r="EG1149" i="1"/>
  <c r="EN1148" i="1"/>
  <c r="EM1148" i="1"/>
  <c r="EH1148" i="1"/>
  <c r="EG1148" i="1"/>
  <c r="EN1147" i="1"/>
  <c r="EM1147" i="1"/>
  <c r="EH1147" i="1"/>
  <c r="EG1147" i="1"/>
  <c r="EN1146" i="1"/>
  <c r="EM1146" i="1"/>
  <c r="EH1146" i="1"/>
  <c r="EG1146" i="1"/>
  <c r="EN1145" i="1"/>
  <c r="EM1145" i="1"/>
  <c r="EH1145" i="1"/>
  <c r="EG1145" i="1"/>
  <c r="EN1144" i="1"/>
  <c r="EM1144" i="1"/>
  <c r="EH1144" i="1"/>
  <c r="EG1144" i="1"/>
  <c r="EN1143" i="1"/>
  <c r="EM1143" i="1"/>
  <c r="EH1143" i="1"/>
  <c r="EG1143" i="1"/>
  <c r="EN1142" i="1"/>
  <c r="EM1142" i="1"/>
  <c r="EH1142" i="1"/>
  <c r="EG1142" i="1"/>
  <c r="EN1141" i="1"/>
  <c r="EM1141" i="1"/>
  <c r="EH1141" i="1"/>
  <c r="EG1141" i="1"/>
  <c r="EN1140" i="1"/>
  <c r="EM1140" i="1"/>
  <c r="EH1140" i="1"/>
  <c r="EG1140" i="1"/>
  <c r="EN1139" i="1"/>
  <c r="EM1139" i="1"/>
  <c r="EH1139" i="1"/>
  <c r="EG1139" i="1"/>
  <c r="EN1138" i="1"/>
  <c r="EM1138" i="1"/>
  <c r="EH1138" i="1"/>
  <c r="EG1138" i="1"/>
  <c r="EN1137" i="1"/>
  <c r="EM1137" i="1"/>
  <c r="EH1137" i="1"/>
  <c r="EG1137" i="1"/>
  <c r="EN1136" i="1"/>
  <c r="EM1136" i="1"/>
  <c r="EH1136" i="1"/>
  <c r="EG1136" i="1"/>
  <c r="EN1135" i="1"/>
  <c r="EM1135" i="1"/>
  <c r="EH1135" i="1"/>
  <c r="EG1135" i="1"/>
  <c r="EN1134" i="1"/>
  <c r="EM1134" i="1"/>
  <c r="EH1134" i="1"/>
  <c r="EG1134" i="1"/>
  <c r="EN1133" i="1"/>
  <c r="EM1133" i="1"/>
  <c r="EH1133" i="1"/>
  <c r="EG1133" i="1"/>
  <c r="EN1132" i="1"/>
  <c r="EM1132" i="1"/>
  <c r="EH1132" i="1"/>
  <c r="EG1132" i="1"/>
  <c r="EN1131" i="1"/>
  <c r="EM1131" i="1"/>
  <c r="EH1131" i="1"/>
  <c r="EG1131" i="1"/>
  <c r="EN1130" i="1"/>
  <c r="EM1130" i="1"/>
  <c r="EH1130" i="1"/>
  <c r="EG1130" i="1"/>
  <c r="EN1129" i="1"/>
  <c r="EM1129" i="1"/>
  <c r="EH1129" i="1"/>
  <c r="EG1129" i="1"/>
  <c r="EN1128" i="1"/>
  <c r="EM1128" i="1"/>
  <c r="EH1128" i="1"/>
  <c r="EG1128" i="1"/>
  <c r="EN1127" i="1"/>
  <c r="EM1127" i="1"/>
  <c r="EH1127" i="1"/>
  <c r="EG1127" i="1"/>
  <c r="EN1126" i="1"/>
  <c r="EM1126" i="1"/>
  <c r="EH1126" i="1"/>
  <c r="EG1126" i="1"/>
  <c r="EN1125" i="1"/>
  <c r="EM1125" i="1"/>
  <c r="EH1125" i="1"/>
  <c r="EG1125" i="1"/>
  <c r="EN1124" i="1"/>
  <c r="EM1124" i="1"/>
  <c r="EH1124" i="1"/>
  <c r="EG1124" i="1"/>
  <c r="EN1123" i="1"/>
  <c r="EM1123" i="1"/>
  <c r="EH1123" i="1"/>
  <c r="EG1123" i="1"/>
  <c r="EN1122" i="1"/>
  <c r="EM1122" i="1"/>
  <c r="EH1122" i="1"/>
  <c r="EG1122" i="1"/>
  <c r="EN1121" i="1"/>
  <c r="EM1121" i="1"/>
  <c r="EH1121" i="1"/>
  <c r="EG1121" i="1"/>
  <c r="EN1120" i="1"/>
  <c r="EM1120" i="1"/>
  <c r="EH1120" i="1"/>
  <c r="EG1120" i="1"/>
  <c r="EN1119" i="1"/>
  <c r="EM1119" i="1"/>
  <c r="EH1119" i="1"/>
  <c r="EG1119" i="1"/>
  <c r="EN1118" i="1"/>
  <c r="EM1118" i="1"/>
  <c r="EH1118" i="1"/>
  <c r="EG1118" i="1"/>
  <c r="EN1117" i="1"/>
  <c r="EM1117" i="1"/>
  <c r="EH1117" i="1"/>
  <c r="EG1117" i="1"/>
  <c r="EN1116" i="1"/>
  <c r="EM1116" i="1"/>
  <c r="EH1116" i="1"/>
  <c r="EG1116" i="1"/>
  <c r="EN1115" i="1"/>
  <c r="EM1115" i="1"/>
  <c r="EH1115" i="1"/>
  <c r="EG1115" i="1"/>
  <c r="EN1114" i="1"/>
  <c r="EM1114" i="1"/>
  <c r="EH1114" i="1"/>
  <c r="EG1114" i="1"/>
  <c r="EN1113" i="1"/>
  <c r="EM1113" i="1"/>
  <c r="EH1113" i="1"/>
  <c r="EG1113" i="1"/>
  <c r="EN1112" i="1"/>
  <c r="EM1112" i="1"/>
  <c r="EH1112" i="1"/>
  <c r="EG1112" i="1"/>
  <c r="EN1111" i="1"/>
  <c r="EM1111" i="1"/>
  <c r="EH1111" i="1"/>
  <c r="EG1111" i="1"/>
  <c r="EN1110" i="1"/>
  <c r="EM1110" i="1"/>
  <c r="EH1110" i="1"/>
  <c r="EG1110" i="1"/>
  <c r="EN1109" i="1"/>
  <c r="EM1109" i="1"/>
  <c r="EH1109" i="1"/>
  <c r="EG1109" i="1"/>
  <c r="EN1108" i="1"/>
  <c r="EM1108" i="1"/>
  <c r="EH1108" i="1"/>
  <c r="EG1108" i="1"/>
  <c r="EN1107" i="1"/>
  <c r="EM1107" i="1"/>
  <c r="EH1107" i="1"/>
  <c r="EG1107" i="1"/>
  <c r="EN1106" i="1"/>
  <c r="EM1106" i="1"/>
  <c r="EH1106" i="1"/>
  <c r="EG1106" i="1"/>
  <c r="EN1105" i="1"/>
  <c r="EM1105" i="1"/>
  <c r="EH1105" i="1"/>
  <c r="EG1105" i="1"/>
  <c r="EN1104" i="1"/>
  <c r="EM1104" i="1"/>
  <c r="EH1104" i="1"/>
  <c r="EG1104" i="1"/>
  <c r="EN1103" i="1"/>
  <c r="EM1103" i="1"/>
  <c r="EH1103" i="1"/>
  <c r="EG1103" i="1"/>
  <c r="EN1102" i="1"/>
  <c r="EM1102" i="1"/>
  <c r="EH1102" i="1"/>
  <c r="EG1102" i="1"/>
  <c r="EN1101" i="1"/>
  <c r="EM1101" i="1"/>
  <c r="EH1101" i="1"/>
  <c r="EG1101" i="1"/>
  <c r="EN1100" i="1"/>
  <c r="EM1100" i="1"/>
  <c r="EH1100" i="1"/>
  <c r="EG1100" i="1"/>
  <c r="EN1099" i="1"/>
  <c r="EM1099" i="1"/>
  <c r="EH1099" i="1"/>
  <c r="EG1099" i="1"/>
  <c r="EN1098" i="1"/>
  <c r="EM1098" i="1"/>
  <c r="EH1098" i="1"/>
  <c r="EG1098" i="1"/>
  <c r="EN1097" i="1"/>
  <c r="EM1097" i="1"/>
  <c r="EH1097" i="1"/>
  <c r="EG1097" i="1"/>
  <c r="EN1096" i="1"/>
  <c r="EM1096" i="1"/>
  <c r="EH1096" i="1"/>
  <c r="EG1096" i="1"/>
  <c r="EN1095" i="1"/>
  <c r="EM1095" i="1"/>
  <c r="EH1095" i="1"/>
  <c r="EG1095" i="1"/>
  <c r="EN1094" i="1"/>
  <c r="EM1094" i="1"/>
  <c r="EH1094" i="1"/>
  <c r="EG1094" i="1"/>
  <c r="EN1093" i="1"/>
  <c r="EM1093" i="1"/>
  <c r="EH1093" i="1"/>
  <c r="EG1093" i="1"/>
  <c r="EN1092" i="1"/>
  <c r="EM1092" i="1"/>
  <c r="EH1092" i="1"/>
  <c r="EG1092" i="1"/>
  <c r="EN1091" i="1"/>
  <c r="EM1091" i="1"/>
  <c r="EH1091" i="1"/>
  <c r="EG1091" i="1"/>
  <c r="EN1090" i="1"/>
  <c r="EM1090" i="1"/>
  <c r="EH1090" i="1"/>
  <c r="EG1090" i="1"/>
  <c r="EN1089" i="1"/>
  <c r="EM1089" i="1"/>
  <c r="EH1089" i="1"/>
  <c r="EG1089" i="1"/>
  <c r="EN1088" i="1"/>
  <c r="EM1088" i="1"/>
  <c r="EH1088" i="1"/>
  <c r="EG1088" i="1"/>
  <c r="EN1087" i="1"/>
  <c r="EM1087" i="1"/>
  <c r="EH1087" i="1"/>
  <c r="EG1087" i="1"/>
  <c r="EN1086" i="1"/>
  <c r="EM1086" i="1"/>
  <c r="EH1086" i="1"/>
  <c r="EG1086" i="1"/>
  <c r="EN1085" i="1"/>
  <c r="EM1085" i="1"/>
  <c r="EH1085" i="1"/>
  <c r="EG1085" i="1"/>
  <c r="EN1084" i="1"/>
  <c r="EM1084" i="1"/>
  <c r="EH1084" i="1"/>
  <c r="EG1084" i="1"/>
  <c r="EN1083" i="1"/>
  <c r="EM1083" i="1"/>
  <c r="EH1083" i="1"/>
  <c r="EG1083" i="1"/>
  <c r="EN1082" i="1"/>
  <c r="EM1082" i="1"/>
  <c r="EH1082" i="1"/>
  <c r="EG1082" i="1"/>
  <c r="EN1081" i="1"/>
  <c r="EM1081" i="1"/>
  <c r="EH1081" i="1"/>
  <c r="EG1081" i="1"/>
  <c r="EN1080" i="1"/>
  <c r="EM1080" i="1"/>
  <c r="EH1080" i="1"/>
  <c r="EG1080" i="1"/>
  <c r="EN1079" i="1"/>
  <c r="EM1079" i="1"/>
  <c r="EH1079" i="1"/>
  <c r="EG1079" i="1"/>
  <c r="EN1078" i="1"/>
  <c r="EM1078" i="1"/>
  <c r="EH1078" i="1"/>
  <c r="EG1078" i="1"/>
  <c r="EN1077" i="1"/>
  <c r="EM1077" i="1"/>
  <c r="EH1077" i="1"/>
  <c r="EG1077" i="1"/>
  <c r="EN1076" i="1"/>
  <c r="EM1076" i="1"/>
  <c r="EH1076" i="1"/>
  <c r="EG1076" i="1"/>
  <c r="EN1075" i="1"/>
  <c r="EM1075" i="1"/>
  <c r="EH1075" i="1"/>
  <c r="EG1075" i="1"/>
  <c r="EN1074" i="1"/>
  <c r="EM1074" i="1"/>
  <c r="EH1074" i="1"/>
  <c r="EG1074" i="1"/>
  <c r="EN1073" i="1"/>
  <c r="EM1073" i="1"/>
  <c r="EH1073" i="1"/>
  <c r="EG1073" i="1"/>
  <c r="EN1072" i="1"/>
  <c r="EM1072" i="1"/>
  <c r="EH1072" i="1"/>
  <c r="EG1072" i="1"/>
  <c r="EN1071" i="1"/>
  <c r="EM1071" i="1"/>
  <c r="EH1071" i="1"/>
  <c r="EG1071" i="1"/>
  <c r="EN1070" i="1"/>
  <c r="EM1070" i="1"/>
  <c r="EH1070" i="1"/>
  <c r="EG1070" i="1"/>
  <c r="EN1069" i="1"/>
  <c r="EM1069" i="1"/>
  <c r="EH1069" i="1"/>
  <c r="EG1069" i="1"/>
  <c r="EN1068" i="1"/>
  <c r="EM1068" i="1"/>
  <c r="EH1068" i="1"/>
  <c r="EG1068" i="1"/>
  <c r="EN1067" i="1"/>
  <c r="EM1067" i="1"/>
  <c r="EH1067" i="1"/>
  <c r="EG1067" i="1"/>
  <c r="EN1066" i="1"/>
  <c r="EM1066" i="1"/>
  <c r="EH1066" i="1"/>
  <c r="EG1066" i="1"/>
  <c r="EN1065" i="1"/>
  <c r="EM1065" i="1"/>
  <c r="EH1065" i="1"/>
  <c r="EG1065" i="1"/>
  <c r="EN1064" i="1"/>
  <c r="EM1064" i="1"/>
  <c r="EH1064" i="1"/>
  <c r="EG1064" i="1"/>
  <c r="EN1063" i="1"/>
  <c r="EM1063" i="1"/>
  <c r="EH1063" i="1"/>
  <c r="EG1063" i="1"/>
  <c r="EN1062" i="1"/>
  <c r="EM1062" i="1"/>
  <c r="EH1062" i="1"/>
  <c r="EG1062" i="1"/>
  <c r="EN1061" i="1"/>
  <c r="EM1061" i="1"/>
  <c r="EH1061" i="1"/>
  <c r="EG1061" i="1"/>
  <c r="EN1060" i="1"/>
  <c r="EM1060" i="1"/>
  <c r="EH1060" i="1"/>
  <c r="EG1060" i="1"/>
  <c r="EN1059" i="1"/>
  <c r="EM1059" i="1"/>
  <c r="EH1059" i="1"/>
  <c r="EG1059" i="1"/>
  <c r="EN1058" i="1"/>
  <c r="EM1058" i="1"/>
  <c r="EH1058" i="1"/>
  <c r="EG1058" i="1"/>
  <c r="EN1057" i="1"/>
  <c r="EM1057" i="1"/>
  <c r="EH1057" i="1"/>
  <c r="EG1057" i="1"/>
  <c r="EN1056" i="1"/>
  <c r="EM1056" i="1"/>
  <c r="EH1056" i="1"/>
  <c r="EG1056" i="1"/>
  <c r="EN1055" i="1"/>
  <c r="EM1055" i="1"/>
  <c r="EH1055" i="1"/>
  <c r="EG1055" i="1"/>
  <c r="EN1054" i="1"/>
  <c r="EM1054" i="1"/>
  <c r="EH1054" i="1"/>
  <c r="EG1054" i="1"/>
  <c r="EN1053" i="1"/>
  <c r="EM1053" i="1"/>
  <c r="EH1053" i="1"/>
  <c r="EG1053" i="1"/>
  <c r="EN1052" i="1"/>
  <c r="EM1052" i="1"/>
  <c r="EH1052" i="1"/>
  <c r="EG1052" i="1"/>
  <c r="EN1051" i="1"/>
  <c r="EM1051" i="1"/>
  <c r="EH1051" i="1"/>
  <c r="EG1051" i="1"/>
  <c r="EN1050" i="1"/>
  <c r="EM1050" i="1"/>
  <c r="EH1050" i="1"/>
  <c r="EG1050" i="1"/>
  <c r="EN1049" i="1"/>
  <c r="EM1049" i="1"/>
  <c r="EH1049" i="1"/>
  <c r="EG1049" i="1"/>
  <c r="EN1048" i="1"/>
  <c r="EM1048" i="1"/>
  <c r="EH1048" i="1"/>
  <c r="EG1048" i="1"/>
  <c r="EN1047" i="1"/>
  <c r="EM1047" i="1"/>
  <c r="EH1047" i="1"/>
  <c r="EG1047" i="1"/>
  <c r="EN1046" i="1"/>
  <c r="EM1046" i="1"/>
  <c r="EH1046" i="1"/>
  <c r="EG1046" i="1"/>
  <c r="EN1045" i="1"/>
  <c r="EM1045" i="1"/>
  <c r="EH1045" i="1"/>
  <c r="EG1045" i="1"/>
  <c r="EN1044" i="1"/>
  <c r="EM1044" i="1"/>
  <c r="EH1044" i="1"/>
  <c r="EG1044" i="1"/>
  <c r="EN1043" i="1"/>
  <c r="EM1043" i="1"/>
  <c r="EH1043" i="1"/>
  <c r="EG1043" i="1"/>
  <c r="EN1042" i="1"/>
  <c r="EM1042" i="1"/>
  <c r="EH1042" i="1"/>
  <c r="EG1042" i="1"/>
  <c r="EN1041" i="1"/>
  <c r="EM1041" i="1"/>
  <c r="EH1041" i="1"/>
  <c r="EG1041" i="1"/>
  <c r="EN1040" i="1"/>
  <c r="EM1040" i="1"/>
  <c r="EH1040" i="1"/>
  <c r="EG1040" i="1"/>
  <c r="EN1039" i="1"/>
  <c r="EM1039" i="1"/>
  <c r="EH1039" i="1"/>
  <c r="EG1039" i="1"/>
  <c r="EN1038" i="1"/>
  <c r="EM1038" i="1"/>
  <c r="EH1038" i="1"/>
  <c r="EG1038" i="1"/>
  <c r="EN1037" i="1"/>
  <c r="EM1037" i="1"/>
  <c r="EH1037" i="1"/>
  <c r="EG1037" i="1"/>
  <c r="EN1036" i="1"/>
  <c r="EM1036" i="1"/>
  <c r="EH1036" i="1"/>
  <c r="EG1036" i="1"/>
  <c r="EN1035" i="1"/>
  <c r="EM1035" i="1"/>
  <c r="EH1035" i="1"/>
  <c r="EG1035" i="1"/>
  <c r="EN1034" i="1"/>
  <c r="EM1034" i="1"/>
  <c r="EH1034" i="1"/>
  <c r="EG1034" i="1"/>
  <c r="EN1033" i="1"/>
  <c r="EM1033" i="1"/>
  <c r="EH1033" i="1"/>
  <c r="EG1033" i="1"/>
  <c r="EN1032" i="1"/>
  <c r="EM1032" i="1"/>
  <c r="EH1032" i="1"/>
  <c r="EG1032" i="1"/>
  <c r="EN1031" i="1"/>
  <c r="EM1031" i="1"/>
  <c r="EH1031" i="1"/>
  <c r="EG1031" i="1"/>
  <c r="EN1030" i="1"/>
  <c r="EM1030" i="1"/>
  <c r="EH1030" i="1"/>
  <c r="EG1030" i="1"/>
  <c r="EN1029" i="1"/>
  <c r="EM1029" i="1"/>
  <c r="EH1029" i="1"/>
  <c r="EG1029" i="1"/>
  <c r="EN1028" i="1"/>
  <c r="EM1028" i="1"/>
  <c r="EH1028" i="1"/>
  <c r="EG1028" i="1"/>
  <c r="EN1027" i="1"/>
  <c r="EM1027" i="1"/>
  <c r="EH1027" i="1"/>
  <c r="EG1027" i="1"/>
  <c r="EN1026" i="1"/>
  <c r="EM1026" i="1"/>
  <c r="EH1026" i="1"/>
  <c r="EG1026" i="1"/>
  <c r="EN1025" i="1"/>
  <c r="EM1025" i="1"/>
  <c r="EH1025" i="1"/>
  <c r="EG1025" i="1"/>
  <c r="EN1024" i="1"/>
  <c r="EM1024" i="1"/>
  <c r="EH1024" i="1"/>
  <c r="EG1024" i="1"/>
  <c r="EN1023" i="1"/>
  <c r="EM1023" i="1"/>
  <c r="EH1023" i="1"/>
  <c r="EG1023" i="1"/>
  <c r="EN1022" i="1"/>
  <c r="EM1022" i="1"/>
  <c r="EH1022" i="1"/>
  <c r="EG1022" i="1"/>
  <c r="EN1021" i="1"/>
  <c r="EM1021" i="1"/>
  <c r="EH1021" i="1"/>
  <c r="EG1021" i="1"/>
  <c r="EN1020" i="1"/>
  <c r="EM1020" i="1"/>
  <c r="EH1020" i="1"/>
  <c r="EG1020" i="1"/>
  <c r="EN1019" i="1"/>
  <c r="EM1019" i="1"/>
  <c r="EH1019" i="1"/>
  <c r="EG1019" i="1"/>
  <c r="EN1018" i="1"/>
  <c r="EM1018" i="1"/>
  <c r="EH1018" i="1"/>
  <c r="EG1018" i="1"/>
  <c r="EN1017" i="1"/>
  <c r="EM1017" i="1"/>
  <c r="EH1017" i="1"/>
  <c r="EG1017" i="1"/>
  <c r="EN1016" i="1"/>
  <c r="EM1016" i="1"/>
  <c r="EH1016" i="1"/>
  <c r="EG1016" i="1"/>
  <c r="EN1015" i="1"/>
  <c r="EM1015" i="1"/>
  <c r="EH1015" i="1"/>
  <c r="EG1015" i="1"/>
  <c r="EN1014" i="1"/>
  <c r="EM1014" i="1"/>
  <c r="EH1014" i="1"/>
  <c r="EG1014" i="1"/>
  <c r="EN1013" i="1"/>
  <c r="EM1013" i="1"/>
  <c r="EH1013" i="1"/>
  <c r="EG1013" i="1"/>
  <c r="EN1012" i="1"/>
  <c r="EM1012" i="1"/>
  <c r="EH1012" i="1"/>
  <c r="EG1012" i="1"/>
  <c r="EN1011" i="1"/>
  <c r="EM1011" i="1"/>
  <c r="EH1011" i="1"/>
  <c r="EG1011" i="1"/>
  <c r="EN1010" i="1"/>
  <c r="EM1010" i="1"/>
  <c r="EH1010" i="1"/>
  <c r="EG1010" i="1"/>
  <c r="EN1009" i="1"/>
  <c r="EM1009" i="1"/>
  <c r="EH1009" i="1"/>
  <c r="EG1009" i="1"/>
  <c r="EN1008" i="1"/>
  <c r="EM1008" i="1"/>
  <c r="EH1008" i="1"/>
  <c r="EG1008" i="1"/>
  <c r="EN1007" i="1"/>
  <c r="EM1007" i="1"/>
  <c r="EH1007" i="1"/>
  <c r="EG1007" i="1"/>
  <c r="EN1006" i="1"/>
  <c r="EM1006" i="1"/>
  <c r="EH1006" i="1"/>
  <c r="EG1006" i="1"/>
  <c r="EN1005" i="1"/>
  <c r="EM1005" i="1"/>
  <c r="EH1005" i="1"/>
  <c r="EG1005" i="1"/>
  <c r="EN1004" i="1"/>
  <c r="EM1004" i="1"/>
  <c r="EH1004" i="1"/>
  <c r="EG1004" i="1"/>
  <c r="EN1003" i="1"/>
  <c r="EM1003" i="1"/>
  <c r="EH1003" i="1"/>
  <c r="EG1003" i="1"/>
  <c r="EN1002" i="1"/>
  <c r="EM1002" i="1"/>
  <c r="EH1002" i="1"/>
  <c r="EG1002" i="1"/>
  <c r="EN1001" i="1"/>
  <c r="EM1001" i="1"/>
  <c r="EH1001" i="1"/>
  <c r="EG1001" i="1"/>
  <c r="EN1000" i="1"/>
  <c r="EM1000" i="1"/>
  <c r="EH1000" i="1"/>
  <c r="EG1000" i="1"/>
  <c r="EN999" i="1"/>
  <c r="EM999" i="1"/>
  <c r="EH999" i="1"/>
  <c r="EG999" i="1"/>
  <c r="EN998" i="1"/>
  <c r="EM998" i="1"/>
  <c r="EH998" i="1"/>
  <c r="EG998" i="1"/>
  <c r="EN997" i="1"/>
  <c r="EM997" i="1"/>
  <c r="EH997" i="1"/>
  <c r="EG997" i="1"/>
  <c r="EN996" i="1"/>
  <c r="EM996" i="1"/>
  <c r="EH996" i="1"/>
  <c r="EG996" i="1"/>
  <c r="EN995" i="1"/>
  <c r="EM995" i="1"/>
  <c r="EH995" i="1"/>
  <c r="EG995" i="1"/>
  <c r="EN994" i="1"/>
  <c r="EM994" i="1"/>
  <c r="EH994" i="1"/>
  <c r="EG994" i="1"/>
  <c r="EN993" i="1"/>
  <c r="EM993" i="1"/>
  <c r="EH993" i="1"/>
  <c r="EG993" i="1"/>
  <c r="EN992" i="1"/>
  <c r="EM992" i="1"/>
  <c r="EH992" i="1"/>
  <c r="EG992" i="1"/>
  <c r="EN991" i="1"/>
  <c r="EM991" i="1"/>
  <c r="EH991" i="1"/>
  <c r="EG991" i="1"/>
  <c r="EN990" i="1"/>
  <c r="EM990" i="1"/>
  <c r="EH990" i="1"/>
  <c r="EG990" i="1"/>
  <c r="EN989" i="1"/>
  <c r="EM989" i="1"/>
  <c r="EH989" i="1"/>
  <c r="EG989" i="1"/>
  <c r="EN988" i="1"/>
  <c r="EM988" i="1"/>
  <c r="EH988" i="1"/>
  <c r="EG988" i="1"/>
  <c r="EN987" i="1"/>
  <c r="EM987" i="1"/>
  <c r="EH987" i="1"/>
  <c r="EG987" i="1"/>
  <c r="EN986" i="1"/>
  <c r="EM986" i="1"/>
  <c r="EH986" i="1"/>
  <c r="EG986" i="1"/>
  <c r="EN985" i="1"/>
  <c r="EM985" i="1"/>
  <c r="EH985" i="1"/>
  <c r="EG985" i="1"/>
  <c r="EN984" i="1"/>
  <c r="EM984" i="1"/>
  <c r="EH984" i="1"/>
  <c r="EG984" i="1"/>
  <c r="EN983" i="1"/>
  <c r="EM983" i="1"/>
  <c r="EH983" i="1"/>
  <c r="EG983" i="1"/>
  <c r="EN982" i="1"/>
  <c r="EM982" i="1"/>
  <c r="EH982" i="1"/>
  <c r="EG982" i="1"/>
  <c r="EN981" i="1"/>
  <c r="EM981" i="1"/>
  <c r="EH981" i="1"/>
  <c r="EG981" i="1"/>
  <c r="EN980" i="1"/>
  <c r="EM980" i="1"/>
  <c r="EH980" i="1"/>
  <c r="EG980" i="1"/>
  <c r="EN979" i="1"/>
  <c r="EM979" i="1"/>
  <c r="EH979" i="1"/>
  <c r="EG979" i="1"/>
  <c r="EN978" i="1"/>
  <c r="EM978" i="1"/>
  <c r="EH978" i="1"/>
  <c r="EG978" i="1"/>
  <c r="EN977" i="1"/>
  <c r="EM977" i="1"/>
  <c r="EH977" i="1"/>
  <c r="EG977" i="1"/>
  <c r="EN976" i="1"/>
  <c r="EM976" i="1"/>
  <c r="EH976" i="1"/>
  <c r="EG976" i="1"/>
  <c r="EN975" i="1"/>
  <c r="EM975" i="1"/>
  <c r="EH975" i="1"/>
  <c r="EG975" i="1"/>
  <c r="EN974" i="1"/>
  <c r="EM974" i="1"/>
  <c r="EH974" i="1"/>
  <c r="EG974" i="1"/>
  <c r="EN973" i="1"/>
  <c r="EM973" i="1"/>
  <c r="EH973" i="1"/>
  <c r="EG973" i="1"/>
  <c r="EN972" i="1"/>
  <c r="EM972" i="1"/>
  <c r="EH972" i="1"/>
  <c r="EG972" i="1"/>
  <c r="EN971" i="1"/>
  <c r="EM971" i="1"/>
  <c r="EH971" i="1"/>
  <c r="EG971" i="1"/>
  <c r="EN970" i="1"/>
  <c r="EM970" i="1"/>
  <c r="EH970" i="1"/>
  <c r="EG970" i="1"/>
  <c r="EN969" i="1"/>
  <c r="EM969" i="1"/>
  <c r="EH969" i="1"/>
  <c r="EG969" i="1"/>
  <c r="EN968" i="1"/>
  <c r="EM968" i="1"/>
  <c r="EH968" i="1"/>
  <c r="EG968" i="1"/>
  <c r="EN967" i="1"/>
  <c r="EM967" i="1"/>
  <c r="EH967" i="1"/>
  <c r="EG967" i="1"/>
  <c r="EN966" i="1"/>
  <c r="EM966" i="1"/>
  <c r="EH966" i="1"/>
  <c r="EG966" i="1"/>
  <c r="EN965" i="1"/>
  <c r="EM965" i="1"/>
  <c r="EH965" i="1"/>
  <c r="EG965" i="1"/>
  <c r="EN964" i="1"/>
  <c r="EM964" i="1"/>
  <c r="EH964" i="1"/>
  <c r="EG964" i="1"/>
  <c r="EN963" i="1"/>
  <c r="EM963" i="1"/>
  <c r="EH963" i="1"/>
  <c r="EG963" i="1"/>
  <c r="EN962" i="1"/>
  <c r="EM962" i="1"/>
  <c r="EH962" i="1"/>
  <c r="EG962" i="1"/>
  <c r="EN961" i="1"/>
  <c r="EM961" i="1"/>
  <c r="EH961" i="1"/>
  <c r="EG961" i="1"/>
  <c r="EN960" i="1"/>
  <c r="EM960" i="1"/>
  <c r="EH960" i="1"/>
  <c r="EG960" i="1"/>
  <c r="EN959" i="1"/>
  <c r="EM959" i="1"/>
  <c r="EH959" i="1"/>
  <c r="EG959" i="1"/>
  <c r="EN958" i="1"/>
  <c r="EM958" i="1"/>
  <c r="EH958" i="1"/>
  <c r="EG958" i="1"/>
  <c r="EN957" i="1"/>
  <c r="EM957" i="1"/>
  <c r="EH957" i="1"/>
  <c r="EG957" i="1"/>
  <c r="EN956" i="1"/>
  <c r="EM956" i="1"/>
  <c r="EH956" i="1"/>
  <c r="EG956" i="1"/>
  <c r="EN955" i="1"/>
  <c r="EM955" i="1"/>
  <c r="EH955" i="1"/>
  <c r="EG955" i="1"/>
  <c r="EN954" i="1"/>
  <c r="EM954" i="1"/>
  <c r="EH954" i="1"/>
  <c r="EG954" i="1"/>
  <c r="EN953" i="1"/>
  <c r="EM953" i="1"/>
  <c r="EH953" i="1"/>
  <c r="EG953" i="1"/>
  <c r="EN952" i="1"/>
  <c r="EM952" i="1"/>
  <c r="EH952" i="1"/>
  <c r="EG952" i="1"/>
  <c r="EN951" i="1"/>
  <c r="EM951" i="1"/>
  <c r="EH951" i="1"/>
  <c r="EG951" i="1"/>
  <c r="EN950" i="1"/>
  <c r="EM950" i="1"/>
  <c r="EH950" i="1"/>
  <c r="EG950" i="1"/>
  <c r="EN949" i="1"/>
  <c r="EM949" i="1"/>
  <c r="EH949" i="1"/>
  <c r="EG949" i="1"/>
  <c r="EN948" i="1"/>
  <c r="EM948" i="1"/>
  <c r="EH948" i="1"/>
  <c r="EG948" i="1"/>
  <c r="EN947" i="1"/>
  <c r="EM947" i="1"/>
  <c r="EH947" i="1"/>
  <c r="EG947" i="1"/>
  <c r="EN946" i="1"/>
  <c r="EM946" i="1"/>
  <c r="EH946" i="1"/>
  <c r="EG946" i="1"/>
  <c r="EN945" i="1"/>
  <c r="EM945" i="1"/>
  <c r="EH945" i="1"/>
  <c r="EG945" i="1"/>
  <c r="EN944" i="1"/>
  <c r="EM944" i="1"/>
  <c r="EH944" i="1"/>
  <c r="EG944" i="1"/>
  <c r="EN943" i="1"/>
  <c r="EM943" i="1"/>
  <c r="EH943" i="1"/>
  <c r="EG943" i="1"/>
  <c r="EN942" i="1"/>
  <c r="EM942" i="1"/>
  <c r="EH942" i="1"/>
  <c r="EG942" i="1"/>
  <c r="EN941" i="1"/>
  <c r="EM941" i="1"/>
  <c r="EH941" i="1"/>
  <c r="EG941" i="1"/>
  <c r="EN940" i="1"/>
  <c r="EM940" i="1"/>
  <c r="EH940" i="1"/>
  <c r="EG940" i="1"/>
  <c r="EN939" i="1"/>
  <c r="EM939" i="1"/>
  <c r="EH939" i="1"/>
  <c r="EG939" i="1"/>
  <c r="EN938" i="1"/>
  <c r="EM938" i="1"/>
  <c r="EH938" i="1"/>
  <c r="EG938" i="1"/>
  <c r="EN937" i="1"/>
  <c r="EM937" i="1"/>
  <c r="EH937" i="1"/>
  <c r="EG937" i="1"/>
  <c r="EN936" i="1"/>
  <c r="EM936" i="1"/>
  <c r="EH936" i="1"/>
  <c r="EG936" i="1"/>
  <c r="EN935" i="1"/>
  <c r="EM935" i="1"/>
  <c r="EH935" i="1"/>
  <c r="EG935" i="1"/>
  <c r="EN934" i="1"/>
  <c r="EM934" i="1"/>
  <c r="EH934" i="1"/>
  <c r="EG934" i="1"/>
  <c r="EN933" i="1"/>
  <c r="EM933" i="1"/>
  <c r="EH933" i="1"/>
  <c r="EG933" i="1"/>
  <c r="EN932" i="1"/>
  <c r="EM932" i="1"/>
  <c r="EH932" i="1"/>
  <c r="EG932" i="1"/>
  <c r="EN931" i="1"/>
  <c r="EM931" i="1"/>
  <c r="EH931" i="1"/>
  <c r="EG931" i="1"/>
  <c r="EN930" i="1"/>
  <c r="EM930" i="1"/>
  <c r="EH930" i="1"/>
  <c r="EG930" i="1"/>
  <c r="EN929" i="1"/>
  <c r="EM929" i="1"/>
  <c r="EH929" i="1"/>
  <c r="EG929" i="1"/>
  <c r="EN928" i="1"/>
  <c r="EM928" i="1"/>
  <c r="EH928" i="1"/>
  <c r="EG928" i="1"/>
  <c r="EN927" i="1"/>
  <c r="EM927" i="1"/>
  <c r="EH927" i="1"/>
  <c r="EG927" i="1"/>
  <c r="EN926" i="1"/>
  <c r="EM926" i="1"/>
  <c r="EH926" i="1"/>
  <c r="EG926" i="1"/>
  <c r="EN925" i="1"/>
  <c r="EM925" i="1"/>
  <c r="EH925" i="1"/>
  <c r="EG925" i="1"/>
  <c r="EN924" i="1"/>
  <c r="EM924" i="1"/>
  <c r="EH924" i="1"/>
  <c r="EG924" i="1"/>
  <c r="EN923" i="1"/>
  <c r="EM923" i="1"/>
  <c r="EH923" i="1"/>
  <c r="EG923" i="1"/>
  <c r="EN922" i="1"/>
  <c r="EM922" i="1"/>
  <c r="EH922" i="1"/>
  <c r="EG922" i="1"/>
  <c r="EN921" i="1"/>
  <c r="EM921" i="1"/>
  <c r="EH921" i="1"/>
  <c r="EG921" i="1"/>
  <c r="EN920" i="1"/>
  <c r="EM920" i="1"/>
  <c r="EH920" i="1"/>
  <c r="EG920" i="1"/>
  <c r="EN919" i="1"/>
  <c r="EM919" i="1"/>
  <c r="EH919" i="1"/>
  <c r="EG919" i="1"/>
  <c r="EN918" i="1"/>
  <c r="EM918" i="1"/>
  <c r="EH918" i="1"/>
  <c r="EG918" i="1"/>
  <c r="EN917" i="1"/>
  <c r="EM917" i="1"/>
  <c r="EH917" i="1"/>
  <c r="EG917" i="1"/>
  <c r="EN916" i="1"/>
  <c r="EM916" i="1"/>
  <c r="EH916" i="1"/>
  <c r="EG916" i="1"/>
  <c r="EN915" i="1"/>
  <c r="EM915" i="1"/>
  <c r="EH915" i="1"/>
  <c r="EG915" i="1"/>
  <c r="EN914" i="1"/>
  <c r="EM914" i="1"/>
  <c r="EH914" i="1"/>
  <c r="EG914" i="1"/>
  <c r="EN913" i="1"/>
  <c r="EM913" i="1"/>
  <c r="EH913" i="1"/>
  <c r="EG913" i="1"/>
  <c r="EN912" i="1"/>
  <c r="EM912" i="1"/>
  <c r="EH912" i="1"/>
  <c r="EG912" i="1"/>
  <c r="EN911" i="1"/>
  <c r="EM911" i="1"/>
  <c r="EH911" i="1"/>
  <c r="EG911" i="1"/>
  <c r="EN910" i="1"/>
  <c r="EM910" i="1"/>
  <c r="EH910" i="1"/>
  <c r="EG910" i="1"/>
  <c r="EN909" i="1"/>
  <c r="EM909" i="1"/>
  <c r="EH909" i="1"/>
  <c r="EG909" i="1"/>
  <c r="EN908" i="1"/>
  <c r="EM908" i="1"/>
  <c r="EH908" i="1"/>
  <c r="EG908" i="1"/>
  <c r="EN907" i="1"/>
  <c r="EM907" i="1"/>
  <c r="EH907" i="1"/>
  <c r="EG907" i="1"/>
  <c r="EN906" i="1"/>
  <c r="EM906" i="1"/>
  <c r="EH906" i="1"/>
  <c r="EG906" i="1"/>
  <c r="EN905" i="1"/>
  <c r="EM905" i="1"/>
  <c r="EH905" i="1"/>
  <c r="EG905" i="1"/>
  <c r="EN904" i="1"/>
  <c r="EM904" i="1"/>
  <c r="EH904" i="1"/>
  <c r="EG904" i="1"/>
  <c r="EN903" i="1"/>
  <c r="EM903" i="1"/>
  <c r="EH903" i="1"/>
  <c r="EG903" i="1"/>
  <c r="EN902" i="1"/>
  <c r="EM902" i="1"/>
  <c r="EH902" i="1"/>
  <c r="EG902" i="1"/>
  <c r="EN901" i="1"/>
  <c r="EM901" i="1"/>
  <c r="EH901" i="1"/>
  <c r="EG901" i="1"/>
  <c r="EN900" i="1"/>
  <c r="EM900" i="1"/>
  <c r="EH900" i="1"/>
  <c r="EG900" i="1"/>
  <c r="EN899" i="1"/>
  <c r="EM899" i="1"/>
  <c r="EH899" i="1"/>
  <c r="EG899" i="1"/>
  <c r="EN898" i="1"/>
  <c r="EM898" i="1"/>
  <c r="EH898" i="1"/>
  <c r="EG898" i="1"/>
  <c r="EN897" i="1"/>
  <c r="EM897" i="1"/>
  <c r="EH897" i="1"/>
  <c r="EG897" i="1"/>
  <c r="EN896" i="1"/>
  <c r="EM896" i="1"/>
  <c r="EH896" i="1"/>
  <c r="EG896" i="1"/>
  <c r="EN895" i="1"/>
  <c r="EM895" i="1"/>
  <c r="EH895" i="1"/>
  <c r="EG895" i="1"/>
  <c r="EN894" i="1"/>
  <c r="EM894" i="1"/>
  <c r="EH894" i="1"/>
  <c r="EG894" i="1"/>
  <c r="EN893" i="1"/>
  <c r="EM893" i="1"/>
  <c r="EH893" i="1"/>
  <c r="EG893" i="1"/>
  <c r="EN892" i="1"/>
  <c r="EM892" i="1"/>
  <c r="EH892" i="1"/>
  <c r="EG892" i="1"/>
  <c r="EN891" i="1"/>
  <c r="EM891" i="1"/>
  <c r="EH891" i="1"/>
  <c r="EG891" i="1"/>
  <c r="EN890" i="1"/>
  <c r="EM890" i="1"/>
  <c r="EH890" i="1"/>
  <c r="EG890" i="1"/>
  <c r="EN889" i="1"/>
  <c r="EM889" i="1"/>
  <c r="EH889" i="1"/>
  <c r="EG889" i="1"/>
  <c r="EN888" i="1"/>
  <c r="EM888" i="1"/>
  <c r="EH888" i="1"/>
  <c r="EG888" i="1"/>
  <c r="EN887" i="1"/>
  <c r="EM887" i="1"/>
  <c r="EH887" i="1"/>
  <c r="EG887" i="1"/>
  <c r="EN886" i="1"/>
  <c r="EM886" i="1"/>
  <c r="EH886" i="1"/>
  <c r="EG886" i="1"/>
  <c r="EN885" i="1"/>
  <c r="EM885" i="1"/>
  <c r="EH885" i="1"/>
  <c r="EG885" i="1"/>
  <c r="EN884" i="1"/>
  <c r="EM884" i="1"/>
  <c r="EH884" i="1"/>
  <c r="EG884" i="1"/>
  <c r="EN883" i="1"/>
  <c r="EM883" i="1"/>
  <c r="EH883" i="1"/>
  <c r="EG883" i="1"/>
  <c r="EN882" i="1"/>
  <c r="EM882" i="1"/>
  <c r="EH882" i="1"/>
  <c r="EG882" i="1"/>
  <c r="EN881" i="1"/>
  <c r="EM881" i="1"/>
  <c r="EH881" i="1"/>
  <c r="EG881" i="1"/>
  <c r="EN880" i="1"/>
  <c r="EM880" i="1"/>
  <c r="EH880" i="1"/>
  <c r="EG880" i="1"/>
  <c r="EN879" i="1"/>
  <c r="EM879" i="1"/>
  <c r="EH879" i="1"/>
  <c r="EG879" i="1"/>
  <c r="EN878" i="1"/>
  <c r="EM878" i="1"/>
  <c r="EH878" i="1"/>
  <c r="EG878" i="1"/>
  <c r="EN877" i="1"/>
  <c r="EM877" i="1"/>
  <c r="EH877" i="1"/>
  <c r="EG877" i="1"/>
  <c r="EN876" i="1"/>
  <c r="EM876" i="1"/>
  <c r="EH876" i="1"/>
  <c r="EG876" i="1"/>
  <c r="EN875" i="1"/>
  <c r="EM875" i="1"/>
  <c r="EH875" i="1"/>
  <c r="EG875" i="1"/>
  <c r="EN874" i="1"/>
  <c r="EM874" i="1"/>
  <c r="EH874" i="1"/>
  <c r="EG874" i="1"/>
  <c r="EN873" i="1"/>
  <c r="EM873" i="1"/>
  <c r="EH873" i="1"/>
  <c r="EG873" i="1"/>
  <c r="EN872" i="1"/>
  <c r="EM872" i="1"/>
  <c r="EH872" i="1"/>
  <c r="EG872" i="1"/>
  <c r="EN871" i="1"/>
  <c r="EM871" i="1"/>
  <c r="EH871" i="1"/>
  <c r="EG871" i="1"/>
  <c r="EN870" i="1"/>
  <c r="EM870" i="1"/>
  <c r="EH870" i="1"/>
  <c r="EG870" i="1"/>
  <c r="EN869" i="1"/>
  <c r="EM869" i="1"/>
  <c r="EH869" i="1"/>
  <c r="EG869" i="1"/>
  <c r="EN868" i="1"/>
  <c r="EM868" i="1"/>
  <c r="EH868" i="1"/>
  <c r="EG868" i="1"/>
  <c r="EN867" i="1"/>
  <c r="EM867" i="1"/>
  <c r="EH867" i="1"/>
  <c r="EG867" i="1"/>
  <c r="EN866" i="1"/>
  <c r="EM866" i="1"/>
  <c r="EH866" i="1"/>
  <c r="EG866" i="1"/>
  <c r="EN865" i="1"/>
  <c r="EM865" i="1"/>
  <c r="EH865" i="1"/>
  <c r="EG865" i="1"/>
  <c r="EN864" i="1"/>
  <c r="EM864" i="1"/>
  <c r="EH864" i="1"/>
  <c r="EG864" i="1"/>
  <c r="EN863" i="1"/>
  <c r="EM863" i="1"/>
  <c r="EH863" i="1"/>
  <c r="EG863" i="1"/>
  <c r="EN862" i="1"/>
  <c r="EM862" i="1"/>
  <c r="EH862" i="1"/>
  <c r="EG862" i="1"/>
  <c r="EN861" i="1"/>
  <c r="EM861" i="1"/>
  <c r="EH861" i="1"/>
  <c r="EG861" i="1"/>
  <c r="EN860" i="1"/>
  <c r="EM860" i="1"/>
  <c r="EH860" i="1"/>
  <c r="EG860" i="1"/>
  <c r="EN859" i="1"/>
  <c r="EM859" i="1"/>
  <c r="EH859" i="1"/>
  <c r="EG859" i="1"/>
  <c r="EN858" i="1"/>
  <c r="EM858" i="1"/>
  <c r="EH858" i="1"/>
  <c r="EG858" i="1"/>
  <c r="EN857" i="1"/>
  <c r="EM857" i="1"/>
  <c r="EH857" i="1"/>
  <c r="EG857" i="1"/>
  <c r="EN856" i="1"/>
  <c r="EM856" i="1"/>
  <c r="EH856" i="1"/>
  <c r="EG856" i="1"/>
  <c r="EN855" i="1"/>
  <c r="EM855" i="1"/>
  <c r="EH855" i="1"/>
  <c r="EG855" i="1"/>
  <c r="EN854" i="1"/>
  <c r="EM854" i="1"/>
  <c r="EH854" i="1"/>
  <c r="EG854" i="1"/>
  <c r="EN853" i="1"/>
  <c r="EM853" i="1"/>
  <c r="EH853" i="1"/>
  <c r="EG853" i="1"/>
  <c r="EN852" i="1"/>
  <c r="EM852" i="1"/>
  <c r="EH852" i="1"/>
  <c r="EG852" i="1"/>
  <c r="EN851" i="1"/>
  <c r="EM851" i="1"/>
  <c r="EH851" i="1"/>
  <c r="EG851" i="1"/>
  <c r="EN850" i="1"/>
  <c r="EM850" i="1"/>
  <c r="EH850" i="1"/>
  <c r="EG850" i="1"/>
  <c r="EN849" i="1"/>
  <c r="EM849" i="1"/>
  <c r="EH849" i="1"/>
  <c r="EG849" i="1"/>
  <c r="EN848" i="1"/>
  <c r="EM848" i="1"/>
  <c r="EH848" i="1"/>
  <c r="EG848" i="1"/>
  <c r="EN847" i="1"/>
  <c r="EM847" i="1"/>
  <c r="EH847" i="1"/>
  <c r="EG847" i="1"/>
  <c r="EN846" i="1"/>
  <c r="EM846" i="1"/>
  <c r="EH846" i="1"/>
  <c r="EG846" i="1"/>
  <c r="EN845" i="1"/>
  <c r="EM845" i="1"/>
  <c r="EH845" i="1"/>
  <c r="EG845" i="1"/>
  <c r="EN844" i="1"/>
  <c r="EM844" i="1"/>
  <c r="EH844" i="1"/>
  <c r="EG844" i="1"/>
  <c r="EN843" i="1"/>
  <c r="EM843" i="1"/>
  <c r="EH843" i="1"/>
  <c r="EG843" i="1"/>
  <c r="EN842" i="1"/>
  <c r="EM842" i="1"/>
  <c r="EH842" i="1"/>
  <c r="EG842" i="1"/>
  <c r="EN841" i="1"/>
  <c r="EM841" i="1"/>
  <c r="EH841" i="1"/>
  <c r="EG841" i="1"/>
  <c r="EN840" i="1"/>
  <c r="EM840" i="1"/>
  <c r="EH840" i="1"/>
  <c r="EG840" i="1"/>
  <c r="EN839" i="1"/>
  <c r="EM839" i="1"/>
  <c r="EH839" i="1"/>
  <c r="EG839" i="1"/>
  <c r="EN838" i="1"/>
  <c r="EM838" i="1"/>
  <c r="EH838" i="1"/>
  <c r="EG838" i="1"/>
  <c r="EN837" i="1"/>
  <c r="EM837" i="1"/>
  <c r="EH837" i="1"/>
  <c r="EG837" i="1"/>
  <c r="EN836" i="1"/>
  <c r="EM836" i="1"/>
  <c r="EH836" i="1"/>
  <c r="EG836" i="1"/>
  <c r="EN835" i="1"/>
  <c r="EM835" i="1"/>
  <c r="EH835" i="1"/>
  <c r="EG835" i="1"/>
  <c r="EN834" i="1"/>
  <c r="EM834" i="1"/>
  <c r="EH834" i="1"/>
  <c r="EG834" i="1"/>
  <c r="EN833" i="1"/>
  <c r="EM833" i="1"/>
  <c r="EH833" i="1"/>
  <c r="EG833" i="1"/>
  <c r="EN832" i="1"/>
  <c r="EM832" i="1"/>
  <c r="EH832" i="1"/>
  <c r="EG832" i="1"/>
  <c r="EN831" i="1"/>
  <c r="EM831" i="1"/>
  <c r="EH831" i="1"/>
  <c r="EG831" i="1"/>
  <c r="EN830" i="1"/>
  <c r="EM830" i="1"/>
  <c r="EH830" i="1"/>
  <c r="EG830" i="1"/>
  <c r="EN829" i="1"/>
  <c r="EM829" i="1"/>
  <c r="EH829" i="1"/>
  <c r="EG829" i="1"/>
  <c r="EN828" i="1"/>
  <c r="EM828" i="1"/>
  <c r="EH828" i="1"/>
  <c r="EG828" i="1"/>
  <c r="EN827" i="1"/>
  <c r="EM827" i="1"/>
  <c r="EH827" i="1"/>
  <c r="EG827" i="1"/>
  <c r="EN826" i="1"/>
  <c r="EM826" i="1"/>
  <c r="EH826" i="1"/>
  <c r="EG826" i="1"/>
  <c r="EN825" i="1"/>
  <c r="EM825" i="1"/>
  <c r="EH825" i="1"/>
  <c r="EG825" i="1"/>
  <c r="EN824" i="1"/>
  <c r="EM824" i="1"/>
  <c r="EH824" i="1"/>
  <c r="EG824" i="1"/>
  <c r="EN823" i="1"/>
  <c r="EM823" i="1"/>
  <c r="EH823" i="1"/>
  <c r="EG823" i="1"/>
  <c r="EN822" i="1"/>
  <c r="EM822" i="1"/>
  <c r="EH822" i="1"/>
  <c r="EG822" i="1"/>
  <c r="EN821" i="1"/>
  <c r="EM821" i="1"/>
  <c r="EH821" i="1"/>
  <c r="EG821" i="1"/>
  <c r="EN820" i="1"/>
  <c r="EM820" i="1"/>
  <c r="EH820" i="1"/>
  <c r="EG820" i="1"/>
  <c r="EN819" i="1"/>
  <c r="EM819" i="1"/>
  <c r="EH819" i="1"/>
  <c r="EG819" i="1"/>
  <c r="EN818" i="1"/>
  <c r="EM818" i="1"/>
  <c r="EH818" i="1"/>
  <c r="EG818" i="1"/>
  <c r="EN817" i="1"/>
  <c r="EM817" i="1"/>
  <c r="EH817" i="1"/>
  <c r="EG817" i="1"/>
  <c r="EN816" i="1"/>
  <c r="EM816" i="1"/>
  <c r="EH816" i="1"/>
  <c r="EG816" i="1"/>
  <c r="EN815" i="1"/>
  <c r="EM815" i="1"/>
  <c r="EH815" i="1"/>
  <c r="EG815" i="1"/>
  <c r="EN814" i="1"/>
  <c r="EM814" i="1"/>
  <c r="EH814" i="1"/>
  <c r="EG814" i="1"/>
  <c r="EN813" i="1"/>
  <c r="EM813" i="1"/>
  <c r="EH813" i="1"/>
  <c r="EG813" i="1"/>
  <c r="EN812" i="1"/>
  <c r="EM812" i="1"/>
  <c r="EH812" i="1"/>
  <c r="EG812" i="1"/>
  <c r="EN811" i="1"/>
  <c r="EM811" i="1"/>
  <c r="EH811" i="1"/>
  <c r="EG811" i="1"/>
  <c r="EN810" i="1"/>
  <c r="EM810" i="1"/>
  <c r="EH810" i="1"/>
  <c r="EG810" i="1"/>
  <c r="EN809" i="1"/>
  <c r="EM809" i="1"/>
  <c r="EH809" i="1"/>
  <c r="EG809" i="1"/>
  <c r="EN808" i="1"/>
  <c r="EM808" i="1"/>
  <c r="EH808" i="1"/>
  <c r="EG808" i="1"/>
  <c r="EN807" i="1"/>
  <c r="EM807" i="1"/>
  <c r="EH807" i="1"/>
  <c r="EG807" i="1"/>
  <c r="EN806" i="1"/>
  <c r="EM806" i="1"/>
  <c r="EH806" i="1"/>
  <c r="EG806" i="1"/>
  <c r="EN805" i="1"/>
  <c r="EM805" i="1"/>
  <c r="EH805" i="1"/>
  <c r="EG805" i="1"/>
  <c r="EN804" i="1"/>
  <c r="EM804" i="1"/>
  <c r="EH804" i="1"/>
  <c r="EG804" i="1"/>
  <c r="EN803" i="1"/>
  <c r="EM803" i="1"/>
  <c r="EH803" i="1"/>
  <c r="EG803" i="1"/>
  <c r="EN802" i="1"/>
  <c r="EM802" i="1"/>
  <c r="EH802" i="1"/>
  <c r="EG802" i="1"/>
  <c r="EN801" i="1"/>
  <c r="EM801" i="1"/>
  <c r="EH801" i="1"/>
  <c r="EG801" i="1"/>
  <c r="EN800" i="1"/>
  <c r="EM800" i="1"/>
  <c r="EH800" i="1"/>
  <c r="EG800" i="1"/>
  <c r="EN799" i="1"/>
  <c r="EM799" i="1"/>
  <c r="EH799" i="1"/>
  <c r="EG799" i="1"/>
  <c r="EN798" i="1"/>
  <c r="EM798" i="1"/>
  <c r="EH798" i="1"/>
  <c r="EG798" i="1"/>
  <c r="EN797" i="1"/>
  <c r="EM797" i="1"/>
  <c r="EH797" i="1"/>
  <c r="EG797" i="1"/>
  <c r="EN796" i="1"/>
  <c r="EM796" i="1"/>
  <c r="EH796" i="1"/>
  <c r="EG796" i="1"/>
  <c r="EN795" i="1"/>
  <c r="EM795" i="1"/>
  <c r="EH795" i="1"/>
  <c r="EG795" i="1"/>
  <c r="EN794" i="1"/>
  <c r="EM794" i="1"/>
  <c r="EH794" i="1"/>
  <c r="EG794" i="1"/>
  <c r="EN793" i="1"/>
  <c r="EM793" i="1"/>
  <c r="EH793" i="1"/>
  <c r="EG793" i="1"/>
  <c r="EN792" i="1"/>
  <c r="EM792" i="1"/>
  <c r="EH792" i="1"/>
  <c r="EG792" i="1"/>
  <c r="EN791" i="1"/>
  <c r="EM791" i="1"/>
  <c r="EH791" i="1"/>
  <c r="EG791" i="1"/>
  <c r="EN790" i="1"/>
  <c r="EM790" i="1"/>
  <c r="EH790" i="1"/>
  <c r="EG790" i="1"/>
  <c r="EN789" i="1"/>
  <c r="EM789" i="1"/>
  <c r="EH789" i="1"/>
  <c r="EG789" i="1"/>
  <c r="EN788" i="1"/>
  <c r="EM788" i="1"/>
  <c r="EH788" i="1"/>
  <c r="EG788" i="1"/>
  <c r="EN787" i="1"/>
  <c r="EM787" i="1"/>
  <c r="EH787" i="1"/>
  <c r="EG787" i="1"/>
  <c r="EN786" i="1"/>
  <c r="EM786" i="1"/>
  <c r="EH786" i="1"/>
  <c r="EG786" i="1"/>
  <c r="EN785" i="1"/>
  <c r="EM785" i="1"/>
  <c r="EH785" i="1"/>
  <c r="EG785" i="1"/>
  <c r="EN784" i="1"/>
  <c r="EM784" i="1"/>
  <c r="EH784" i="1"/>
  <c r="EG784" i="1"/>
  <c r="EN783" i="1"/>
  <c r="EM783" i="1"/>
  <c r="EH783" i="1"/>
  <c r="EG783" i="1"/>
  <c r="EN782" i="1"/>
  <c r="EM782" i="1"/>
  <c r="EH782" i="1"/>
  <c r="EG782" i="1"/>
  <c r="EN781" i="1"/>
  <c r="EM781" i="1"/>
  <c r="EH781" i="1"/>
  <c r="EG781" i="1"/>
  <c r="EN780" i="1"/>
  <c r="EM780" i="1"/>
  <c r="EH780" i="1"/>
  <c r="EG780" i="1"/>
  <c r="EN779" i="1"/>
  <c r="EM779" i="1"/>
  <c r="EH779" i="1"/>
  <c r="EG779" i="1"/>
  <c r="EN778" i="1"/>
  <c r="EM778" i="1"/>
  <c r="EH778" i="1"/>
  <c r="EG778" i="1"/>
  <c r="EN777" i="1"/>
  <c r="EM777" i="1"/>
  <c r="EH777" i="1"/>
  <c r="EG777" i="1"/>
  <c r="EN776" i="1"/>
  <c r="EM776" i="1"/>
  <c r="EH776" i="1"/>
  <c r="EG776" i="1"/>
  <c r="EN775" i="1"/>
  <c r="EM775" i="1"/>
  <c r="EH775" i="1"/>
  <c r="EG775" i="1"/>
  <c r="EN774" i="1"/>
  <c r="EM774" i="1"/>
  <c r="EH774" i="1"/>
  <c r="EG774" i="1"/>
  <c r="EN773" i="1"/>
  <c r="EM773" i="1"/>
  <c r="EH773" i="1"/>
  <c r="EG773" i="1"/>
  <c r="EN772" i="1"/>
  <c r="EM772" i="1"/>
  <c r="EH772" i="1"/>
  <c r="EG772" i="1"/>
  <c r="EN771" i="1"/>
  <c r="EM771" i="1"/>
  <c r="EH771" i="1"/>
  <c r="EG771" i="1"/>
  <c r="EN770" i="1"/>
  <c r="EM770" i="1"/>
  <c r="EH770" i="1"/>
  <c r="EG770" i="1"/>
  <c r="EN769" i="1"/>
  <c r="EM769" i="1"/>
  <c r="EH769" i="1"/>
  <c r="EG769" i="1"/>
  <c r="EN768" i="1"/>
  <c r="EM768" i="1"/>
  <c r="EH768" i="1"/>
  <c r="EG768" i="1"/>
  <c r="EN767" i="1"/>
  <c r="EM767" i="1"/>
  <c r="EH767" i="1"/>
  <c r="EG767" i="1"/>
  <c r="EN766" i="1"/>
  <c r="EM766" i="1"/>
  <c r="EH766" i="1"/>
  <c r="EG766" i="1"/>
  <c r="EN765" i="1"/>
  <c r="EM765" i="1"/>
  <c r="EH765" i="1"/>
  <c r="EG765" i="1"/>
  <c r="EN764" i="1"/>
  <c r="EM764" i="1"/>
  <c r="EH764" i="1"/>
  <c r="EG764" i="1"/>
  <c r="EN763" i="1"/>
  <c r="EM763" i="1"/>
  <c r="EH763" i="1"/>
  <c r="EG763" i="1"/>
  <c r="EN762" i="1"/>
  <c r="EM762" i="1"/>
  <c r="EH762" i="1"/>
  <c r="EG762" i="1"/>
  <c r="EN761" i="1"/>
  <c r="EM761" i="1"/>
  <c r="EH761" i="1"/>
  <c r="EG761" i="1"/>
  <c r="EN760" i="1"/>
  <c r="EM760" i="1"/>
  <c r="EH760" i="1"/>
  <c r="EG760" i="1"/>
  <c r="EN759" i="1"/>
  <c r="EM759" i="1"/>
  <c r="EH759" i="1"/>
  <c r="EG759" i="1"/>
  <c r="EN758" i="1"/>
  <c r="EM758" i="1"/>
  <c r="EH758" i="1"/>
  <c r="EG758" i="1"/>
  <c r="EN757" i="1"/>
  <c r="EM757" i="1"/>
  <c r="EH757" i="1"/>
  <c r="EG757" i="1"/>
  <c r="EN756" i="1"/>
  <c r="EM756" i="1"/>
  <c r="EH756" i="1"/>
  <c r="EG756" i="1"/>
  <c r="EN755" i="1"/>
  <c r="EM755" i="1"/>
  <c r="EH755" i="1"/>
  <c r="EG755" i="1"/>
  <c r="EN754" i="1"/>
  <c r="EM754" i="1"/>
  <c r="EH754" i="1"/>
  <c r="EG754" i="1"/>
  <c r="EN753" i="1"/>
  <c r="EM753" i="1"/>
  <c r="EH753" i="1"/>
  <c r="EG753" i="1"/>
  <c r="EN752" i="1"/>
  <c r="EM752" i="1"/>
  <c r="EH752" i="1"/>
  <c r="EG752" i="1"/>
  <c r="EN751" i="1"/>
  <c r="EM751" i="1"/>
  <c r="EH751" i="1"/>
  <c r="EG751" i="1"/>
  <c r="EN750" i="1"/>
  <c r="EM750" i="1"/>
  <c r="EH750" i="1"/>
  <c r="EG750" i="1"/>
  <c r="EN749" i="1"/>
  <c r="EM749" i="1"/>
  <c r="EH749" i="1"/>
  <c r="EG749" i="1"/>
  <c r="EN748" i="1"/>
  <c r="EM748" i="1"/>
  <c r="EH748" i="1"/>
  <c r="EG748" i="1"/>
  <c r="EN747" i="1"/>
  <c r="EM747" i="1"/>
  <c r="EH747" i="1"/>
  <c r="EG747" i="1"/>
  <c r="EN746" i="1"/>
  <c r="EM746" i="1"/>
  <c r="EH746" i="1"/>
  <c r="EG746" i="1"/>
  <c r="EN745" i="1"/>
  <c r="EM745" i="1"/>
  <c r="EH745" i="1"/>
  <c r="EG745" i="1"/>
  <c r="EN744" i="1"/>
  <c r="EM744" i="1"/>
  <c r="EH744" i="1"/>
  <c r="EG744" i="1"/>
  <c r="EN743" i="1"/>
  <c r="EM743" i="1"/>
  <c r="EH743" i="1"/>
  <c r="EG743" i="1"/>
  <c r="EN742" i="1"/>
  <c r="EM742" i="1"/>
  <c r="EH742" i="1"/>
  <c r="EG742" i="1"/>
  <c r="EN741" i="1"/>
  <c r="EM741" i="1"/>
  <c r="EH741" i="1"/>
  <c r="EG741" i="1"/>
  <c r="EN740" i="1"/>
  <c r="EM740" i="1"/>
  <c r="EH740" i="1"/>
  <c r="EG740" i="1"/>
  <c r="EN739" i="1"/>
  <c r="EM739" i="1"/>
  <c r="EH739" i="1"/>
  <c r="EG739" i="1"/>
  <c r="EN738" i="1"/>
  <c r="EM738" i="1"/>
  <c r="EH738" i="1"/>
  <c r="EG738" i="1"/>
  <c r="EN737" i="1"/>
  <c r="EM737" i="1"/>
  <c r="EH737" i="1"/>
  <c r="EG737" i="1"/>
  <c r="EN736" i="1"/>
  <c r="EM736" i="1"/>
  <c r="EH736" i="1"/>
  <c r="EG736" i="1"/>
  <c r="EN735" i="1"/>
  <c r="EM735" i="1"/>
  <c r="EH735" i="1"/>
  <c r="EG735" i="1"/>
  <c r="EN734" i="1"/>
  <c r="EM734" i="1"/>
  <c r="EH734" i="1"/>
  <c r="EG734" i="1"/>
  <c r="EN733" i="1"/>
  <c r="EM733" i="1"/>
  <c r="EH733" i="1"/>
  <c r="EG733" i="1"/>
  <c r="EN732" i="1"/>
  <c r="EM732" i="1"/>
  <c r="EH732" i="1"/>
  <c r="EG732" i="1"/>
  <c r="EN731" i="1"/>
  <c r="EM731" i="1"/>
  <c r="EH731" i="1"/>
  <c r="EG731" i="1"/>
  <c r="EN730" i="1"/>
  <c r="EM730" i="1"/>
  <c r="EH730" i="1"/>
  <c r="EG730" i="1"/>
  <c r="EN729" i="1"/>
  <c r="EM729" i="1"/>
  <c r="EH729" i="1"/>
  <c r="EG729" i="1"/>
  <c r="EN728" i="1"/>
  <c r="EM728" i="1"/>
  <c r="EH728" i="1"/>
  <c r="EG728" i="1"/>
  <c r="EN727" i="1"/>
  <c r="EM727" i="1"/>
  <c r="EH727" i="1"/>
  <c r="EG727" i="1"/>
  <c r="EN726" i="1"/>
  <c r="EM726" i="1"/>
  <c r="EH726" i="1"/>
  <c r="EG726" i="1"/>
  <c r="EN725" i="1"/>
  <c r="EM725" i="1"/>
  <c r="EH725" i="1"/>
  <c r="EG725" i="1"/>
  <c r="EN724" i="1"/>
  <c r="EM724" i="1"/>
  <c r="EH724" i="1"/>
  <c r="EG724" i="1"/>
  <c r="EN723" i="1"/>
  <c r="EM723" i="1"/>
  <c r="EH723" i="1"/>
  <c r="EG723" i="1"/>
  <c r="EN722" i="1"/>
  <c r="EM722" i="1"/>
  <c r="EH722" i="1"/>
  <c r="EG722" i="1"/>
  <c r="EN721" i="1"/>
  <c r="EM721" i="1"/>
  <c r="EH721" i="1"/>
  <c r="EG721" i="1"/>
  <c r="EN720" i="1"/>
  <c r="EM720" i="1"/>
  <c r="EH720" i="1"/>
  <c r="EG720" i="1"/>
  <c r="EN719" i="1"/>
  <c r="EM719" i="1"/>
  <c r="EH719" i="1"/>
  <c r="EG719" i="1"/>
  <c r="EN718" i="1"/>
  <c r="EM718" i="1"/>
  <c r="EH718" i="1"/>
  <c r="EG718" i="1"/>
  <c r="EN717" i="1"/>
  <c r="EM717" i="1"/>
  <c r="EH717" i="1"/>
  <c r="EG717" i="1"/>
  <c r="EN716" i="1"/>
  <c r="EM716" i="1"/>
  <c r="EH716" i="1"/>
  <c r="EG716" i="1"/>
  <c r="EN715" i="1"/>
  <c r="EM715" i="1"/>
  <c r="EH715" i="1"/>
  <c r="EG715" i="1"/>
  <c r="EN714" i="1"/>
  <c r="EM714" i="1"/>
  <c r="EH714" i="1"/>
  <c r="EG714" i="1"/>
  <c r="EN713" i="1"/>
  <c r="EM713" i="1"/>
  <c r="EH713" i="1"/>
  <c r="EG713" i="1"/>
  <c r="EN712" i="1"/>
  <c r="EM712" i="1"/>
  <c r="EH712" i="1"/>
  <c r="EG712" i="1"/>
  <c r="EN711" i="1"/>
  <c r="EM711" i="1"/>
  <c r="EH711" i="1"/>
  <c r="EG711" i="1"/>
  <c r="EN710" i="1"/>
  <c r="EM710" i="1"/>
  <c r="EH710" i="1"/>
  <c r="EG710" i="1"/>
  <c r="EN709" i="1"/>
  <c r="EM709" i="1"/>
  <c r="EH709" i="1"/>
  <c r="EG709" i="1"/>
  <c r="EN708" i="1"/>
  <c r="EM708" i="1"/>
  <c r="EH708" i="1"/>
  <c r="EG708" i="1"/>
  <c r="EN707" i="1"/>
  <c r="EM707" i="1"/>
  <c r="EH707" i="1"/>
  <c r="EG707" i="1"/>
  <c r="EN706" i="1"/>
  <c r="EM706" i="1"/>
  <c r="EH706" i="1"/>
  <c r="EG706" i="1"/>
  <c r="EN705" i="1"/>
  <c r="EM705" i="1"/>
  <c r="EH705" i="1"/>
  <c r="EG705" i="1"/>
  <c r="EN704" i="1"/>
  <c r="EM704" i="1"/>
  <c r="EH704" i="1"/>
  <c r="EG704" i="1"/>
  <c r="EN703" i="1"/>
  <c r="EM703" i="1"/>
  <c r="EH703" i="1"/>
  <c r="EG703" i="1"/>
  <c r="EN702" i="1"/>
  <c r="EM702" i="1"/>
  <c r="EH702" i="1"/>
  <c r="EG702" i="1"/>
  <c r="EN701" i="1"/>
  <c r="EM701" i="1"/>
  <c r="EH701" i="1"/>
  <c r="EG701" i="1"/>
  <c r="EN700" i="1"/>
  <c r="EM700" i="1"/>
  <c r="EH700" i="1"/>
  <c r="EG700" i="1"/>
  <c r="EN699" i="1"/>
  <c r="EM699" i="1"/>
  <c r="EH699" i="1"/>
  <c r="EG699" i="1"/>
  <c r="EN698" i="1"/>
  <c r="EM698" i="1"/>
  <c r="EH698" i="1"/>
  <c r="EG698" i="1"/>
  <c r="EN697" i="1"/>
  <c r="EM697" i="1"/>
  <c r="EH697" i="1"/>
  <c r="EG697" i="1"/>
  <c r="EN696" i="1"/>
  <c r="EM696" i="1"/>
  <c r="EH696" i="1"/>
  <c r="EG696" i="1"/>
  <c r="EN695" i="1"/>
  <c r="EM695" i="1"/>
  <c r="EH695" i="1"/>
  <c r="EG695" i="1"/>
  <c r="EN694" i="1"/>
  <c r="EM694" i="1"/>
  <c r="EH694" i="1"/>
  <c r="EG694" i="1"/>
  <c r="EN693" i="1"/>
  <c r="EM693" i="1"/>
  <c r="EH693" i="1"/>
  <c r="EG693" i="1"/>
  <c r="EN692" i="1"/>
  <c r="EM692" i="1"/>
  <c r="EH692" i="1"/>
  <c r="EG692" i="1"/>
  <c r="EN691" i="1"/>
  <c r="EM691" i="1"/>
  <c r="EH691" i="1"/>
  <c r="EG691" i="1"/>
  <c r="EN690" i="1"/>
  <c r="EM690" i="1"/>
  <c r="EH690" i="1"/>
  <c r="EG690" i="1"/>
  <c r="EN689" i="1"/>
  <c r="EM689" i="1"/>
  <c r="EH689" i="1"/>
  <c r="EG689" i="1"/>
  <c r="EN688" i="1"/>
  <c r="EM688" i="1"/>
  <c r="EH688" i="1"/>
  <c r="EG688" i="1"/>
  <c r="EN687" i="1"/>
  <c r="EM687" i="1"/>
  <c r="EH687" i="1"/>
  <c r="EG687" i="1"/>
  <c r="EN686" i="1"/>
  <c r="EM686" i="1"/>
  <c r="EH686" i="1"/>
  <c r="EG686" i="1"/>
  <c r="EN685" i="1"/>
  <c r="EM685" i="1"/>
  <c r="EH685" i="1"/>
  <c r="EG685" i="1"/>
  <c r="EN684" i="1"/>
  <c r="EM684" i="1"/>
  <c r="EH684" i="1"/>
  <c r="EG684" i="1"/>
  <c r="EN683" i="1"/>
  <c r="EM683" i="1"/>
  <c r="EH683" i="1"/>
  <c r="EG683" i="1"/>
  <c r="EN682" i="1"/>
  <c r="EM682" i="1"/>
  <c r="EH682" i="1"/>
  <c r="EG682" i="1"/>
  <c r="EN681" i="1"/>
  <c r="EM681" i="1"/>
  <c r="EH681" i="1"/>
  <c r="EG681" i="1"/>
  <c r="EN680" i="1"/>
  <c r="EM680" i="1"/>
  <c r="EH680" i="1"/>
  <c r="EG680" i="1"/>
  <c r="EN679" i="1"/>
  <c r="EM679" i="1"/>
  <c r="EH679" i="1"/>
  <c r="EG679" i="1"/>
  <c r="EN678" i="1"/>
  <c r="EM678" i="1"/>
  <c r="EH678" i="1"/>
  <c r="EG678" i="1"/>
  <c r="EN677" i="1"/>
  <c r="EM677" i="1"/>
  <c r="EH677" i="1"/>
  <c r="EG677" i="1"/>
  <c r="EN676" i="1"/>
  <c r="EM676" i="1"/>
  <c r="EH676" i="1"/>
  <c r="EG676" i="1"/>
  <c r="EN675" i="1"/>
  <c r="EM675" i="1"/>
  <c r="EH675" i="1"/>
  <c r="EG675" i="1"/>
  <c r="EN674" i="1"/>
  <c r="EM674" i="1"/>
  <c r="EH674" i="1"/>
  <c r="EG674" i="1"/>
  <c r="EN673" i="1"/>
  <c r="EM673" i="1"/>
  <c r="EH673" i="1"/>
  <c r="EG673" i="1"/>
  <c r="EN672" i="1"/>
  <c r="EM672" i="1"/>
  <c r="EH672" i="1"/>
  <c r="EG672" i="1"/>
  <c r="EN671" i="1"/>
  <c r="EM671" i="1"/>
  <c r="EH671" i="1"/>
  <c r="EG671" i="1"/>
  <c r="EN670" i="1"/>
  <c r="EM670" i="1"/>
  <c r="EH670" i="1"/>
  <c r="EG670" i="1"/>
  <c r="EN669" i="1"/>
  <c r="EM669" i="1"/>
  <c r="EH669" i="1"/>
  <c r="EG669" i="1"/>
  <c r="EN668" i="1"/>
  <c r="EM668" i="1"/>
  <c r="EH668" i="1"/>
  <c r="EG668" i="1"/>
  <c r="EN667" i="1"/>
  <c r="EM667" i="1"/>
  <c r="EH667" i="1"/>
  <c r="EG667" i="1"/>
  <c r="EN666" i="1"/>
  <c r="EM666" i="1"/>
  <c r="EH666" i="1"/>
  <c r="EG666" i="1"/>
  <c r="EN665" i="1"/>
  <c r="EM665" i="1"/>
  <c r="EH665" i="1"/>
  <c r="EG665" i="1"/>
  <c r="EN664" i="1"/>
  <c r="EM664" i="1"/>
  <c r="EH664" i="1"/>
  <c r="EG664" i="1"/>
  <c r="EN663" i="1"/>
  <c r="EM663" i="1"/>
  <c r="EH663" i="1"/>
  <c r="EG663" i="1"/>
  <c r="EN662" i="1"/>
  <c r="EM662" i="1"/>
  <c r="EH662" i="1"/>
  <c r="EG662" i="1"/>
  <c r="EN661" i="1"/>
  <c r="EM661" i="1"/>
  <c r="EH661" i="1"/>
  <c r="EG661" i="1"/>
  <c r="EN660" i="1"/>
  <c r="EM660" i="1"/>
  <c r="EH660" i="1"/>
  <c r="EG660" i="1"/>
  <c r="EN659" i="1"/>
  <c r="EM659" i="1"/>
  <c r="EH659" i="1"/>
  <c r="EG659" i="1"/>
  <c r="EN658" i="1"/>
  <c r="EM658" i="1"/>
  <c r="EH658" i="1"/>
  <c r="EG658" i="1"/>
  <c r="EN657" i="1"/>
  <c r="EM657" i="1"/>
  <c r="EH657" i="1"/>
  <c r="EG657" i="1"/>
  <c r="EN656" i="1"/>
  <c r="EM656" i="1"/>
  <c r="EH656" i="1"/>
  <c r="EG656" i="1"/>
  <c r="EN655" i="1"/>
  <c r="EM655" i="1"/>
  <c r="EH655" i="1"/>
  <c r="EG655" i="1"/>
  <c r="EN654" i="1"/>
  <c r="EM654" i="1"/>
  <c r="EH654" i="1"/>
  <c r="EG654" i="1"/>
  <c r="EN653" i="1"/>
  <c r="EM653" i="1"/>
  <c r="EH653" i="1"/>
  <c r="EG653" i="1"/>
  <c r="EN652" i="1"/>
  <c r="EM652" i="1"/>
  <c r="EH652" i="1"/>
  <c r="EG652" i="1"/>
  <c r="EN651" i="1"/>
  <c r="EM651" i="1"/>
  <c r="EH651" i="1"/>
  <c r="EG651" i="1"/>
  <c r="EN650" i="1"/>
  <c r="EM650" i="1"/>
  <c r="EH650" i="1"/>
  <c r="EG650" i="1"/>
  <c r="EN649" i="1"/>
  <c r="EM649" i="1"/>
  <c r="EH649" i="1"/>
  <c r="EG649" i="1"/>
  <c r="EN648" i="1"/>
  <c r="EM648" i="1"/>
  <c r="EH648" i="1"/>
  <c r="EG648" i="1"/>
  <c r="EN647" i="1"/>
  <c r="EM647" i="1"/>
  <c r="EH647" i="1"/>
  <c r="EG647" i="1"/>
  <c r="EN646" i="1"/>
  <c r="EM646" i="1"/>
  <c r="EH646" i="1"/>
  <c r="EG646" i="1"/>
  <c r="EN645" i="1"/>
  <c r="EM645" i="1"/>
  <c r="EH645" i="1"/>
  <c r="EG645" i="1"/>
  <c r="EN644" i="1"/>
  <c r="EM644" i="1"/>
  <c r="EH644" i="1"/>
  <c r="EG644" i="1"/>
  <c r="EN643" i="1"/>
  <c r="EM643" i="1"/>
  <c r="EH643" i="1"/>
  <c r="EG643" i="1"/>
  <c r="EN642" i="1"/>
  <c r="EM642" i="1"/>
  <c r="EH642" i="1"/>
  <c r="EG642" i="1"/>
  <c r="EN641" i="1"/>
  <c r="EM641" i="1"/>
  <c r="EH641" i="1"/>
  <c r="EG641" i="1"/>
  <c r="EN640" i="1"/>
  <c r="EM640" i="1"/>
  <c r="EH640" i="1"/>
  <c r="EG640" i="1"/>
  <c r="EN639" i="1"/>
  <c r="EM639" i="1"/>
  <c r="EH639" i="1"/>
  <c r="EG639" i="1"/>
  <c r="EN638" i="1"/>
  <c r="EM638" i="1"/>
  <c r="EH638" i="1"/>
  <c r="EG638" i="1"/>
  <c r="EN637" i="1"/>
  <c r="EM637" i="1"/>
  <c r="EH637" i="1"/>
  <c r="EG637" i="1"/>
  <c r="EN636" i="1"/>
  <c r="EM636" i="1"/>
  <c r="EH636" i="1"/>
  <c r="EG636" i="1"/>
  <c r="EN635" i="1"/>
  <c r="EM635" i="1"/>
  <c r="EH635" i="1"/>
  <c r="EG635" i="1"/>
  <c r="EN634" i="1"/>
  <c r="EM634" i="1"/>
  <c r="EH634" i="1"/>
  <c r="EG634" i="1"/>
  <c r="EN633" i="1"/>
  <c r="EM633" i="1"/>
  <c r="EH633" i="1"/>
  <c r="EG633" i="1"/>
  <c r="EN632" i="1"/>
  <c r="EM632" i="1"/>
  <c r="EH632" i="1"/>
  <c r="EG632" i="1"/>
  <c r="EN631" i="1"/>
  <c r="EM631" i="1"/>
  <c r="EH631" i="1"/>
  <c r="EG631" i="1"/>
  <c r="EN630" i="1"/>
  <c r="EM630" i="1"/>
  <c r="EH630" i="1"/>
  <c r="EG630" i="1"/>
  <c r="EN629" i="1"/>
  <c r="EM629" i="1"/>
  <c r="EH629" i="1"/>
  <c r="EG629" i="1"/>
  <c r="EN628" i="1"/>
  <c r="EM628" i="1"/>
  <c r="EH628" i="1"/>
  <c r="EG628" i="1"/>
  <c r="EN627" i="1"/>
  <c r="EM627" i="1"/>
  <c r="EH627" i="1"/>
  <c r="EG627" i="1"/>
  <c r="EN626" i="1"/>
  <c r="EM626" i="1"/>
  <c r="EH626" i="1"/>
  <c r="EG626" i="1"/>
  <c r="EN625" i="1"/>
  <c r="EM625" i="1"/>
  <c r="EH625" i="1"/>
  <c r="EG625" i="1"/>
  <c r="EN624" i="1"/>
  <c r="EM624" i="1"/>
  <c r="EH624" i="1"/>
  <c r="EG624" i="1"/>
  <c r="EN623" i="1"/>
  <c r="EM623" i="1"/>
  <c r="EH623" i="1"/>
  <c r="EG623" i="1"/>
  <c r="EN622" i="1"/>
  <c r="EM622" i="1"/>
  <c r="EH622" i="1"/>
  <c r="EG622" i="1"/>
  <c r="EN621" i="1"/>
  <c r="EM621" i="1"/>
  <c r="EH621" i="1"/>
  <c r="EG621" i="1"/>
  <c r="EN620" i="1"/>
  <c r="EM620" i="1"/>
  <c r="EH620" i="1"/>
  <c r="EG620" i="1"/>
  <c r="EN619" i="1"/>
  <c r="EM619" i="1"/>
  <c r="EH619" i="1"/>
  <c r="EG619" i="1"/>
  <c r="EN618" i="1"/>
  <c r="EM618" i="1"/>
  <c r="EH618" i="1"/>
  <c r="EG618" i="1"/>
  <c r="EN617" i="1"/>
  <c r="EM617" i="1"/>
  <c r="EH617" i="1"/>
  <c r="EG617" i="1"/>
  <c r="EN616" i="1"/>
  <c r="EM616" i="1"/>
  <c r="EH616" i="1"/>
  <c r="EG616" i="1"/>
  <c r="EN615" i="1"/>
  <c r="EM615" i="1"/>
  <c r="EH615" i="1"/>
  <c r="EG615" i="1"/>
  <c r="EN614" i="1"/>
  <c r="EM614" i="1"/>
  <c r="EH614" i="1"/>
  <c r="EG614" i="1"/>
  <c r="EN613" i="1"/>
  <c r="EM613" i="1"/>
  <c r="EH613" i="1"/>
  <c r="EG613" i="1"/>
  <c r="EN612" i="1"/>
  <c r="EM612" i="1"/>
  <c r="EH612" i="1"/>
  <c r="EG612" i="1"/>
  <c r="EN611" i="1"/>
  <c r="EM611" i="1"/>
  <c r="EH611" i="1"/>
  <c r="EG611" i="1"/>
  <c r="EN610" i="1"/>
  <c r="EM610" i="1"/>
  <c r="EH610" i="1"/>
  <c r="EG610" i="1"/>
  <c r="EN609" i="1"/>
  <c r="EM609" i="1"/>
  <c r="EH609" i="1"/>
  <c r="EG609" i="1"/>
  <c r="EN608" i="1"/>
  <c r="EM608" i="1"/>
  <c r="EH608" i="1"/>
  <c r="EG608" i="1"/>
  <c r="EN607" i="1"/>
  <c r="EM607" i="1"/>
  <c r="EH607" i="1"/>
  <c r="EG607" i="1"/>
  <c r="EN606" i="1"/>
  <c r="EM606" i="1"/>
  <c r="EH606" i="1"/>
  <c r="EG606" i="1"/>
  <c r="EN605" i="1"/>
  <c r="EM605" i="1"/>
  <c r="EH605" i="1"/>
  <c r="EG605" i="1"/>
  <c r="EN604" i="1"/>
  <c r="EM604" i="1"/>
  <c r="EH604" i="1"/>
  <c r="EG604" i="1"/>
  <c r="EN603" i="1"/>
  <c r="EM603" i="1"/>
  <c r="EH603" i="1"/>
  <c r="EG603" i="1"/>
  <c r="EN602" i="1"/>
  <c r="EM602" i="1"/>
  <c r="EH602" i="1"/>
  <c r="EG602" i="1"/>
  <c r="EN601" i="1"/>
  <c r="EM601" i="1"/>
  <c r="EH601" i="1"/>
  <c r="EG601" i="1"/>
  <c r="EN600" i="1"/>
  <c r="EM600" i="1"/>
  <c r="EH600" i="1"/>
  <c r="EG600" i="1"/>
  <c r="EN599" i="1"/>
  <c r="EM599" i="1"/>
  <c r="EH599" i="1"/>
  <c r="EG599" i="1"/>
  <c r="EN598" i="1"/>
  <c r="EM598" i="1"/>
  <c r="EH598" i="1"/>
  <c r="EG598" i="1"/>
  <c r="EN597" i="1"/>
  <c r="EM597" i="1"/>
  <c r="EH597" i="1"/>
  <c r="EG597" i="1"/>
  <c r="EN596" i="1"/>
  <c r="EM596" i="1"/>
  <c r="EH596" i="1"/>
  <c r="EG596" i="1"/>
  <c r="EN595" i="1"/>
  <c r="EM595" i="1"/>
  <c r="EH595" i="1"/>
  <c r="EG595" i="1"/>
  <c r="EN594" i="1"/>
  <c r="EM594" i="1"/>
  <c r="EH594" i="1"/>
  <c r="EG594" i="1"/>
  <c r="EN593" i="1"/>
  <c r="EM593" i="1"/>
  <c r="EH593" i="1"/>
  <c r="EG593" i="1"/>
  <c r="EN592" i="1"/>
  <c r="EM592" i="1"/>
  <c r="EH592" i="1"/>
  <c r="EG592" i="1"/>
  <c r="EN591" i="1"/>
  <c r="EM591" i="1"/>
  <c r="EH591" i="1"/>
  <c r="EG591" i="1"/>
  <c r="EN590" i="1"/>
  <c r="EM590" i="1"/>
  <c r="EH590" i="1"/>
  <c r="EG590" i="1"/>
  <c r="EN589" i="1"/>
  <c r="EM589" i="1"/>
  <c r="EH589" i="1"/>
  <c r="EG589" i="1"/>
  <c r="EN588" i="1"/>
  <c r="EM588" i="1"/>
  <c r="EH588" i="1"/>
  <c r="EG588" i="1"/>
  <c r="EN587" i="1"/>
  <c r="EM587" i="1"/>
  <c r="EH587" i="1"/>
  <c r="EG587" i="1"/>
  <c r="EN586" i="1"/>
  <c r="EM586" i="1"/>
  <c r="EH586" i="1"/>
  <c r="EG586" i="1"/>
  <c r="EN585" i="1"/>
  <c r="EM585" i="1"/>
  <c r="EH585" i="1"/>
  <c r="EG585" i="1"/>
  <c r="EN584" i="1"/>
  <c r="EM584" i="1"/>
  <c r="EH584" i="1"/>
  <c r="EG584" i="1"/>
  <c r="EN583" i="1"/>
  <c r="EM583" i="1"/>
  <c r="EH583" i="1"/>
  <c r="EG583" i="1"/>
  <c r="EN582" i="1"/>
  <c r="EM582" i="1"/>
  <c r="EH582" i="1"/>
  <c r="EG582" i="1"/>
  <c r="EN581" i="1"/>
  <c r="EM581" i="1"/>
  <c r="EH581" i="1"/>
  <c r="EG581" i="1"/>
  <c r="EN580" i="1"/>
  <c r="EM580" i="1"/>
  <c r="EH580" i="1"/>
  <c r="EG580" i="1"/>
  <c r="EN579" i="1"/>
  <c r="EM579" i="1"/>
  <c r="EH579" i="1"/>
  <c r="EG579" i="1"/>
  <c r="EN578" i="1"/>
  <c r="EM578" i="1"/>
  <c r="EH578" i="1"/>
  <c r="EG578" i="1"/>
  <c r="EN577" i="1"/>
  <c r="EM577" i="1"/>
  <c r="EH577" i="1"/>
  <c r="EG577" i="1"/>
  <c r="EN576" i="1"/>
  <c r="EM576" i="1"/>
  <c r="EH576" i="1"/>
  <c r="EG576" i="1"/>
  <c r="EN575" i="1"/>
  <c r="EM575" i="1"/>
  <c r="EH575" i="1"/>
  <c r="EG575" i="1"/>
  <c r="EN574" i="1"/>
  <c r="EM574" i="1"/>
  <c r="EH574" i="1"/>
  <c r="EG574" i="1"/>
  <c r="EN573" i="1"/>
  <c r="EM573" i="1"/>
  <c r="EH573" i="1"/>
  <c r="EG573" i="1"/>
  <c r="EN572" i="1"/>
  <c r="EM572" i="1"/>
  <c r="EH572" i="1"/>
  <c r="EG572" i="1"/>
  <c r="EN571" i="1"/>
  <c r="EM571" i="1"/>
  <c r="EH571" i="1"/>
  <c r="EG571" i="1"/>
  <c r="EN570" i="1"/>
  <c r="EM570" i="1"/>
  <c r="EH570" i="1"/>
  <c r="EG570" i="1"/>
  <c r="EN569" i="1"/>
  <c r="EM569" i="1"/>
  <c r="EH569" i="1"/>
  <c r="EG569" i="1"/>
  <c r="EN568" i="1"/>
  <c r="EM568" i="1"/>
  <c r="EH568" i="1"/>
  <c r="EG568" i="1"/>
  <c r="EN567" i="1"/>
  <c r="EM567" i="1"/>
  <c r="EH567" i="1"/>
  <c r="EG567" i="1"/>
  <c r="EN566" i="1"/>
  <c r="EM566" i="1"/>
  <c r="EH566" i="1"/>
  <c r="EG566" i="1"/>
  <c r="EN565" i="1"/>
  <c r="EM565" i="1"/>
  <c r="EH565" i="1"/>
  <c r="EG565" i="1"/>
  <c r="EN564" i="1"/>
  <c r="EM564" i="1"/>
  <c r="EH564" i="1"/>
  <c r="EG564" i="1"/>
  <c r="EN563" i="1"/>
  <c r="EM563" i="1"/>
  <c r="EH563" i="1"/>
  <c r="EG563" i="1"/>
  <c r="EN562" i="1"/>
  <c r="EM562" i="1"/>
  <c r="EH562" i="1"/>
  <c r="EG562" i="1"/>
  <c r="EN561" i="1"/>
  <c r="EM561" i="1"/>
  <c r="EH561" i="1"/>
  <c r="EG561" i="1"/>
  <c r="EN560" i="1"/>
  <c r="EM560" i="1"/>
  <c r="EH560" i="1"/>
  <c r="EG560" i="1"/>
  <c r="EN559" i="1"/>
  <c r="EM559" i="1"/>
  <c r="EH559" i="1"/>
  <c r="EG559" i="1"/>
  <c r="EN558" i="1"/>
  <c r="EM558" i="1"/>
  <c r="EH558" i="1"/>
  <c r="EG558" i="1"/>
  <c r="EN557" i="1"/>
  <c r="EM557" i="1"/>
  <c r="EH557" i="1"/>
  <c r="EG557" i="1"/>
  <c r="EN556" i="1"/>
  <c r="EM556" i="1"/>
  <c r="EH556" i="1"/>
  <c r="EG556" i="1"/>
  <c r="EN555" i="1"/>
  <c r="EM555" i="1"/>
  <c r="EH555" i="1"/>
  <c r="EG555" i="1"/>
  <c r="EN554" i="1"/>
  <c r="EM554" i="1"/>
  <c r="EH554" i="1"/>
  <c r="EG554" i="1"/>
  <c r="EN553" i="1"/>
  <c r="EM553" i="1"/>
  <c r="EH553" i="1"/>
  <c r="EG553" i="1"/>
  <c r="EN552" i="1"/>
  <c r="EM552" i="1"/>
  <c r="EH552" i="1"/>
  <c r="EG552" i="1"/>
  <c r="EN551" i="1"/>
  <c r="EM551" i="1"/>
  <c r="EH551" i="1"/>
  <c r="EG551" i="1"/>
  <c r="EN550" i="1"/>
  <c r="EM550" i="1"/>
  <c r="EH550" i="1"/>
  <c r="EG550" i="1"/>
  <c r="EN549" i="1"/>
  <c r="EM549" i="1"/>
  <c r="EH549" i="1"/>
  <c r="EG549" i="1"/>
  <c r="EN548" i="1"/>
  <c r="EM548" i="1"/>
  <c r="EH548" i="1"/>
  <c r="EG548" i="1"/>
  <c r="EN547" i="1"/>
  <c r="EM547" i="1"/>
  <c r="EH547" i="1"/>
  <c r="EG547" i="1"/>
  <c r="EN546" i="1"/>
  <c r="EM546" i="1"/>
  <c r="EH546" i="1"/>
  <c r="EG546" i="1"/>
  <c r="EN545" i="1"/>
  <c r="EM545" i="1"/>
  <c r="EH545" i="1"/>
  <c r="EG545" i="1"/>
  <c r="EN544" i="1"/>
  <c r="EM544" i="1"/>
  <c r="EH544" i="1"/>
  <c r="EG544" i="1"/>
  <c r="EN543" i="1"/>
  <c r="EM543" i="1"/>
  <c r="EH543" i="1"/>
  <c r="EG543" i="1"/>
  <c r="EN542" i="1"/>
  <c r="EM542" i="1"/>
  <c r="EH542" i="1"/>
  <c r="EG542" i="1"/>
  <c r="EN541" i="1"/>
  <c r="EM541" i="1"/>
  <c r="EH541" i="1"/>
  <c r="EG541" i="1"/>
  <c r="EN540" i="1"/>
  <c r="EM540" i="1"/>
  <c r="EH540" i="1"/>
  <c r="EG540" i="1"/>
  <c r="EN539" i="1"/>
  <c r="EM539" i="1"/>
  <c r="EH539" i="1"/>
  <c r="EG539" i="1"/>
  <c r="EN538" i="1"/>
  <c r="EM538" i="1"/>
  <c r="EH538" i="1"/>
  <c r="EG538" i="1"/>
  <c r="EN537" i="1"/>
  <c r="EM537" i="1"/>
  <c r="EH537" i="1"/>
  <c r="EG537" i="1"/>
  <c r="EN536" i="1"/>
  <c r="EM536" i="1"/>
  <c r="EH536" i="1"/>
  <c r="EG536" i="1"/>
  <c r="EN535" i="1"/>
  <c r="EM535" i="1"/>
  <c r="EH535" i="1"/>
  <c r="EG535" i="1"/>
  <c r="EN534" i="1"/>
  <c r="EM534" i="1"/>
  <c r="EH534" i="1"/>
  <c r="EG534" i="1"/>
  <c r="EN533" i="1"/>
  <c r="EM533" i="1"/>
  <c r="EH533" i="1"/>
  <c r="EG533" i="1"/>
  <c r="EN532" i="1"/>
  <c r="EM532" i="1"/>
  <c r="EH532" i="1"/>
  <c r="EG532" i="1"/>
  <c r="EN531" i="1"/>
  <c r="EM531" i="1"/>
  <c r="EH531" i="1"/>
  <c r="EG531" i="1"/>
  <c r="EN530" i="1"/>
  <c r="EM530" i="1"/>
  <c r="EH530" i="1"/>
  <c r="EG530" i="1"/>
  <c r="EN529" i="1"/>
  <c r="EM529" i="1"/>
  <c r="EH529" i="1"/>
  <c r="EG529" i="1"/>
  <c r="EN528" i="1"/>
  <c r="EM528" i="1"/>
  <c r="EH528" i="1"/>
  <c r="EG528" i="1"/>
  <c r="EN527" i="1"/>
  <c r="EM527" i="1"/>
  <c r="EH527" i="1"/>
  <c r="EG527" i="1"/>
  <c r="EN526" i="1"/>
  <c r="EM526" i="1"/>
  <c r="EH526" i="1"/>
  <c r="EG526" i="1"/>
  <c r="EN525" i="1"/>
  <c r="EM525" i="1"/>
  <c r="EH525" i="1"/>
  <c r="EG525" i="1"/>
  <c r="EN524" i="1"/>
  <c r="EM524" i="1"/>
  <c r="EH524" i="1"/>
  <c r="EG524" i="1"/>
  <c r="EN523" i="1"/>
  <c r="EM523" i="1"/>
  <c r="EH523" i="1"/>
  <c r="EG523" i="1"/>
  <c r="EN522" i="1"/>
  <c r="EM522" i="1"/>
  <c r="EH522" i="1"/>
  <c r="EG522" i="1"/>
  <c r="EN521" i="1"/>
  <c r="EM521" i="1"/>
  <c r="EH521" i="1"/>
  <c r="EG521" i="1"/>
  <c r="EN520" i="1"/>
  <c r="EM520" i="1"/>
  <c r="EH520" i="1"/>
  <c r="EG520" i="1"/>
  <c r="EN519" i="1"/>
  <c r="EM519" i="1"/>
  <c r="EH519" i="1"/>
  <c r="EG519" i="1"/>
  <c r="EN518" i="1"/>
  <c r="EM518" i="1"/>
  <c r="EH518" i="1"/>
  <c r="EG518" i="1"/>
  <c r="EN517" i="1"/>
  <c r="EM517" i="1"/>
  <c r="EH517" i="1"/>
  <c r="EG517" i="1"/>
  <c r="EN516" i="1"/>
  <c r="EM516" i="1"/>
  <c r="EH516" i="1"/>
  <c r="EG516" i="1"/>
  <c r="EN515" i="1"/>
  <c r="EM515" i="1"/>
  <c r="EH515" i="1"/>
  <c r="EG515" i="1"/>
  <c r="EN514" i="1"/>
  <c r="EM514" i="1"/>
  <c r="EH514" i="1"/>
  <c r="EG514" i="1"/>
  <c r="EN513" i="1"/>
  <c r="EM513" i="1"/>
  <c r="EH513" i="1"/>
  <c r="EG513" i="1"/>
  <c r="EN512" i="1"/>
  <c r="EM512" i="1"/>
  <c r="EH512" i="1"/>
  <c r="EG512" i="1"/>
  <c r="EN511" i="1"/>
  <c r="EM511" i="1"/>
  <c r="EH511" i="1"/>
  <c r="EG511" i="1"/>
  <c r="EN510" i="1"/>
  <c r="EM510" i="1"/>
  <c r="EH510" i="1"/>
  <c r="EG510" i="1"/>
  <c r="EN509" i="1"/>
  <c r="EM509" i="1"/>
  <c r="EH509" i="1"/>
  <c r="EG509" i="1"/>
  <c r="EN508" i="1"/>
  <c r="EM508" i="1"/>
  <c r="EH508" i="1"/>
  <c r="EG508" i="1"/>
  <c r="EN507" i="1"/>
  <c r="EM507" i="1"/>
  <c r="EH507" i="1"/>
  <c r="EG507" i="1"/>
  <c r="EN506" i="1"/>
  <c r="EM506" i="1"/>
  <c r="EH506" i="1"/>
  <c r="EG506" i="1"/>
  <c r="EN505" i="1"/>
  <c r="EM505" i="1"/>
  <c r="EH505" i="1"/>
  <c r="EG505" i="1"/>
  <c r="EN504" i="1"/>
  <c r="EM504" i="1"/>
  <c r="EH504" i="1"/>
  <c r="EG504" i="1"/>
  <c r="EN503" i="1"/>
  <c r="EM503" i="1"/>
  <c r="EH503" i="1"/>
  <c r="EG503" i="1"/>
  <c r="EN502" i="1"/>
  <c r="EM502" i="1"/>
  <c r="EH502" i="1"/>
  <c r="EG502" i="1"/>
  <c r="EN501" i="1"/>
  <c r="EM501" i="1"/>
  <c r="EH501" i="1"/>
  <c r="EG501" i="1"/>
  <c r="EN500" i="1"/>
  <c r="EM500" i="1"/>
  <c r="EH500" i="1"/>
  <c r="EG500" i="1"/>
  <c r="EN499" i="1"/>
  <c r="EM499" i="1"/>
  <c r="EH499" i="1"/>
  <c r="EG499" i="1"/>
  <c r="EN498" i="1"/>
  <c r="EM498" i="1"/>
  <c r="EH498" i="1"/>
  <c r="EG498" i="1"/>
  <c r="EN497" i="1"/>
  <c r="EM497" i="1"/>
  <c r="EH497" i="1"/>
  <c r="EG497" i="1"/>
  <c r="EN496" i="1"/>
  <c r="EM496" i="1"/>
  <c r="EH496" i="1"/>
  <c r="EG496" i="1"/>
  <c r="EN495" i="1"/>
  <c r="EM495" i="1"/>
  <c r="EH495" i="1"/>
  <c r="EG495" i="1"/>
  <c r="EN494" i="1"/>
  <c r="EM494" i="1"/>
  <c r="EH494" i="1"/>
  <c r="EG494" i="1"/>
  <c r="EN493" i="1"/>
  <c r="EM493" i="1"/>
  <c r="EH493" i="1"/>
  <c r="EG493" i="1"/>
  <c r="EN492" i="1"/>
  <c r="EM492" i="1"/>
  <c r="EH492" i="1"/>
  <c r="EG492" i="1"/>
  <c r="EN491" i="1"/>
  <c r="EM491" i="1"/>
  <c r="EH491" i="1"/>
  <c r="EG491" i="1"/>
  <c r="EN490" i="1"/>
  <c r="EM490" i="1"/>
  <c r="EH490" i="1"/>
  <c r="EG490" i="1"/>
  <c r="EN489" i="1"/>
  <c r="EM489" i="1"/>
  <c r="EH489" i="1"/>
  <c r="EG489" i="1"/>
  <c r="EN488" i="1"/>
  <c r="EM488" i="1"/>
  <c r="EH488" i="1"/>
  <c r="EG488" i="1"/>
  <c r="EN487" i="1"/>
  <c r="EM487" i="1"/>
  <c r="EH487" i="1"/>
  <c r="EG487" i="1"/>
  <c r="EN486" i="1"/>
  <c r="EM486" i="1"/>
  <c r="EH486" i="1"/>
  <c r="EG486" i="1"/>
  <c r="EN485" i="1"/>
  <c r="EM485" i="1"/>
  <c r="EH485" i="1"/>
  <c r="EG485" i="1"/>
  <c r="EN484" i="1"/>
  <c r="EM484" i="1"/>
  <c r="EH484" i="1"/>
  <c r="EG484" i="1"/>
  <c r="EN483" i="1"/>
  <c r="EM483" i="1"/>
  <c r="EH483" i="1"/>
  <c r="EG483" i="1"/>
  <c r="EN482" i="1"/>
  <c r="EM482" i="1"/>
  <c r="EH482" i="1"/>
  <c r="EG482" i="1"/>
  <c r="EN481" i="1"/>
  <c r="EM481" i="1"/>
  <c r="EH481" i="1"/>
  <c r="EG481" i="1"/>
  <c r="EN480" i="1"/>
  <c r="EM480" i="1"/>
  <c r="EH480" i="1"/>
  <c r="EG480" i="1"/>
  <c r="EN479" i="1"/>
  <c r="EM479" i="1"/>
  <c r="EH479" i="1"/>
  <c r="EG479" i="1"/>
  <c r="EN478" i="1"/>
  <c r="EM478" i="1"/>
  <c r="EH478" i="1"/>
  <c r="EG478" i="1"/>
  <c r="EN477" i="1"/>
  <c r="EM477" i="1"/>
  <c r="EH477" i="1"/>
  <c r="EG477" i="1"/>
  <c r="EN476" i="1"/>
  <c r="EM476" i="1"/>
  <c r="EH476" i="1"/>
  <c r="EG476" i="1"/>
  <c r="EN475" i="1"/>
  <c r="EM475" i="1"/>
  <c r="EH475" i="1"/>
  <c r="EG475" i="1"/>
  <c r="EN474" i="1"/>
  <c r="EM474" i="1"/>
  <c r="EH474" i="1"/>
  <c r="EG474" i="1"/>
  <c r="EN473" i="1"/>
  <c r="EM473" i="1"/>
  <c r="EH473" i="1"/>
  <c r="EG473" i="1"/>
  <c r="EN472" i="1"/>
  <c r="EM472" i="1"/>
  <c r="EH472" i="1"/>
  <c r="EG472" i="1"/>
  <c r="EN471" i="1"/>
  <c r="EM471" i="1"/>
  <c r="EH471" i="1"/>
  <c r="EG471" i="1"/>
  <c r="EN470" i="1"/>
  <c r="EM470" i="1"/>
  <c r="EH470" i="1"/>
  <c r="EG470" i="1"/>
  <c r="EN469" i="1"/>
  <c r="EM469" i="1"/>
  <c r="EH469" i="1"/>
  <c r="EG469" i="1"/>
  <c r="EN468" i="1"/>
  <c r="EM468" i="1"/>
  <c r="EH468" i="1"/>
  <c r="EG468" i="1"/>
  <c r="EN467" i="1"/>
  <c r="EM467" i="1"/>
  <c r="EH467" i="1"/>
  <c r="EG467" i="1"/>
  <c r="EN466" i="1"/>
  <c r="EM466" i="1"/>
  <c r="EH466" i="1"/>
  <c r="EG466" i="1"/>
  <c r="EN465" i="1"/>
  <c r="EM465" i="1"/>
  <c r="EH465" i="1"/>
  <c r="EG465" i="1"/>
  <c r="EN464" i="1"/>
  <c r="EM464" i="1"/>
  <c r="EH464" i="1"/>
  <c r="EG464" i="1"/>
  <c r="EN463" i="1"/>
  <c r="EM463" i="1"/>
  <c r="EH463" i="1"/>
  <c r="EG463" i="1"/>
  <c r="EN462" i="1"/>
  <c r="EM462" i="1"/>
  <c r="EH462" i="1"/>
  <c r="EG462" i="1"/>
  <c r="EN461" i="1"/>
  <c r="EM461" i="1"/>
  <c r="EH461" i="1"/>
  <c r="EG461" i="1"/>
  <c r="EN460" i="1"/>
  <c r="EM460" i="1"/>
  <c r="EH460" i="1"/>
  <c r="EG460" i="1"/>
  <c r="EN459" i="1"/>
  <c r="EM459" i="1"/>
  <c r="EH459" i="1"/>
  <c r="EG459" i="1"/>
  <c r="EN458" i="1"/>
  <c r="EM458" i="1"/>
  <c r="EH458" i="1"/>
  <c r="EG458" i="1"/>
  <c r="EN457" i="1"/>
  <c r="EM457" i="1"/>
  <c r="EH457" i="1"/>
  <c r="EG457" i="1"/>
  <c r="EN456" i="1"/>
  <c r="EM456" i="1"/>
  <c r="EH456" i="1"/>
  <c r="EG456" i="1"/>
  <c r="EN455" i="1"/>
  <c r="EM455" i="1"/>
  <c r="EH455" i="1"/>
  <c r="EG455" i="1"/>
  <c r="EN454" i="1"/>
  <c r="EM454" i="1"/>
  <c r="EH454" i="1"/>
  <c r="EG454" i="1"/>
  <c r="EN453" i="1"/>
  <c r="EM453" i="1"/>
  <c r="EH453" i="1"/>
  <c r="EG453" i="1"/>
  <c r="EN452" i="1"/>
  <c r="EM452" i="1"/>
  <c r="EH452" i="1"/>
  <c r="EG452" i="1"/>
  <c r="EN451" i="1"/>
  <c r="EM451" i="1"/>
  <c r="EH451" i="1"/>
  <c r="EG451" i="1"/>
  <c r="EN450" i="1"/>
  <c r="EM450" i="1"/>
  <c r="EH450" i="1"/>
  <c r="EG450" i="1"/>
  <c r="EN449" i="1"/>
  <c r="EM449" i="1"/>
  <c r="EH449" i="1"/>
  <c r="EG449" i="1"/>
  <c r="EN448" i="1"/>
  <c r="EM448" i="1"/>
  <c r="EH448" i="1"/>
  <c r="EG448" i="1"/>
  <c r="EN447" i="1"/>
  <c r="EM447" i="1"/>
  <c r="EH447" i="1"/>
  <c r="EG447" i="1"/>
  <c r="EN446" i="1"/>
  <c r="EM446" i="1"/>
  <c r="EH446" i="1"/>
  <c r="EG446" i="1"/>
  <c r="EN445" i="1"/>
  <c r="EM445" i="1"/>
  <c r="EH445" i="1"/>
  <c r="EG445" i="1"/>
  <c r="EN444" i="1"/>
  <c r="EM444" i="1"/>
  <c r="EH444" i="1"/>
  <c r="EG444" i="1"/>
  <c r="EN443" i="1"/>
  <c r="EM443" i="1"/>
  <c r="EH443" i="1"/>
  <c r="EG443" i="1"/>
  <c r="EN442" i="1"/>
  <c r="EM442" i="1"/>
  <c r="EH442" i="1"/>
  <c r="EG442" i="1"/>
  <c r="EN441" i="1"/>
  <c r="EM441" i="1"/>
  <c r="EH441" i="1"/>
  <c r="EG441" i="1"/>
  <c r="EN440" i="1"/>
  <c r="EM440" i="1"/>
  <c r="EH440" i="1"/>
  <c r="EG440" i="1"/>
  <c r="EN439" i="1"/>
  <c r="EM439" i="1"/>
  <c r="EH439" i="1"/>
  <c r="EG439" i="1"/>
  <c r="EN438" i="1"/>
  <c r="EM438" i="1"/>
  <c r="EH438" i="1"/>
  <c r="EG438" i="1"/>
  <c r="EN437" i="1"/>
  <c r="EM437" i="1"/>
  <c r="EH437" i="1"/>
  <c r="EG437" i="1"/>
  <c r="EN436" i="1"/>
  <c r="EM436" i="1"/>
  <c r="EH436" i="1"/>
  <c r="EG436" i="1"/>
  <c r="EN435" i="1"/>
  <c r="EM435" i="1"/>
  <c r="EH435" i="1"/>
  <c r="EG435" i="1"/>
  <c r="EN434" i="1"/>
  <c r="EM434" i="1"/>
  <c r="EH434" i="1"/>
  <c r="EG434" i="1"/>
  <c r="EN433" i="1"/>
  <c r="EM433" i="1"/>
  <c r="EH433" i="1"/>
  <c r="EG433" i="1"/>
  <c r="EN432" i="1"/>
  <c r="EM432" i="1"/>
  <c r="EH432" i="1"/>
  <c r="EG432" i="1"/>
  <c r="EN431" i="1"/>
  <c r="EM431" i="1"/>
  <c r="EH431" i="1"/>
  <c r="EG431" i="1"/>
  <c r="EN430" i="1"/>
  <c r="EM430" i="1"/>
  <c r="EH430" i="1"/>
  <c r="EG430" i="1"/>
  <c r="EN429" i="1"/>
  <c r="EM429" i="1"/>
  <c r="EH429" i="1"/>
  <c r="EG429" i="1"/>
  <c r="EN428" i="1"/>
  <c r="EM428" i="1"/>
  <c r="EH428" i="1"/>
  <c r="EG428" i="1"/>
  <c r="EN427" i="1"/>
  <c r="EM427" i="1"/>
  <c r="EH427" i="1"/>
  <c r="EG427" i="1"/>
  <c r="EN426" i="1"/>
  <c r="EM426" i="1"/>
  <c r="EH426" i="1"/>
  <c r="EG426" i="1"/>
  <c r="EN425" i="1"/>
  <c r="EM425" i="1"/>
  <c r="EH425" i="1"/>
  <c r="EG425" i="1"/>
  <c r="EN424" i="1"/>
  <c r="EM424" i="1"/>
  <c r="EH424" i="1"/>
  <c r="EG424" i="1"/>
  <c r="EN423" i="1"/>
  <c r="EM423" i="1"/>
  <c r="EH423" i="1"/>
  <c r="EG423" i="1"/>
  <c r="EN422" i="1"/>
  <c r="EM422" i="1"/>
  <c r="EH422" i="1"/>
  <c r="EG422" i="1"/>
  <c r="EN421" i="1"/>
  <c r="EM421" i="1"/>
  <c r="EH421" i="1"/>
  <c r="EG421" i="1"/>
  <c r="EN420" i="1"/>
  <c r="EM420" i="1"/>
  <c r="EH420" i="1"/>
  <c r="EG420" i="1"/>
  <c r="EN419" i="1"/>
  <c r="EM419" i="1"/>
  <c r="EH419" i="1"/>
  <c r="EG419" i="1"/>
  <c r="EN418" i="1"/>
  <c r="EM418" i="1"/>
  <c r="EH418" i="1"/>
  <c r="EG418" i="1"/>
  <c r="EN417" i="1"/>
  <c r="EM417" i="1"/>
  <c r="EH417" i="1"/>
  <c r="EG417" i="1"/>
  <c r="EN416" i="1"/>
  <c r="EM416" i="1"/>
  <c r="EH416" i="1"/>
  <c r="EG416" i="1"/>
  <c r="EN415" i="1"/>
  <c r="EM415" i="1"/>
  <c r="EH415" i="1"/>
  <c r="EG415" i="1"/>
  <c r="EN414" i="1"/>
  <c r="EM414" i="1"/>
  <c r="EH414" i="1"/>
  <c r="EG414" i="1"/>
  <c r="EN413" i="1"/>
  <c r="EM413" i="1"/>
  <c r="EH413" i="1"/>
  <c r="EG413" i="1"/>
  <c r="EN412" i="1"/>
  <c r="EM412" i="1"/>
  <c r="EH412" i="1"/>
  <c r="EG412" i="1"/>
  <c r="EN411" i="1"/>
  <c r="EM411" i="1"/>
  <c r="EH411" i="1"/>
  <c r="EG411" i="1"/>
  <c r="EN410" i="1"/>
  <c r="EM410" i="1"/>
  <c r="EH410" i="1"/>
  <c r="EG410" i="1"/>
  <c r="EN409" i="1"/>
  <c r="EM409" i="1"/>
  <c r="EH409" i="1"/>
  <c r="EG409" i="1"/>
  <c r="EN408" i="1"/>
  <c r="EM408" i="1"/>
  <c r="EH408" i="1"/>
  <c r="EG408" i="1"/>
  <c r="EN407" i="1"/>
  <c r="EM407" i="1"/>
  <c r="EH407" i="1"/>
  <c r="EG407" i="1"/>
  <c r="EN406" i="1"/>
  <c r="EM406" i="1"/>
  <c r="EH406" i="1"/>
  <c r="EG406" i="1"/>
  <c r="EN405" i="1"/>
  <c r="EM405" i="1"/>
  <c r="EH405" i="1"/>
  <c r="EG405" i="1"/>
  <c r="EN404" i="1"/>
  <c r="EM404" i="1"/>
  <c r="EH404" i="1"/>
  <c r="EG404" i="1"/>
  <c r="EN403" i="1"/>
  <c r="EM403" i="1"/>
  <c r="EH403" i="1"/>
  <c r="EG403" i="1"/>
  <c r="EN402" i="1"/>
  <c r="EM402" i="1"/>
  <c r="EH402" i="1"/>
  <c r="EG402" i="1"/>
  <c r="EN401" i="1"/>
  <c r="EM401" i="1"/>
  <c r="EH401" i="1"/>
  <c r="EG401" i="1"/>
  <c r="EN400" i="1"/>
  <c r="EM400" i="1"/>
  <c r="EH400" i="1"/>
  <c r="EG400" i="1"/>
  <c r="EN399" i="1"/>
  <c r="EM399" i="1"/>
  <c r="EH399" i="1"/>
  <c r="EG399" i="1"/>
  <c r="EN398" i="1"/>
  <c r="EM398" i="1"/>
  <c r="EH398" i="1"/>
  <c r="EG398" i="1"/>
  <c r="EN397" i="1"/>
  <c r="EM397" i="1"/>
  <c r="EH397" i="1"/>
  <c r="EG397" i="1"/>
  <c r="EN396" i="1"/>
  <c r="EM396" i="1"/>
  <c r="EH396" i="1"/>
  <c r="EG396" i="1"/>
  <c r="EN395" i="1"/>
  <c r="EM395" i="1"/>
  <c r="EH395" i="1"/>
  <c r="EG395" i="1"/>
  <c r="EN394" i="1"/>
  <c r="EM394" i="1"/>
  <c r="EH394" i="1"/>
  <c r="EG394" i="1"/>
  <c r="EN393" i="1"/>
  <c r="EM393" i="1"/>
  <c r="EH393" i="1"/>
  <c r="EG393" i="1"/>
  <c r="EN392" i="1"/>
  <c r="EM392" i="1"/>
  <c r="EH392" i="1"/>
  <c r="EG392" i="1"/>
  <c r="EN391" i="1"/>
  <c r="EM391" i="1"/>
  <c r="EH391" i="1"/>
  <c r="EG391" i="1"/>
  <c r="EN390" i="1"/>
  <c r="EM390" i="1"/>
  <c r="EH390" i="1"/>
  <c r="EG390" i="1"/>
  <c r="EN389" i="1"/>
  <c r="EM389" i="1"/>
  <c r="EH389" i="1"/>
  <c r="EG389" i="1"/>
  <c r="EN388" i="1"/>
  <c r="EM388" i="1"/>
  <c r="EH388" i="1"/>
  <c r="EG388" i="1"/>
  <c r="EN387" i="1"/>
  <c r="EM387" i="1"/>
  <c r="EH387" i="1"/>
  <c r="EG387" i="1"/>
  <c r="EN386" i="1"/>
  <c r="EM386" i="1"/>
  <c r="EH386" i="1"/>
  <c r="EG386" i="1"/>
  <c r="EN385" i="1"/>
  <c r="EM385" i="1"/>
  <c r="EH385" i="1"/>
  <c r="EG385" i="1"/>
  <c r="EN384" i="1"/>
  <c r="EM384" i="1"/>
  <c r="EH384" i="1"/>
  <c r="EG384" i="1"/>
  <c r="EN383" i="1"/>
  <c r="EM383" i="1"/>
  <c r="EH383" i="1"/>
  <c r="EG383" i="1"/>
  <c r="EN382" i="1"/>
  <c r="EM382" i="1"/>
  <c r="EH382" i="1"/>
  <c r="EG382" i="1"/>
  <c r="EN381" i="1"/>
  <c r="EM381" i="1"/>
  <c r="EH381" i="1"/>
  <c r="EG381" i="1"/>
  <c r="EN380" i="1"/>
  <c r="EM380" i="1"/>
  <c r="EH380" i="1"/>
  <c r="EG380" i="1"/>
  <c r="EN379" i="1"/>
  <c r="EM379" i="1"/>
  <c r="EH379" i="1"/>
  <c r="EG379" i="1"/>
  <c r="EN378" i="1"/>
  <c r="EM378" i="1"/>
  <c r="EH378" i="1"/>
  <c r="EG378" i="1"/>
  <c r="EN377" i="1"/>
  <c r="EM377" i="1"/>
  <c r="EH377" i="1"/>
  <c r="EG377" i="1"/>
  <c r="EN376" i="1"/>
  <c r="EM376" i="1"/>
  <c r="EH376" i="1"/>
  <c r="EG376" i="1"/>
  <c r="EN375" i="1"/>
  <c r="EM375" i="1"/>
  <c r="EH375" i="1"/>
  <c r="EG375" i="1"/>
  <c r="EN374" i="1"/>
  <c r="EM374" i="1"/>
  <c r="EH374" i="1"/>
  <c r="EG374" i="1"/>
  <c r="EN373" i="1"/>
  <c r="EM373" i="1"/>
  <c r="EH373" i="1"/>
  <c r="EG373" i="1"/>
  <c r="EN372" i="1"/>
  <c r="EM372" i="1"/>
  <c r="EH372" i="1"/>
  <c r="EG372" i="1"/>
  <c r="EN371" i="1"/>
  <c r="EM371" i="1"/>
  <c r="EH371" i="1"/>
  <c r="EG371" i="1"/>
  <c r="EN370" i="1"/>
  <c r="EM370" i="1"/>
  <c r="EH370" i="1"/>
  <c r="EG370" i="1"/>
  <c r="EN369" i="1"/>
  <c r="EM369" i="1"/>
  <c r="EH369" i="1"/>
  <c r="EG369" i="1"/>
  <c r="EN368" i="1"/>
  <c r="EM368" i="1"/>
  <c r="EH368" i="1"/>
  <c r="EG368" i="1"/>
  <c r="EN367" i="1"/>
  <c r="EM367" i="1"/>
  <c r="EH367" i="1"/>
  <c r="EG367" i="1"/>
  <c r="EN366" i="1"/>
  <c r="EM366" i="1"/>
  <c r="EH366" i="1"/>
  <c r="EG366" i="1"/>
  <c r="EN365" i="1"/>
  <c r="EM365" i="1"/>
  <c r="EH365" i="1"/>
  <c r="EG365" i="1"/>
  <c r="EN364" i="1"/>
  <c r="EM364" i="1"/>
  <c r="EH364" i="1"/>
  <c r="EG364" i="1"/>
  <c r="EN363" i="1"/>
  <c r="EM363" i="1"/>
  <c r="EH363" i="1"/>
  <c r="EG363" i="1"/>
  <c r="EN362" i="1"/>
  <c r="EM362" i="1"/>
  <c r="EH362" i="1"/>
  <c r="EG362" i="1"/>
  <c r="EN361" i="1"/>
  <c r="EM361" i="1"/>
  <c r="EH361" i="1"/>
  <c r="EG361" i="1"/>
  <c r="EN360" i="1"/>
  <c r="EM360" i="1"/>
  <c r="EH360" i="1"/>
  <c r="EG360" i="1"/>
  <c r="EN359" i="1"/>
  <c r="EM359" i="1"/>
  <c r="EH359" i="1"/>
  <c r="EG359" i="1"/>
  <c r="EN358" i="1"/>
  <c r="EM358" i="1"/>
  <c r="EH358" i="1"/>
  <c r="EG358" i="1"/>
  <c r="EN357" i="1"/>
  <c r="EM357" i="1"/>
  <c r="EH357" i="1"/>
  <c r="EG357" i="1"/>
  <c r="EN356" i="1"/>
  <c r="EM356" i="1"/>
  <c r="EH356" i="1"/>
  <c r="EG356" i="1"/>
  <c r="EN355" i="1"/>
  <c r="EM355" i="1"/>
  <c r="EH355" i="1"/>
  <c r="EG355" i="1"/>
  <c r="EN354" i="1"/>
  <c r="EM354" i="1"/>
  <c r="EH354" i="1"/>
  <c r="EG354" i="1"/>
  <c r="EN353" i="1"/>
  <c r="EM353" i="1"/>
  <c r="EH353" i="1"/>
  <c r="EG353" i="1"/>
  <c r="EN352" i="1"/>
  <c r="EM352" i="1"/>
  <c r="EH352" i="1"/>
  <c r="EG352" i="1"/>
  <c r="EN351" i="1"/>
  <c r="EM351" i="1"/>
  <c r="EH351" i="1"/>
  <c r="EG351" i="1"/>
  <c r="EN350" i="1"/>
  <c r="EM350" i="1"/>
  <c r="EH350" i="1"/>
  <c r="EG350" i="1"/>
  <c r="EN349" i="1"/>
  <c r="EM349" i="1"/>
  <c r="EH349" i="1"/>
  <c r="EG349" i="1"/>
  <c r="EN348" i="1"/>
  <c r="EM348" i="1"/>
  <c r="EH348" i="1"/>
  <c r="EG348" i="1"/>
  <c r="EN347" i="1"/>
  <c r="EM347" i="1"/>
  <c r="EH347" i="1"/>
  <c r="EG347" i="1"/>
  <c r="EN346" i="1"/>
  <c r="EM346" i="1"/>
  <c r="EH346" i="1"/>
  <c r="EG346" i="1"/>
  <c r="EN345" i="1"/>
  <c r="EM345" i="1"/>
  <c r="EH345" i="1"/>
  <c r="EG345" i="1"/>
  <c r="EN344" i="1"/>
  <c r="EM344" i="1"/>
  <c r="EH344" i="1"/>
  <c r="EG344" i="1"/>
  <c r="EN343" i="1"/>
  <c r="EM343" i="1"/>
  <c r="EH343" i="1"/>
  <c r="EG343" i="1"/>
  <c r="EN342" i="1"/>
  <c r="EM342" i="1"/>
  <c r="EH342" i="1"/>
  <c r="EG342" i="1"/>
  <c r="EN341" i="1"/>
  <c r="EM341" i="1"/>
  <c r="EH341" i="1"/>
  <c r="EG341" i="1"/>
  <c r="EN340" i="1"/>
  <c r="EM340" i="1"/>
  <c r="EH340" i="1"/>
  <c r="EG340" i="1"/>
  <c r="EN339" i="1"/>
  <c r="EM339" i="1"/>
  <c r="EH339" i="1"/>
  <c r="EG339" i="1"/>
  <c r="EN338" i="1"/>
  <c r="EM338" i="1"/>
  <c r="EH338" i="1"/>
  <c r="EG338" i="1"/>
  <c r="EN337" i="1"/>
  <c r="EM337" i="1"/>
  <c r="EH337" i="1"/>
  <c r="EG337" i="1"/>
  <c r="EN336" i="1"/>
  <c r="EM336" i="1"/>
  <c r="EH336" i="1"/>
  <c r="EG336" i="1"/>
  <c r="EN335" i="1"/>
  <c r="EM335" i="1"/>
  <c r="EH335" i="1"/>
  <c r="EG335" i="1"/>
  <c r="EN334" i="1"/>
  <c r="EM334" i="1"/>
  <c r="EH334" i="1"/>
  <c r="EG334" i="1"/>
  <c r="EN333" i="1"/>
  <c r="EM333" i="1"/>
  <c r="EH333" i="1"/>
  <c r="EG333" i="1"/>
  <c r="EN332" i="1"/>
  <c r="EM332" i="1"/>
  <c r="EH332" i="1"/>
  <c r="EG332" i="1"/>
  <c r="EN331" i="1"/>
  <c r="EM331" i="1"/>
  <c r="EH331" i="1"/>
  <c r="EG331" i="1"/>
  <c r="EN330" i="1"/>
  <c r="EM330" i="1"/>
  <c r="EH330" i="1"/>
  <c r="EG330" i="1"/>
  <c r="EN329" i="1"/>
  <c r="EM329" i="1"/>
  <c r="EH329" i="1"/>
  <c r="EG329" i="1"/>
  <c r="EN328" i="1"/>
  <c r="EM328" i="1"/>
  <c r="EH328" i="1"/>
  <c r="EG328" i="1"/>
  <c r="EN327" i="1"/>
  <c r="EM327" i="1"/>
  <c r="EH327" i="1"/>
  <c r="EG327" i="1"/>
  <c r="EN326" i="1"/>
  <c r="EM326" i="1"/>
  <c r="EH326" i="1"/>
  <c r="EG326" i="1"/>
  <c r="EN325" i="1"/>
  <c r="EM325" i="1"/>
  <c r="EH325" i="1"/>
  <c r="EG325" i="1"/>
  <c r="EN324" i="1"/>
  <c r="EM324" i="1"/>
  <c r="EH324" i="1"/>
  <c r="EG324" i="1"/>
  <c r="EN323" i="1"/>
  <c r="EM323" i="1"/>
  <c r="EH323" i="1"/>
  <c r="EG323" i="1"/>
  <c r="EN322" i="1"/>
  <c r="EM322" i="1"/>
  <c r="EH322" i="1"/>
  <c r="EG322" i="1"/>
  <c r="EN321" i="1"/>
  <c r="EM321" i="1"/>
  <c r="EH321" i="1"/>
  <c r="EG321" i="1"/>
  <c r="EN320" i="1"/>
  <c r="EM320" i="1"/>
  <c r="EH320" i="1"/>
  <c r="EG320" i="1"/>
  <c r="EN319" i="1"/>
  <c r="EM319" i="1"/>
  <c r="EH319" i="1"/>
  <c r="EG319" i="1"/>
  <c r="EN318" i="1"/>
  <c r="EM318" i="1"/>
  <c r="EH318" i="1"/>
  <c r="EG318" i="1"/>
  <c r="EN317" i="1"/>
  <c r="EM317" i="1"/>
  <c r="EH317" i="1"/>
  <c r="EG317" i="1"/>
  <c r="EN316" i="1"/>
  <c r="EM316" i="1"/>
  <c r="EH316" i="1"/>
  <c r="EG316" i="1"/>
  <c r="EN315" i="1"/>
  <c r="EM315" i="1"/>
  <c r="EH315" i="1"/>
  <c r="EG315" i="1"/>
  <c r="EN314" i="1"/>
  <c r="EM314" i="1"/>
  <c r="EH314" i="1"/>
  <c r="EG314" i="1"/>
  <c r="EN313" i="1"/>
  <c r="EM313" i="1"/>
  <c r="EH313" i="1"/>
  <c r="EG313" i="1"/>
  <c r="EN312" i="1"/>
  <c r="EM312" i="1"/>
  <c r="EH312" i="1"/>
  <c r="EG312" i="1"/>
  <c r="EN311" i="1"/>
  <c r="EM311" i="1"/>
  <c r="EH311" i="1"/>
  <c r="EG311" i="1"/>
  <c r="EN310" i="1"/>
  <c r="EM310" i="1"/>
  <c r="EH310" i="1"/>
  <c r="EG310" i="1"/>
  <c r="EN309" i="1"/>
  <c r="EM309" i="1"/>
  <c r="EH309" i="1"/>
  <c r="EG309" i="1"/>
  <c r="EN308" i="1"/>
  <c r="EM308" i="1"/>
  <c r="EH308" i="1"/>
  <c r="EG308" i="1"/>
  <c r="EN307" i="1"/>
  <c r="EM307" i="1"/>
  <c r="EH307" i="1"/>
  <c r="EG307" i="1"/>
  <c r="EN306" i="1"/>
  <c r="EM306" i="1"/>
  <c r="EH306" i="1"/>
  <c r="EG306" i="1"/>
  <c r="EN305" i="1"/>
  <c r="EM305" i="1"/>
  <c r="EH305" i="1"/>
  <c r="EG305" i="1"/>
  <c r="EN304" i="1"/>
  <c r="EM304" i="1"/>
  <c r="EH304" i="1"/>
  <c r="EG304" i="1"/>
  <c r="EN303" i="1"/>
  <c r="EM303" i="1"/>
  <c r="EH303" i="1"/>
  <c r="EG303" i="1"/>
  <c r="EN302" i="1"/>
  <c r="EM302" i="1"/>
  <c r="EH302" i="1"/>
  <c r="EG302" i="1"/>
  <c r="EN301" i="1"/>
  <c r="EM301" i="1"/>
  <c r="EH301" i="1"/>
  <c r="EG301" i="1"/>
  <c r="EN300" i="1"/>
  <c r="EM300" i="1"/>
  <c r="EH300" i="1"/>
  <c r="EG300" i="1"/>
  <c r="EN299" i="1"/>
  <c r="EM299" i="1"/>
  <c r="EH299" i="1"/>
  <c r="EG299" i="1"/>
  <c r="EN298" i="1"/>
  <c r="EM298" i="1"/>
  <c r="EH298" i="1"/>
  <c r="EG298" i="1"/>
  <c r="EN297" i="1"/>
  <c r="EM297" i="1"/>
  <c r="EH297" i="1"/>
  <c r="EG297" i="1"/>
  <c r="EN296" i="1"/>
  <c r="EM296" i="1"/>
  <c r="EH296" i="1"/>
  <c r="EG296" i="1"/>
  <c r="EN295" i="1"/>
  <c r="EM295" i="1"/>
  <c r="EH295" i="1"/>
  <c r="EG295" i="1"/>
  <c r="EN294" i="1"/>
  <c r="EM294" i="1"/>
  <c r="EH294" i="1"/>
  <c r="EG294" i="1"/>
  <c r="EN293" i="1"/>
  <c r="EM293" i="1"/>
  <c r="EH293" i="1"/>
  <c r="EG293" i="1"/>
  <c r="EN292" i="1"/>
  <c r="EM292" i="1"/>
  <c r="EH292" i="1"/>
  <c r="EG292" i="1"/>
  <c r="EN291" i="1"/>
  <c r="EM291" i="1"/>
  <c r="EH291" i="1"/>
  <c r="EG291" i="1"/>
  <c r="EN290" i="1"/>
  <c r="EM290" i="1"/>
  <c r="EH290" i="1"/>
  <c r="EG290" i="1"/>
  <c r="EN289" i="1"/>
  <c r="EM289" i="1"/>
  <c r="EH289" i="1"/>
  <c r="EG289" i="1"/>
  <c r="EN288" i="1"/>
  <c r="EM288" i="1"/>
  <c r="EH288" i="1"/>
  <c r="EG288" i="1"/>
  <c r="EN287" i="1"/>
  <c r="EM287" i="1"/>
  <c r="EH287" i="1"/>
  <c r="EG287" i="1"/>
  <c r="EN286" i="1"/>
  <c r="EM286" i="1"/>
  <c r="EH286" i="1"/>
  <c r="EG286" i="1"/>
  <c r="EN285" i="1"/>
  <c r="EM285" i="1"/>
  <c r="EH285" i="1"/>
  <c r="EG285" i="1"/>
  <c r="EN284" i="1"/>
  <c r="EM284" i="1"/>
  <c r="EH284" i="1"/>
  <c r="EG284" i="1"/>
  <c r="EN283" i="1"/>
  <c r="EM283" i="1"/>
  <c r="EH283" i="1"/>
  <c r="EG283" i="1"/>
  <c r="EN282" i="1"/>
  <c r="EM282" i="1"/>
  <c r="EH282" i="1"/>
  <c r="EG282" i="1"/>
  <c r="EN281" i="1"/>
  <c r="EM281" i="1"/>
  <c r="EH281" i="1"/>
  <c r="EG281" i="1"/>
  <c r="EN280" i="1"/>
  <c r="EM280" i="1"/>
  <c r="EH280" i="1"/>
  <c r="EG280" i="1"/>
  <c r="EN279" i="1"/>
  <c r="EM279" i="1"/>
  <c r="EH279" i="1"/>
  <c r="EG279" i="1"/>
  <c r="EN278" i="1"/>
  <c r="EM278" i="1"/>
  <c r="EH278" i="1"/>
  <c r="EG278" i="1"/>
  <c r="EN277" i="1"/>
  <c r="EM277" i="1"/>
  <c r="EH277" i="1"/>
  <c r="EG277" i="1"/>
  <c r="EN276" i="1"/>
  <c r="EM276" i="1"/>
  <c r="EH276" i="1"/>
  <c r="EG276" i="1"/>
  <c r="EN275" i="1"/>
  <c r="EM275" i="1"/>
  <c r="EH275" i="1"/>
  <c r="EG275" i="1"/>
  <c r="EN274" i="1"/>
  <c r="EM274" i="1"/>
  <c r="EH274" i="1"/>
  <c r="EG274" i="1"/>
  <c r="EN273" i="1"/>
  <c r="EM273" i="1"/>
  <c r="EH273" i="1"/>
  <c r="EG273" i="1"/>
  <c r="EN272" i="1"/>
  <c r="EM272" i="1"/>
  <c r="EH272" i="1"/>
  <c r="EG272" i="1"/>
  <c r="EN271" i="1"/>
  <c r="EM271" i="1"/>
  <c r="EH271" i="1"/>
  <c r="EG271" i="1"/>
  <c r="EN270" i="1"/>
  <c r="EM270" i="1"/>
  <c r="EH270" i="1"/>
  <c r="EG270" i="1"/>
  <c r="EN269" i="1"/>
  <c r="EM269" i="1"/>
  <c r="EH269" i="1"/>
  <c r="EG269" i="1"/>
  <c r="EN268" i="1"/>
  <c r="EM268" i="1"/>
  <c r="EH268" i="1"/>
  <c r="EG268" i="1"/>
  <c r="EN267" i="1"/>
  <c r="EM267" i="1"/>
  <c r="EH267" i="1"/>
  <c r="EG267" i="1"/>
  <c r="EN266" i="1"/>
  <c r="EM266" i="1"/>
  <c r="EH266" i="1"/>
  <c r="EG266" i="1"/>
  <c r="EN265" i="1"/>
  <c r="EM265" i="1"/>
  <c r="EH265" i="1"/>
  <c r="EG265" i="1"/>
  <c r="EN264" i="1"/>
  <c r="EM264" i="1"/>
  <c r="EH264" i="1"/>
  <c r="EG264" i="1"/>
  <c r="EN263" i="1"/>
  <c r="EM263" i="1"/>
  <c r="EH263" i="1"/>
  <c r="EG263" i="1"/>
  <c r="EN262" i="1"/>
  <c r="EM262" i="1"/>
  <c r="EH262" i="1"/>
  <c r="EG262" i="1"/>
  <c r="EN261" i="1"/>
  <c r="EM261" i="1"/>
  <c r="EH261" i="1"/>
  <c r="EG261" i="1"/>
  <c r="EN260" i="1"/>
  <c r="EM260" i="1"/>
  <c r="EH260" i="1"/>
  <c r="EG260" i="1"/>
  <c r="EN259" i="1"/>
  <c r="EM259" i="1"/>
  <c r="EH259" i="1"/>
  <c r="EG259" i="1"/>
  <c r="EN258" i="1"/>
  <c r="EM258" i="1"/>
  <c r="EH258" i="1"/>
  <c r="EG258" i="1"/>
  <c r="EN257" i="1"/>
  <c r="EM257" i="1"/>
  <c r="EH257" i="1"/>
  <c r="EG257" i="1"/>
  <c r="EN256" i="1"/>
  <c r="EM256" i="1"/>
  <c r="EH256" i="1"/>
  <c r="EG256" i="1"/>
  <c r="EN255" i="1"/>
  <c r="EM255" i="1"/>
  <c r="EH255" i="1"/>
  <c r="EG255" i="1"/>
  <c r="EN254" i="1"/>
  <c r="EM254" i="1"/>
  <c r="EH254" i="1"/>
  <c r="EG254" i="1"/>
  <c r="EN253" i="1"/>
  <c r="EM253" i="1"/>
  <c r="EH253" i="1"/>
  <c r="EG253" i="1"/>
  <c r="EN252" i="1"/>
  <c r="EM252" i="1"/>
  <c r="EH252" i="1"/>
  <c r="EG252" i="1"/>
  <c r="EN251" i="1"/>
  <c r="EM251" i="1"/>
  <c r="EH251" i="1"/>
  <c r="EG251" i="1"/>
  <c r="EN250" i="1"/>
  <c r="EM250" i="1"/>
  <c r="EH250" i="1"/>
  <c r="EG250" i="1"/>
  <c r="EN249" i="1"/>
  <c r="EM249" i="1"/>
  <c r="EH249" i="1"/>
  <c r="EG249" i="1"/>
  <c r="EN248" i="1"/>
  <c r="EM248" i="1"/>
  <c r="EH248" i="1"/>
  <c r="EG248" i="1"/>
  <c r="EN247" i="1"/>
  <c r="EM247" i="1"/>
  <c r="EH247" i="1"/>
  <c r="EG247" i="1"/>
  <c r="EN246" i="1"/>
  <c r="EM246" i="1"/>
  <c r="EH246" i="1"/>
  <c r="EG246" i="1"/>
  <c r="EN245" i="1"/>
  <c r="EM245" i="1"/>
  <c r="EH245" i="1"/>
  <c r="EG245" i="1"/>
  <c r="EN244" i="1"/>
  <c r="EM244" i="1"/>
  <c r="EH244" i="1"/>
  <c r="EG244" i="1"/>
  <c r="EN243" i="1"/>
  <c r="EM243" i="1"/>
  <c r="EH243" i="1"/>
  <c r="EG243" i="1"/>
  <c r="EN242" i="1"/>
  <c r="EM242" i="1"/>
  <c r="EH242" i="1"/>
  <c r="EG242" i="1"/>
  <c r="EN241" i="1"/>
  <c r="EM241" i="1"/>
  <c r="EH241" i="1"/>
  <c r="EG241" i="1"/>
  <c r="EN240" i="1"/>
  <c r="EM240" i="1"/>
  <c r="EH240" i="1"/>
  <c r="EG240" i="1"/>
  <c r="EN239" i="1"/>
  <c r="EM239" i="1"/>
  <c r="EH239" i="1"/>
  <c r="EG239" i="1"/>
  <c r="EN238" i="1"/>
  <c r="EM238" i="1"/>
  <c r="EH238" i="1"/>
  <c r="EG238" i="1"/>
  <c r="EN237" i="1"/>
  <c r="EM237" i="1"/>
  <c r="EH237" i="1"/>
  <c r="EG237" i="1"/>
  <c r="EN236" i="1"/>
  <c r="EM236" i="1"/>
  <c r="EH236" i="1"/>
  <c r="EG236" i="1"/>
  <c r="EN235" i="1"/>
  <c r="EM235" i="1"/>
  <c r="EH235" i="1"/>
  <c r="EG235" i="1"/>
  <c r="EN234" i="1"/>
  <c r="EM234" i="1"/>
  <c r="EH234" i="1"/>
  <c r="EG234" i="1"/>
  <c r="EN233" i="1"/>
  <c r="EM233" i="1"/>
  <c r="EH233" i="1"/>
  <c r="EG233" i="1"/>
  <c r="EN232" i="1"/>
  <c r="EM232" i="1"/>
  <c r="EH232" i="1"/>
  <c r="EG232" i="1"/>
  <c r="EN231" i="1"/>
  <c r="EM231" i="1"/>
  <c r="EH231" i="1"/>
  <c r="EG231" i="1"/>
  <c r="EN230" i="1"/>
  <c r="EM230" i="1"/>
  <c r="EH230" i="1"/>
  <c r="EG230" i="1"/>
  <c r="EN229" i="1"/>
  <c r="EM229" i="1"/>
  <c r="EH229" i="1"/>
  <c r="EG229" i="1"/>
  <c r="EN228" i="1"/>
  <c r="EM228" i="1"/>
  <c r="EH228" i="1"/>
  <c r="EG228" i="1"/>
  <c r="EN227" i="1"/>
  <c r="EM227" i="1"/>
  <c r="EH227" i="1"/>
  <c r="EG227" i="1"/>
  <c r="EN226" i="1"/>
  <c r="EM226" i="1"/>
  <c r="EH226" i="1"/>
  <c r="EG226" i="1"/>
  <c r="EN225" i="1"/>
  <c r="EM225" i="1"/>
  <c r="EH225" i="1"/>
  <c r="EG225" i="1"/>
  <c r="EN224" i="1"/>
  <c r="EM224" i="1"/>
  <c r="EH224" i="1"/>
  <c r="EG224" i="1"/>
  <c r="EN223" i="1"/>
  <c r="EM223" i="1"/>
  <c r="EH223" i="1"/>
  <c r="EG223" i="1"/>
  <c r="EN222" i="1"/>
  <c r="EM222" i="1"/>
  <c r="EH222" i="1"/>
  <c r="EG222" i="1"/>
  <c r="EN221" i="1"/>
  <c r="EM221" i="1"/>
  <c r="EH221" i="1"/>
  <c r="EG221" i="1"/>
  <c r="EN220" i="1"/>
  <c r="EM220" i="1"/>
  <c r="EH220" i="1"/>
  <c r="EG220" i="1"/>
  <c r="EN219" i="1"/>
  <c r="EM219" i="1"/>
  <c r="EH219" i="1"/>
  <c r="EG219" i="1"/>
  <c r="EN218" i="1"/>
  <c r="EM218" i="1"/>
  <c r="EH218" i="1"/>
  <c r="EG218" i="1"/>
  <c r="EN217" i="1"/>
  <c r="EM217" i="1"/>
  <c r="EH217" i="1"/>
  <c r="EG217" i="1"/>
  <c r="EN216" i="1"/>
  <c r="EM216" i="1"/>
  <c r="EH216" i="1"/>
  <c r="EG216" i="1"/>
  <c r="EN215" i="1"/>
  <c r="EM215" i="1"/>
  <c r="EH215" i="1"/>
  <c r="EG215" i="1"/>
  <c r="EN214" i="1"/>
  <c r="EM214" i="1"/>
  <c r="EH214" i="1"/>
  <c r="EG214" i="1"/>
  <c r="EN213" i="1"/>
  <c r="EM213" i="1"/>
  <c r="EH213" i="1"/>
  <c r="EG213" i="1"/>
  <c r="EN212" i="1"/>
  <c r="EM212" i="1"/>
  <c r="EH212" i="1"/>
  <c r="EG212" i="1"/>
  <c r="EN211" i="1"/>
  <c r="EM211" i="1"/>
  <c r="EH211" i="1"/>
  <c r="EG211" i="1"/>
  <c r="EN210" i="1"/>
  <c r="EM210" i="1"/>
  <c r="EH210" i="1"/>
  <c r="EG210" i="1"/>
  <c r="EN209" i="1"/>
  <c r="EM209" i="1"/>
  <c r="EH209" i="1"/>
  <c r="EG209" i="1"/>
  <c r="EN208" i="1"/>
  <c r="EM208" i="1"/>
  <c r="EH208" i="1"/>
  <c r="EG208" i="1"/>
  <c r="EN207" i="1"/>
  <c r="EM207" i="1"/>
  <c r="EH207" i="1"/>
  <c r="EG207" i="1"/>
  <c r="EN206" i="1"/>
  <c r="EM206" i="1"/>
  <c r="EH206" i="1"/>
  <c r="EG206" i="1"/>
  <c r="EN205" i="1"/>
  <c r="EM205" i="1"/>
  <c r="EH205" i="1"/>
  <c r="EG205" i="1"/>
  <c r="EN204" i="1"/>
  <c r="EM204" i="1"/>
  <c r="EH204" i="1"/>
  <c r="EG204" i="1"/>
  <c r="EN203" i="1"/>
  <c r="EM203" i="1"/>
  <c r="EH203" i="1"/>
  <c r="EG203" i="1"/>
  <c r="EN202" i="1"/>
  <c r="EM202" i="1"/>
  <c r="EH202" i="1"/>
  <c r="EG202" i="1"/>
  <c r="EN201" i="1"/>
  <c r="EM201" i="1"/>
  <c r="EH201" i="1"/>
  <c r="EG201" i="1"/>
  <c r="EN200" i="1"/>
  <c r="EM200" i="1"/>
  <c r="EH200" i="1"/>
  <c r="EG200" i="1"/>
  <c r="EN199" i="1"/>
  <c r="EM199" i="1"/>
  <c r="EH199" i="1"/>
  <c r="EG199" i="1"/>
  <c r="EN198" i="1"/>
  <c r="EM198" i="1"/>
  <c r="EH198" i="1"/>
  <c r="EG198" i="1"/>
  <c r="EN197" i="1"/>
  <c r="EM197" i="1"/>
  <c r="EH197" i="1"/>
  <c r="EG197" i="1"/>
  <c r="EN196" i="1"/>
  <c r="EM196" i="1"/>
  <c r="EH196" i="1"/>
  <c r="EG196" i="1"/>
  <c r="EN195" i="1"/>
  <c r="EM195" i="1"/>
  <c r="EH195" i="1"/>
  <c r="EG195" i="1"/>
  <c r="EN194" i="1"/>
  <c r="EM194" i="1"/>
  <c r="EH194" i="1"/>
  <c r="EG194" i="1"/>
  <c r="EN193" i="1"/>
  <c r="EM193" i="1"/>
  <c r="EH193" i="1"/>
  <c r="EG193" i="1"/>
  <c r="EN192" i="1"/>
  <c r="EM192" i="1"/>
  <c r="EH192" i="1"/>
  <c r="EG192" i="1"/>
  <c r="EN191" i="1"/>
  <c r="EM191" i="1"/>
  <c r="EH191" i="1"/>
  <c r="EG191" i="1"/>
  <c r="EN190" i="1"/>
  <c r="EM190" i="1"/>
  <c r="EH190" i="1"/>
  <c r="EG190" i="1"/>
  <c r="EN189" i="1"/>
  <c r="EM189" i="1"/>
  <c r="EH189" i="1"/>
  <c r="EG189" i="1"/>
  <c r="EN188" i="1"/>
  <c r="EM188" i="1"/>
  <c r="EH188" i="1"/>
  <c r="EG188" i="1"/>
  <c r="EN187" i="1"/>
  <c r="EM187" i="1"/>
  <c r="EH187" i="1"/>
  <c r="EG187" i="1"/>
  <c r="EN186" i="1"/>
  <c r="EM186" i="1"/>
  <c r="EH186" i="1"/>
  <c r="EG186" i="1"/>
  <c r="EN185" i="1"/>
  <c r="EM185" i="1"/>
  <c r="EH185" i="1"/>
  <c r="EG185" i="1"/>
  <c r="EN184" i="1"/>
  <c r="EM184" i="1"/>
  <c r="EH184" i="1"/>
  <c r="EG184" i="1"/>
  <c r="EN183" i="1"/>
  <c r="EM183" i="1"/>
  <c r="EH183" i="1"/>
  <c r="EG183" i="1"/>
  <c r="EN182" i="1"/>
  <c r="EM182" i="1"/>
  <c r="EH182" i="1"/>
  <c r="EG182" i="1"/>
  <c r="EN181" i="1"/>
  <c r="EM181" i="1"/>
  <c r="EH181" i="1"/>
  <c r="EG181" i="1"/>
  <c r="EN180" i="1"/>
  <c r="EM180" i="1"/>
  <c r="EH180" i="1"/>
  <c r="EG180" i="1"/>
  <c r="EN179" i="1"/>
  <c r="EM179" i="1"/>
  <c r="EH179" i="1"/>
  <c r="EG179" i="1"/>
  <c r="EN178" i="1"/>
  <c r="EM178" i="1"/>
  <c r="EH178" i="1"/>
  <c r="EG178" i="1"/>
  <c r="EN177" i="1"/>
  <c r="EM177" i="1"/>
  <c r="EH177" i="1"/>
  <c r="EG177" i="1"/>
  <c r="EN176" i="1"/>
  <c r="EM176" i="1"/>
  <c r="EH176" i="1"/>
  <c r="EG176" i="1"/>
  <c r="EN175" i="1"/>
  <c r="EM175" i="1"/>
  <c r="EH175" i="1"/>
  <c r="EG175" i="1"/>
  <c r="EN174" i="1"/>
  <c r="EM174" i="1"/>
  <c r="EH174" i="1"/>
  <c r="EG174" i="1"/>
  <c r="EN173" i="1"/>
  <c r="EM173" i="1"/>
  <c r="EH173" i="1"/>
  <c r="EG173" i="1"/>
  <c r="EN172" i="1"/>
  <c r="EM172" i="1"/>
  <c r="EH172" i="1"/>
  <c r="EG172" i="1"/>
  <c r="EN171" i="1"/>
  <c r="EM171" i="1"/>
  <c r="EH171" i="1"/>
  <c r="EG171" i="1"/>
  <c r="EN170" i="1"/>
  <c r="EM170" i="1"/>
  <c r="EH170" i="1"/>
  <c r="EG170" i="1"/>
  <c r="EN169" i="1"/>
  <c r="EM169" i="1"/>
  <c r="EH169" i="1"/>
  <c r="EG169" i="1"/>
  <c r="EN168" i="1"/>
  <c r="EM168" i="1"/>
  <c r="EH168" i="1"/>
  <c r="EG168" i="1"/>
  <c r="EN167" i="1"/>
  <c r="EM167" i="1"/>
  <c r="EH167" i="1"/>
  <c r="EG167" i="1"/>
  <c r="EN166" i="1"/>
  <c r="EM166" i="1"/>
  <c r="EH166" i="1"/>
  <c r="EG166" i="1"/>
  <c r="EN165" i="1"/>
  <c r="EM165" i="1"/>
  <c r="EH165" i="1"/>
  <c r="EG165" i="1"/>
  <c r="EN164" i="1"/>
  <c r="EM164" i="1"/>
  <c r="EH164" i="1"/>
  <c r="EG164" i="1"/>
  <c r="EN163" i="1"/>
  <c r="EM163" i="1"/>
  <c r="EH163" i="1"/>
  <c r="EG163" i="1"/>
  <c r="EN162" i="1"/>
  <c r="EM162" i="1"/>
  <c r="EH162" i="1"/>
  <c r="EG162" i="1"/>
  <c r="EN161" i="1"/>
  <c r="EM161" i="1"/>
  <c r="EH161" i="1"/>
  <c r="EG161" i="1"/>
  <c r="EN160" i="1"/>
  <c r="EM160" i="1"/>
  <c r="EH160" i="1"/>
  <c r="EG160" i="1"/>
  <c r="EN159" i="1"/>
  <c r="EM159" i="1"/>
  <c r="EH159" i="1"/>
  <c r="EG159" i="1"/>
  <c r="EN158" i="1"/>
  <c r="EM158" i="1"/>
  <c r="EH158" i="1"/>
  <c r="EG158" i="1"/>
  <c r="EN157" i="1"/>
  <c r="EM157" i="1"/>
  <c r="EH157" i="1"/>
  <c r="EG157" i="1"/>
  <c r="EN156" i="1"/>
  <c r="EM156" i="1"/>
  <c r="EH156" i="1"/>
  <c r="EG156" i="1"/>
  <c r="EN155" i="1"/>
  <c r="EM155" i="1"/>
  <c r="EH155" i="1"/>
  <c r="EG155" i="1"/>
  <c r="EN154" i="1"/>
  <c r="EM154" i="1"/>
  <c r="EH154" i="1"/>
  <c r="EG154" i="1"/>
  <c r="EN153" i="1"/>
  <c r="EM153" i="1"/>
  <c r="EH153" i="1"/>
  <c r="EG153" i="1"/>
  <c r="EN152" i="1"/>
  <c r="EM152" i="1"/>
  <c r="EH152" i="1"/>
  <c r="EG152" i="1"/>
  <c r="EN151" i="1"/>
  <c r="EM151" i="1"/>
  <c r="EH151" i="1"/>
  <c r="EG151" i="1"/>
  <c r="EN150" i="1"/>
  <c r="EM150" i="1"/>
  <c r="EH150" i="1"/>
  <c r="EG150" i="1"/>
  <c r="EN149" i="1"/>
  <c r="EM149" i="1"/>
  <c r="EH149" i="1"/>
  <c r="EG149" i="1"/>
  <c r="EN148" i="1"/>
  <c r="EM148" i="1"/>
  <c r="EH148" i="1"/>
  <c r="EG148" i="1"/>
  <c r="EN147" i="1"/>
  <c r="EM147" i="1"/>
  <c r="EH147" i="1"/>
  <c r="EG147" i="1"/>
  <c r="EN146" i="1"/>
  <c r="EM146" i="1"/>
  <c r="EH146" i="1"/>
  <c r="EG146" i="1"/>
  <c r="EN145" i="1"/>
  <c r="EM145" i="1"/>
  <c r="EH145" i="1"/>
  <c r="EG145" i="1"/>
  <c r="EN144" i="1"/>
  <c r="EM144" i="1"/>
  <c r="EH144" i="1"/>
  <c r="EG144" i="1"/>
  <c r="EN143" i="1"/>
  <c r="EM143" i="1"/>
  <c r="EH143" i="1"/>
  <c r="EG143" i="1"/>
  <c r="EN142" i="1"/>
  <c r="EM142" i="1"/>
  <c r="EH142" i="1"/>
  <c r="EG142" i="1"/>
  <c r="EN141" i="1"/>
  <c r="EM141" i="1"/>
  <c r="EH141" i="1"/>
  <c r="EG141" i="1"/>
  <c r="EN140" i="1"/>
  <c r="EM140" i="1"/>
  <c r="EH140" i="1"/>
  <c r="EG140" i="1"/>
  <c r="EN139" i="1"/>
  <c r="EM139" i="1"/>
  <c r="EH139" i="1"/>
  <c r="EG139" i="1"/>
  <c r="EN138" i="1"/>
  <c r="EM138" i="1"/>
  <c r="EH138" i="1"/>
  <c r="EG138" i="1"/>
  <c r="EN137" i="1"/>
  <c r="EM137" i="1"/>
  <c r="EH137" i="1"/>
  <c r="EG137" i="1"/>
  <c r="EN136" i="1"/>
  <c r="EM136" i="1"/>
  <c r="EH136" i="1"/>
  <c r="EG136" i="1"/>
  <c r="EN135" i="1"/>
  <c r="EM135" i="1"/>
  <c r="EH135" i="1"/>
  <c r="EG135" i="1"/>
  <c r="EN134" i="1"/>
  <c r="EM134" i="1"/>
  <c r="EH134" i="1"/>
  <c r="EG134" i="1"/>
  <c r="EN133" i="1"/>
  <c r="EM133" i="1"/>
  <c r="EH133" i="1"/>
  <c r="EG133" i="1"/>
  <c r="EN132" i="1"/>
  <c r="EM132" i="1"/>
  <c r="EH132" i="1"/>
  <c r="EG132" i="1"/>
  <c r="EN131" i="1"/>
  <c r="EM131" i="1"/>
  <c r="EH131" i="1"/>
  <c r="EG131" i="1"/>
  <c r="EN130" i="1"/>
  <c r="EM130" i="1"/>
  <c r="EH130" i="1"/>
  <c r="EG130" i="1"/>
  <c r="EN129" i="1"/>
  <c r="EM129" i="1"/>
  <c r="EH129" i="1"/>
  <c r="EG129" i="1"/>
  <c r="EN128" i="1"/>
  <c r="EM128" i="1"/>
  <c r="EH128" i="1"/>
  <c r="EG128" i="1"/>
  <c r="EN127" i="1"/>
  <c r="EM127" i="1"/>
  <c r="EH127" i="1"/>
  <c r="EG127" i="1"/>
  <c r="EN126" i="1"/>
  <c r="EM126" i="1"/>
  <c r="EH126" i="1"/>
  <c r="EG126" i="1"/>
  <c r="EN125" i="1"/>
  <c r="EM125" i="1"/>
  <c r="EH125" i="1"/>
  <c r="EG125" i="1"/>
  <c r="EN124" i="1"/>
  <c r="EM124" i="1"/>
  <c r="EH124" i="1"/>
  <c r="EG124" i="1"/>
  <c r="EN123" i="1"/>
  <c r="EM123" i="1"/>
  <c r="EH123" i="1"/>
  <c r="EG123" i="1"/>
  <c r="EN122" i="1"/>
  <c r="EM122" i="1"/>
  <c r="EH122" i="1"/>
  <c r="EG122" i="1"/>
  <c r="EN121" i="1"/>
  <c r="EM121" i="1"/>
  <c r="EH121" i="1"/>
  <c r="EG121" i="1"/>
  <c r="EN120" i="1"/>
  <c r="EM120" i="1"/>
  <c r="EH120" i="1"/>
  <c r="EG120" i="1"/>
  <c r="EN119" i="1"/>
  <c r="EM119" i="1"/>
  <c r="EH119" i="1"/>
  <c r="EG119" i="1"/>
  <c r="EN118" i="1"/>
  <c r="EM118" i="1"/>
  <c r="EH118" i="1"/>
  <c r="EG118" i="1"/>
  <c r="EN117" i="1"/>
  <c r="EM117" i="1"/>
  <c r="EH117" i="1"/>
  <c r="EG117" i="1"/>
  <c r="EN116" i="1"/>
  <c r="EM116" i="1"/>
  <c r="EH116" i="1"/>
  <c r="EG116" i="1"/>
  <c r="EN115" i="1"/>
  <c r="EM115" i="1"/>
  <c r="EH115" i="1"/>
  <c r="EG115" i="1"/>
  <c r="EN114" i="1"/>
  <c r="EM114" i="1"/>
  <c r="EH114" i="1"/>
  <c r="EG114" i="1"/>
  <c r="EN113" i="1"/>
  <c r="EM113" i="1"/>
  <c r="EH113" i="1"/>
  <c r="EG113" i="1"/>
  <c r="EN112" i="1"/>
  <c r="EM112" i="1"/>
  <c r="EH112" i="1"/>
  <c r="EG112" i="1"/>
  <c r="EN111" i="1"/>
  <c r="EM111" i="1"/>
  <c r="EH111" i="1"/>
  <c r="EG111" i="1"/>
  <c r="EN110" i="1"/>
  <c r="EM110" i="1"/>
  <c r="EH110" i="1"/>
  <c r="EG110" i="1"/>
  <c r="EN109" i="1"/>
  <c r="EM109" i="1"/>
  <c r="EH109" i="1"/>
  <c r="EG109" i="1"/>
  <c r="EN108" i="1"/>
  <c r="EM108" i="1"/>
  <c r="EH108" i="1"/>
  <c r="EG108" i="1"/>
  <c r="EN107" i="1"/>
  <c r="EM107" i="1"/>
  <c r="EH107" i="1"/>
  <c r="EG107" i="1"/>
  <c r="EN106" i="1"/>
  <c r="EM106" i="1"/>
  <c r="EH106" i="1"/>
  <c r="EG106" i="1"/>
  <c r="EN105" i="1"/>
  <c r="EM105" i="1"/>
  <c r="EH105" i="1"/>
  <c r="EG105" i="1"/>
  <c r="EN104" i="1"/>
  <c r="EM104" i="1"/>
  <c r="EH104" i="1"/>
  <c r="EG104" i="1"/>
  <c r="EN103" i="1"/>
  <c r="EM103" i="1"/>
  <c r="EH103" i="1"/>
  <c r="EG103" i="1"/>
  <c r="EN102" i="1"/>
  <c r="EM102" i="1"/>
  <c r="EH102" i="1"/>
  <c r="EG102" i="1"/>
  <c r="EN101" i="1"/>
  <c r="EM101" i="1"/>
  <c r="EH101" i="1"/>
  <c r="EG101" i="1"/>
  <c r="EN100" i="1"/>
  <c r="EM100" i="1"/>
  <c r="EH100" i="1"/>
  <c r="EG100" i="1"/>
  <c r="EN99" i="1"/>
  <c r="EM99" i="1"/>
  <c r="EH99" i="1"/>
  <c r="EG99" i="1"/>
  <c r="EN98" i="1"/>
  <c r="EM98" i="1"/>
  <c r="EH98" i="1"/>
  <c r="EG98" i="1"/>
  <c r="EN97" i="1"/>
  <c r="EM97" i="1"/>
  <c r="EH97" i="1"/>
  <c r="EG97" i="1"/>
  <c r="EN96" i="1"/>
  <c r="EM96" i="1"/>
  <c r="EH96" i="1"/>
  <c r="EG96" i="1"/>
  <c r="EN95" i="1"/>
  <c r="EM95" i="1"/>
  <c r="EH95" i="1"/>
  <c r="EG95" i="1"/>
  <c r="EN94" i="1"/>
  <c r="EM94" i="1"/>
  <c r="EH94" i="1"/>
  <c r="EG94" i="1"/>
  <c r="EN93" i="1"/>
  <c r="EM93" i="1"/>
  <c r="EH93" i="1"/>
  <c r="EG93" i="1"/>
  <c r="EN92" i="1"/>
  <c r="EM92" i="1"/>
  <c r="EH92" i="1"/>
  <c r="EG92" i="1"/>
  <c r="EN91" i="1"/>
  <c r="EM91" i="1"/>
  <c r="EH91" i="1"/>
  <c r="EG91" i="1"/>
  <c r="EN90" i="1"/>
  <c r="EM90" i="1"/>
  <c r="EH90" i="1"/>
  <c r="EG90" i="1"/>
  <c r="EN89" i="1"/>
  <c r="EM89" i="1"/>
  <c r="EH89" i="1"/>
  <c r="EG89" i="1"/>
  <c r="EN88" i="1"/>
  <c r="EM88" i="1"/>
  <c r="EH88" i="1"/>
  <c r="EG88" i="1"/>
  <c r="EN87" i="1"/>
  <c r="EM87" i="1"/>
  <c r="EH87" i="1"/>
  <c r="EG87" i="1"/>
  <c r="EN86" i="1"/>
  <c r="EM86" i="1"/>
  <c r="EH86" i="1"/>
  <c r="EG86" i="1"/>
  <c r="EN85" i="1"/>
  <c r="EM85" i="1"/>
  <c r="EH85" i="1"/>
  <c r="EG85" i="1"/>
  <c r="EN84" i="1"/>
  <c r="EM84" i="1"/>
  <c r="EH84" i="1"/>
  <c r="EG84" i="1"/>
  <c r="EN83" i="1"/>
  <c r="EM83" i="1"/>
  <c r="EH83" i="1"/>
  <c r="EG83" i="1"/>
  <c r="EN82" i="1"/>
  <c r="EM82" i="1"/>
  <c r="EH82" i="1"/>
  <c r="EG82" i="1"/>
  <c r="EN81" i="1"/>
  <c r="EM81" i="1"/>
  <c r="EH81" i="1"/>
  <c r="EG81" i="1"/>
  <c r="EN80" i="1"/>
  <c r="EM80" i="1"/>
  <c r="EH80" i="1"/>
  <c r="EG80" i="1"/>
  <c r="EN79" i="1"/>
  <c r="EM79" i="1"/>
  <c r="EH79" i="1"/>
  <c r="EG79" i="1"/>
  <c r="EN78" i="1"/>
  <c r="EM78" i="1"/>
  <c r="EH78" i="1"/>
  <c r="EG78" i="1"/>
  <c r="EN77" i="1"/>
  <c r="EM77" i="1"/>
  <c r="EH77" i="1"/>
  <c r="EG77" i="1"/>
  <c r="EN76" i="1"/>
  <c r="EM76" i="1"/>
  <c r="EH76" i="1"/>
  <c r="EG76" i="1"/>
  <c r="EN75" i="1"/>
  <c r="EM75" i="1"/>
  <c r="EH75" i="1"/>
  <c r="EG75" i="1"/>
  <c r="EN74" i="1"/>
  <c r="EM74" i="1"/>
  <c r="EH74" i="1"/>
  <c r="EG74" i="1"/>
  <c r="EN73" i="1"/>
  <c r="EM73" i="1"/>
  <c r="EH73" i="1"/>
  <c r="EG73" i="1"/>
  <c r="EN72" i="1"/>
  <c r="EM72" i="1"/>
  <c r="EH72" i="1"/>
  <c r="EG72" i="1"/>
  <c r="EN71" i="1"/>
  <c r="EM71" i="1"/>
  <c r="EH71" i="1"/>
  <c r="EG71" i="1"/>
  <c r="EN70" i="1"/>
  <c r="EM70" i="1"/>
  <c r="EH70" i="1"/>
  <c r="EG70" i="1"/>
  <c r="EN69" i="1"/>
  <c r="EM69" i="1"/>
  <c r="EH69" i="1"/>
  <c r="EG69" i="1"/>
  <c r="EN68" i="1"/>
  <c r="EM68" i="1"/>
  <c r="EH68" i="1"/>
  <c r="EG68" i="1"/>
  <c r="EN67" i="1"/>
  <c r="EM67" i="1"/>
  <c r="EH67" i="1"/>
  <c r="EG67" i="1"/>
  <c r="EN66" i="1"/>
  <c r="EM66" i="1"/>
  <c r="EH66" i="1"/>
  <c r="EG66" i="1"/>
  <c r="EN65" i="1"/>
  <c r="EM65" i="1"/>
  <c r="EH65" i="1"/>
  <c r="EG65" i="1"/>
  <c r="EN64" i="1"/>
  <c r="EM64" i="1"/>
  <c r="EH64" i="1"/>
  <c r="EG64" i="1"/>
  <c r="EN63" i="1"/>
  <c r="EM63" i="1"/>
  <c r="EH63" i="1"/>
  <c r="EG63" i="1"/>
  <c r="EN62" i="1"/>
  <c r="EM62" i="1"/>
  <c r="EH62" i="1"/>
  <c r="EG62" i="1"/>
  <c r="EN61" i="1"/>
  <c r="EM61" i="1"/>
  <c r="EH61" i="1"/>
  <c r="EG61" i="1"/>
  <c r="EN60" i="1"/>
  <c r="EM60" i="1"/>
  <c r="EH60" i="1"/>
  <c r="EG60" i="1"/>
  <c r="EN59" i="1"/>
  <c r="EM59" i="1"/>
  <c r="EH59" i="1"/>
  <c r="EG59" i="1"/>
  <c r="EN58" i="1"/>
  <c r="EM58" i="1"/>
  <c r="EH58" i="1"/>
  <c r="EG58" i="1"/>
  <c r="EN57" i="1"/>
  <c r="EM57" i="1"/>
  <c r="EH57" i="1"/>
  <c r="EG57" i="1"/>
  <c r="EN56" i="1"/>
  <c r="EM56" i="1"/>
  <c r="EH56" i="1"/>
  <c r="EG56" i="1"/>
  <c r="EN55" i="1"/>
  <c r="EM55" i="1"/>
  <c r="EH55" i="1"/>
  <c r="EG55" i="1"/>
  <c r="EN54" i="1"/>
  <c r="EM54" i="1"/>
  <c r="EH54" i="1"/>
  <c r="EG54" i="1"/>
  <c r="EN53" i="1"/>
  <c r="EM53" i="1"/>
  <c r="EH53" i="1"/>
  <c r="EG53" i="1"/>
  <c r="EN52" i="1"/>
  <c r="EM52" i="1"/>
  <c r="EH52" i="1"/>
  <c r="EG52" i="1"/>
  <c r="EN51" i="1"/>
  <c r="EM51" i="1"/>
  <c r="EH51" i="1"/>
  <c r="EG51" i="1"/>
  <c r="EN50" i="1"/>
  <c r="EM50" i="1"/>
  <c r="EH50" i="1"/>
  <c r="EG50" i="1"/>
  <c r="EN49" i="1"/>
  <c r="EM49" i="1"/>
  <c r="EH49" i="1"/>
  <c r="EG49" i="1"/>
  <c r="EN48" i="1"/>
  <c r="EM48" i="1"/>
  <c r="EH48" i="1"/>
  <c r="EG48" i="1"/>
  <c r="EN47" i="1"/>
  <c r="EM47" i="1"/>
  <c r="EH47" i="1"/>
  <c r="EG47" i="1"/>
  <c r="EN46" i="1"/>
  <c r="EM46" i="1"/>
  <c r="EH46" i="1"/>
  <c r="EG46" i="1"/>
  <c r="EN45" i="1"/>
  <c r="EM45" i="1"/>
  <c r="EH45" i="1"/>
  <c r="EG45" i="1"/>
  <c r="EN44" i="1"/>
  <c r="EM44" i="1"/>
  <c r="EH44" i="1"/>
  <c r="EG44" i="1"/>
  <c r="EN43" i="1"/>
  <c r="EM43" i="1"/>
  <c r="EH43" i="1"/>
  <c r="EG43" i="1"/>
  <c r="EN42" i="1"/>
  <c r="EM42" i="1"/>
  <c r="EH42" i="1"/>
  <c r="EG42" i="1"/>
  <c r="EN41" i="1"/>
  <c r="EM41" i="1"/>
  <c r="EH41" i="1"/>
  <c r="EG41" i="1"/>
  <c r="EN40" i="1"/>
  <c r="EM40" i="1"/>
  <c r="EH40" i="1"/>
  <c r="EG40" i="1"/>
  <c r="EN39" i="1"/>
  <c r="EM39" i="1"/>
  <c r="EH39" i="1"/>
  <c r="EG39" i="1"/>
  <c r="EN38" i="1"/>
  <c r="EM38" i="1"/>
  <c r="EH38" i="1"/>
  <c r="EG38" i="1"/>
  <c r="EN37" i="1"/>
  <c r="EM37" i="1"/>
  <c r="EH37" i="1"/>
  <c r="EG37" i="1"/>
  <c r="EN36" i="1"/>
  <c r="EM36" i="1"/>
  <c r="EH36" i="1"/>
  <c r="EG36" i="1"/>
  <c r="EN35" i="1"/>
  <c r="EM35" i="1"/>
  <c r="EH35" i="1"/>
  <c r="EG35" i="1"/>
  <c r="EN34" i="1"/>
  <c r="EM34" i="1"/>
  <c r="EH34" i="1"/>
  <c r="EG34" i="1"/>
  <c r="EN33" i="1"/>
  <c r="EM33" i="1"/>
  <c r="EH33" i="1"/>
  <c r="EG33" i="1"/>
  <c r="EN32" i="1"/>
  <c r="EM32" i="1"/>
  <c r="EH32" i="1"/>
  <c r="EG32" i="1"/>
  <c r="EN31" i="1"/>
  <c r="EM31" i="1"/>
  <c r="EH31" i="1"/>
  <c r="EG31" i="1"/>
  <c r="EN30" i="1"/>
  <c r="EM30" i="1"/>
  <c r="EH30" i="1"/>
  <c r="EG30" i="1"/>
  <c r="EN29" i="1"/>
  <c r="EM29" i="1"/>
  <c r="EH29" i="1"/>
  <c r="EG29" i="1"/>
  <c r="EN28" i="1"/>
  <c r="EM28" i="1"/>
  <c r="EH28" i="1"/>
  <c r="EG28" i="1"/>
  <c r="EN27" i="1"/>
  <c r="EM27" i="1"/>
  <c r="EH27" i="1"/>
  <c r="EG27" i="1"/>
  <c r="EN26" i="1"/>
  <c r="EM26" i="1"/>
  <c r="EH26" i="1"/>
  <c r="EG26" i="1"/>
  <c r="EN25" i="1"/>
  <c r="EM25" i="1"/>
  <c r="EH25" i="1"/>
  <c r="EG25" i="1"/>
  <c r="EN24" i="1"/>
  <c r="EM24" i="1"/>
  <c r="EH24" i="1"/>
  <c r="EG24" i="1"/>
  <c r="EN23" i="1"/>
  <c r="EM23" i="1"/>
  <c r="EH23" i="1"/>
  <c r="EG23" i="1"/>
  <c r="EN22" i="1"/>
  <c r="EM22" i="1"/>
  <c r="EH22" i="1"/>
  <c r="EG22" i="1"/>
  <c r="EN21" i="1"/>
  <c r="EM21" i="1"/>
  <c r="EH21" i="1"/>
  <c r="EG21" i="1"/>
  <c r="EN20" i="1"/>
  <c r="EM20" i="1"/>
  <c r="EH20" i="1"/>
  <c r="EG20" i="1"/>
  <c r="EN19" i="1"/>
  <c r="EM19" i="1"/>
  <c r="EH19" i="1"/>
  <c r="EG19" i="1"/>
  <c r="EN18" i="1"/>
  <c r="EM18" i="1"/>
  <c r="EH18" i="1"/>
  <c r="EG18" i="1"/>
  <c r="EN17" i="1"/>
  <c r="EM17" i="1"/>
  <c r="EH17" i="1"/>
  <c r="EG17" i="1"/>
  <c r="EN16" i="1"/>
  <c r="EM16" i="1"/>
  <c r="EH16" i="1"/>
  <c r="EG16" i="1"/>
  <c r="EN15" i="1"/>
  <c r="EM15" i="1"/>
  <c r="EH15" i="1"/>
  <c r="EG15" i="1"/>
  <c r="EN14" i="1"/>
  <c r="EM14" i="1"/>
  <c r="EH14" i="1"/>
  <c r="EG14" i="1"/>
  <c r="EN13" i="1"/>
  <c r="EM13" i="1"/>
  <c r="EH13" i="1"/>
  <c r="EG13" i="1"/>
  <c r="EN12" i="1"/>
  <c r="EM12" i="1"/>
  <c r="EH12" i="1"/>
  <c r="EG12" i="1"/>
  <c r="EN11" i="1"/>
  <c r="EM11" i="1"/>
  <c r="EH11" i="1"/>
  <c r="EG11" i="1"/>
  <c r="EN10" i="1"/>
  <c r="EM10" i="1"/>
  <c r="EH10" i="1"/>
  <c r="EG10" i="1"/>
  <c r="EN9" i="1"/>
  <c r="EM9" i="1"/>
  <c r="EH9" i="1"/>
  <c r="EG9" i="1"/>
  <c r="EN8" i="1"/>
  <c r="EM8" i="1"/>
  <c r="EH8" i="1"/>
  <c r="EG8" i="1"/>
  <c r="EN7" i="1"/>
  <c r="EM7" i="1"/>
  <c r="EH7" i="1"/>
  <c r="EG7" i="1"/>
  <c r="EN6" i="1"/>
  <c r="EM6" i="1"/>
  <c r="EH6" i="1"/>
  <c r="EG6" i="1"/>
  <c r="EN5" i="1"/>
  <c r="EM5" i="1"/>
  <c r="EH5" i="1"/>
  <c r="EG5" i="1"/>
  <c r="EN4" i="1"/>
  <c r="EM4" i="1"/>
  <c r="EH4" i="1"/>
  <c r="EG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<sst xmlns="http://schemas.openxmlformats.org/spreadsheetml/2006/main" count="12495" uniqueCount="11630">
  <si>
    <t>Thông tin chung</t>
  </si>
  <si>
    <t>Thông tin riêng từng loại tài sản</t>
  </si>
  <si>
    <t>Thiết bị y tế</t>
  </si>
  <si>
    <t>Thông tin kê khai</t>
  </si>
  <si>
    <t>Thông tin khấu hao, hao mòn</t>
  </si>
  <si>
    <t>Địa điểm sử dụng</t>
  </si>
  <si>
    <t>Đơn vị tính</t>
  </si>
  <si>
    <t>Mục đích</t>
  </si>
  <si>
    <t>Mô tả</t>
  </si>
  <si>
    <t>Tài sản nhận từ đơn vị</t>
  </si>
  <si>
    <t>Ghi chú</t>
  </si>
  <si>
    <t>Nguồn hình thành</t>
  </si>
  <si>
    <t>Giá trị nguồn hình thành</t>
  </si>
  <si>
    <t>Máy móc thiết bị</t>
  </si>
  <si>
    <t>Đất</t>
  </si>
  <si>
    <t>Nhà</t>
  </si>
  <si>
    <t>Vật chất kiến trúc</t>
  </si>
  <si>
    <t>Ô tô</t>
  </si>
  <si>
    <t>Phương tiện vận chuyển khác</t>
  </si>
  <si>
    <t>Cây lâu năm, Súc vật làm việc</t>
  </si>
  <si>
    <t>Tài sản cố định hữu hình khác/Tài sản cố định vô hình khác</t>
  </si>
  <si>
    <t>Thông số kỹ thuật</t>
  </si>
  <si>
    <t>Hiện trạng sử dụng (Ô tô hoặc Tài sản khác)</t>
  </si>
  <si>
    <t>Hiện trạng sử dụng ( Nhà hoặc đất)</t>
  </si>
  <si>
    <t>Mục đích sử dụng đất và Thông tin giấy tờ đất</t>
  </si>
  <si>
    <t>Hao mòn</t>
  </si>
  <si>
    <t>Khấu hao</t>
  </si>
  <si>
    <t>Nhãn hiệu</t>
  </si>
  <si>
    <t>Model</t>
  </si>
  <si>
    <t>Seri</t>
  </si>
  <si>
    <t>Năm sản xuất</t>
  </si>
  <si>
    <t>Nước sản xuất</t>
  </si>
  <si>
    <t>Người sử dụng</t>
  </si>
  <si>
    <t>Hình thức bố trí sử dụng</t>
  </si>
  <si>
    <t>Tỉnh/thành phố</t>
  </si>
  <si>
    <t>Quận/huyện</t>
  </si>
  <si>
    <t>Xã/phường</t>
  </si>
  <si>
    <t>Địa chỉ đất</t>
  </si>
  <si>
    <t>Có quản lý đất</t>
  </si>
  <si>
    <t>Thuộc khuôn viên đất</t>
  </si>
  <si>
    <t>Địa chỉ nhà</t>
  </si>
  <si>
    <t>Số tầng</t>
  </si>
  <si>
    <t>Diện tích xây dựng</t>
  </si>
  <si>
    <t>Năm xây dựng</t>
  </si>
  <si>
    <t>Chiều dài</t>
  </si>
  <si>
    <t>Thể tích</t>
  </si>
  <si>
    <t>Được miễn thuế</t>
  </si>
  <si>
    <t>Số thuế được miễn</t>
  </si>
  <si>
    <t>Biển kiểm soát</t>
  </si>
  <si>
    <t>Nhãn xe</t>
  </si>
  <si>
    <t>Dòng xe</t>
  </si>
  <si>
    <t>Số chỗ ngồi</t>
  </si>
  <si>
    <t>Số cầu</t>
  </si>
  <si>
    <t>Số khung</t>
  </si>
  <si>
    <t>Số máy</t>
  </si>
  <si>
    <t>Giấy chứng nhận đăng ký số</t>
  </si>
  <si>
    <t>Ngày đăng ký</t>
  </si>
  <si>
    <t>Cơ quan cấp đăng ký</t>
  </si>
  <si>
    <t>Nguồn gốc xe</t>
  </si>
  <si>
    <t>Màu sơn</t>
  </si>
  <si>
    <t>Chức danh sử dụng</t>
  </si>
  <si>
    <t>Chức danh khác</t>
  </si>
  <si>
    <t>Năm sinh - trồng trọt</t>
  </si>
  <si>
    <t>Loại thiết bị y tế</t>
  </si>
  <si>
    <t>Nhóm thiết bị y tế</t>
  </si>
  <si>
    <t>Ngày sản xuất</t>
  </si>
  <si>
    <t>Hạn sử dụng</t>
  </si>
  <si>
    <t>Số lưu hành</t>
  </si>
  <si>
    <t>Số lô</t>
  </si>
  <si>
    <t>Tên chủ sở hữu số lưu hành</t>
  </si>
  <si>
    <t>Địa chỉ chủ sở hữu số lưu hành</t>
  </si>
  <si>
    <t>Quản lý nhà nước</t>
  </si>
  <si>
    <t>HĐSN - Không KD</t>
  </si>
  <si>
    <t>HĐSN - KD</t>
  </si>
  <si>
    <t>HĐSN - LDLK</t>
  </si>
  <si>
    <t>HĐSN - Cho thuê</t>
  </si>
  <si>
    <t>Sử dụng khác</t>
  </si>
  <si>
    <t>Trụ sở làm việc</t>
  </si>
  <si>
    <t>Làm cơ sở hoạt động sự nghiệp</t>
  </si>
  <si>
    <t>Kinh doanh</t>
  </si>
  <si>
    <t>Cho thuê</t>
  </si>
  <si>
    <t>Liên doanh, liên kết</t>
  </si>
  <si>
    <t>Sử dụng hỗn hợp</t>
  </si>
  <si>
    <t>Bỏ trống</t>
  </si>
  <si>
    <t>Làm nhà ở</t>
  </si>
  <si>
    <t>Bị lấn chiếm</t>
  </si>
  <si>
    <t>Mục đích sử dụng khác</t>
  </si>
  <si>
    <t>Mục đích sử dụng đất</t>
  </si>
  <si>
    <t>Giấy CNQSDĐ số</t>
  </si>
  <si>
    <t xml:space="preserve">Ngày CNQSDĐ </t>
  </si>
  <si>
    <t>Quyết định giao đất số</t>
  </si>
  <si>
    <t>Ngày quyết định giao đất</t>
  </si>
  <si>
    <t>Hợp đồng chuyển nhượng QSDĐ số</t>
  </si>
  <si>
    <t>Ngày hợp đồng chuyển nhượng QSDĐ</t>
  </si>
  <si>
    <t>Hợp đồng cho thuê đất số</t>
  </si>
  <si>
    <t>Ngày hợp đồng cho thuê đất</t>
  </si>
  <si>
    <t>Quyết định cho thuê đất số</t>
  </si>
  <si>
    <t>Ngày quyết định cho thuê đất</t>
  </si>
  <si>
    <t>Giấy tờ khác</t>
  </si>
  <si>
    <t>Cách tính khấu hao, hao mòn</t>
  </si>
  <si>
    <t>Ngày mua</t>
  </si>
  <si>
    <t xml:space="preserve">Ngày bắt đầu sử dụng </t>
  </si>
  <si>
    <t>Ngày ghi tăng</t>
  </si>
  <si>
    <t>Tỷ lệ hao mòn</t>
  </si>
  <si>
    <t>Kỳ trích khấu hao</t>
  </si>
  <si>
    <t>Số tháng trích khấu hao</t>
  </si>
  <si>
    <t>Còn lại</t>
  </si>
  <si>
    <t>Thời gian trích khấu hao tối thiểu</t>
  </si>
  <si>
    <t>Thời gian trích khấu hao tối đa</t>
  </si>
  <si>
    <t>Giá trị còn lại</t>
  </si>
  <si>
    <t>Thông tin công khai</t>
  </si>
  <si>
    <t>Thông tin khác</t>
  </si>
  <si>
    <t>Tổng nguồn hình thành</t>
  </si>
  <si>
    <t>Số Seri</t>
  </si>
  <si>
    <t>Diện tích xây dựng(m2)</t>
  </si>
  <si>
    <t>Tải trọng(kg)</t>
  </si>
  <si>
    <t>Công suất xe(kW)</t>
  </si>
  <si>
    <t>Dung tích xi lanh(cc)</t>
  </si>
  <si>
    <t>Tổng diện tích(m2)</t>
  </si>
  <si>
    <t>Ngày bắt đầu trích khấu hao</t>
  </si>
  <si>
    <r>
      <rPr>
        <sz val="11"/>
        <rFont val="Times New Roman"/>
        <family val="1"/>
      </rPr>
      <t>Tên tài sản</t>
    </r>
    <r>
      <rPr>
        <sz val="11"/>
        <color theme="1"/>
        <rFont val="Times New Roman"/>
        <family val="1"/>
      </rPr>
      <t xml:space="preserve"> </t>
    </r>
    <r>
      <rPr>
        <sz val="11"/>
        <color rgb="FFFF0000"/>
        <rFont val="Times New Roman"/>
        <family val="1"/>
      </rPr>
      <t>(*)</t>
    </r>
  </si>
  <si>
    <r>
      <t>Dự án</t>
    </r>
    <r>
      <rPr>
        <sz val="11"/>
        <color rgb="FFFF0000"/>
        <rFont val="Times New Roman"/>
        <family val="1"/>
      </rPr>
      <t xml:space="preserve"> (*)</t>
    </r>
  </si>
  <si>
    <r>
      <t xml:space="preserve">Số quyết định trang cấp </t>
    </r>
    <r>
      <rPr>
        <sz val="11"/>
        <color rgb="FFFF0000"/>
        <rFont val="Times New Roman"/>
        <family val="1"/>
      </rPr>
      <t>(*)</t>
    </r>
  </si>
  <si>
    <r>
      <rPr>
        <sz val="11"/>
        <rFont val="Times New Roman"/>
        <family val="1"/>
      </rPr>
      <t>Danh mục tài sản</t>
    </r>
    <r>
      <rPr>
        <sz val="11"/>
        <color rgb="FFFF0000"/>
        <rFont val="Times New Roman"/>
        <family val="1"/>
      </rPr>
      <t xml:space="preserve"> (*)</t>
    </r>
  </si>
  <si>
    <r>
      <rPr>
        <sz val="11"/>
        <rFont val="Times New Roman"/>
        <family val="1"/>
      </rPr>
      <t>Loại tài sản</t>
    </r>
    <r>
      <rPr>
        <sz val="11"/>
        <color rgb="FFFF0000"/>
        <rFont val="Times New Roman"/>
        <family val="1"/>
      </rPr>
      <t xml:space="preserve"> (*)</t>
    </r>
  </si>
  <si>
    <r>
      <rPr>
        <sz val="11"/>
        <rFont val="Times New Roman"/>
        <family val="1"/>
      </rPr>
      <t>Đơn vị sử dụng</t>
    </r>
    <r>
      <rPr>
        <sz val="11"/>
        <color rgb="FFFF0000"/>
        <rFont val="Times New Roman"/>
        <family val="1"/>
      </rPr>
      <t xml:space="preserve"> (*)</t>
    </r>
  </si>
  <si>
    <r>
      <t xml:space="preserve">Lý do tăng </t>
    </r>
    <r>
      <rPr>
        <sz val="11"/>
        <color rgb="FFFF0000"/>
        <rFont val="Times New Roman"/>
        <family val="1"/>
      </rPr>
      <t>(*)</t>
    </r>
  </si>
  <si>
    <t xml:space="preserve">Lũy kế </t>
  </si>
  <si>
    <t xml:space="preserve">Ngày kết thúc tính hao mòn </t>
  </si>
  <si>
    <t xml:space="preserve">Số năm sử dụng </t>
  </si>
  <si>
    <t xml:space="preserve">Ngày bắt đầu tính hao mòn </t>
  </si>
  <si>
    <t>Bao gồm các nhóm loại tài sản được quy định phân loại trong thông tư 23/2023/TT-BTC:
1. Tài sản cố định hữu hình
- Nhà, công trình xây dựng
- Vật kiến trúc
- Xe ô tô
- Phương tiện vận tải khác
- Máy móc thiết bị
- Cây lâu năm, súc vật làm việc và/hoặc cho sản phẩm
- Tài sản cố định hữu hình khác
2. Tài sản cố định vô định hình
3. Tài sản cố định đặc thù</t>
  </si>
  <si>
    <t xml:space="preserve">Loại tài sản được cung cấp theo danh mục loại tài sản, hao mòn và số năm sử dụng ban hành kèm theo thông tư 23/2023/TT-BTC. </t>
  </si>
  <si>
    <t>Tên tài sản được sử dụng để phân biệt các tài sản. Người dùng nên đặt tên tài sản theo cú pháp quy ước để thuận tiện cho việc tra cứu, tìm kiếm.</t>
  </si>
  <si>
    <t>Đơn vị sử dụng là trường, khoa, phòng ban trung tâm hoặc các đơn vị cấp dưới trực thuộc được bàn giao sử dụng tài sản.</t>
  </si>
  <si>
    <t>Đối với mỗi loại tài sản, danh sách đơn vị tính sẽ thay đổi phù hợp với từng tài sản.Ví dụ: Máy móc thiết bị sẽ có đơn vị tính là:"Cái, Chiếc, ..."</t>
  </si>
  <si>
    <t>Số hiệu quyết định cấp trên có thẩm quyền ra quyết định trang cấp, mua sắm, tiếp nhận,... tài sản</t>
  </si>
  <si>
    <t>Tên của dự án mà ài sản được sử dụng để phục vụ</t>
  </si>
  <si>
    <t>Mô tả thông tin của tài sản cố định</t>
  </si>
  <si>
    <t>Mục đích mà sử dụng cho từng loại tài sản theo nhu cầu</t>
  </si>
  <si>
    <t>Đơn vị bàn giao tài sản này</t>
  </si>
  <si>
    <t>Ghi chú về thông tin tài sản nếu có</t>
  </si>
  <si>
    <t xml:space="preserve">Lý do tăng của mỗi loại tài sản như: Mua sắm, kiểm kê, đầu tư,… </t>
  </si>
  <si>
    <t>Nguồn hình thành là các nguồn vốn hoặc tài chính được sử dụng để mua sắm, xây dựng hoặc tạo ra tài sản cố định cho doanh nghiệp hoặc tổ chức. Từ đó tính ra giá trị nguyên giá ghi theo sổ kế toán. Khi nhập thông tin trong người dùng nhập thông tin các nguồn hình thành và các nhau bởi dấu ";" ví dụ như:
Ngân sách Huyện tự chủ;Ngân sách Xã;Nguồn tài trợ - viện trợ</t>
  </si>
  <si>
    <t>Đây là giá trị của mỗi nguồn hình thành được nhập ở ô bên cạnh. Người nhập sẽ điện giá trị của các nguồn hình thành tương ứng với loại nguồn hình thành bên cạnh ví dụ có 3 nguồn hình thành bên cạnh với giá trị lần lượt là:Ngân sách Huyện tự chủ là 300;Ngân sách Xã là 400 ;Nguồn tài trợ - viện trợ là 500  thì ở ô này ta sẽ điền thông tin là :300;400;500</t>
  </si>
  <si>
    <t>là tổng các giá trị của nguồn hình thành bên cạnh</t>
  </si>
  <si>
    <t>thông tin nhãn hiệu của thiết bị này</t>
  </si>
  <si>
    <t>Đây là số hiệu quy định của dòng sản phẩm được ghi trên mỗi thiết bị cùng với thông số kỹ thuật</t>
  </si>
  <si>
    <t>Mã số riêng của từng thiết bị được nhà sản xuất cung cấp ghi trên thiết bị</t>
  </si>
  <si>
    <t xml:space="preserve">Năm thiết bị được sản xuất </t>
  </si>
  <si>
    <t>Quốc gia sản xuất ra thiết bị</t>
  </si>
  <si>
    <t>Người thuộctrong  đơn vị mà được bàn giao sử dụng thiết bị đó</t>
  </si>
  <si>
    <t>Gồm các hình thức sau:
Phục vụ chức danh có tiêu chuẩn
Phục vụ công tác chung
Phục vụ hoạt động đặc thù
Sử dụng khác
Điều chuyển</t>
  </si>
  <si>
    <t>Thông tin tỉnh/thành phố của địa chỉ đất</t>
  </si>
  <si>
    <t>Thông tin quận/huyện của địa chỉ đất</t>
  </si>
  <si>
    <t>Thông tin xã/phường của địa chỉ đất</t>
  </si>
  <si>
    <t>thông tin cụ thể của địa chỉ đất</t>
  </si>
  <si>
    <t xml:space="preserve">Thông tin bao gồm: "Có hoặc Không"  </t>
  </si>
  <si>
    <t>Nếu người dùng chọn có quản lý đất: thì ở cột này sẽ chọn thông tin về tài sản đất mà tòa nhà này được xây dựng trên</t>
  </si>
  <si>
    <t>Thông tin tỉnh/thành phố của địa chỉ nhà</t>
  </si>
  <si>
    <t>Thông tin quận/huyện của địa chỉ nhà</t>
  </si>
  <si>
    <t>Thông tin xã/phường của địa chỉ nhà</t>
  </si>
  <si>
    <t>thông tin cụ thể của địa chỉ nhà</t>
  </si>
  <si>
    <t>Số tầng của ngôi/tòa nhà</t>
  </si>
  <si>
    <t>Diện tích của tòa nhà đó</t>
  </si>
  <si>
    <t>Năm tòa nhà bắt đầu xây dựng</t>
  </si>
  <si>
    <t>cột này sẽ chọn thông tin về tài sản đất mà vật kiến trúc này được xây dựng, đặt trên</t>
  </si>
  <si>
    <t>Chiều dài của vật kiến trúc</t>
  </si>
  <si>
    <t>Diện tích của vật kiến trúc</t>
  </si>
  <si>
    <t>Thể tích của vật kiến trúc</t>
  </si>
  <si>
    <t>Thông tin nước sản xuất của vật kiến trúc</t>
  </si>
  <si>
    <t>Ô tô có được miễn thuế hay không(Người sử dụng sẽ chọn Có hoăc Không)</t>
  </si>
  <si>
    <t xml:space="preserve">Nếu người chọn Có được miễn thuế thì điền thêm thông tin số thuế được miễn vào </t>
  </si>
  <si>
    <t>Biển kiểm soát của xe ô tô</t>
  </si>
  <si>
    <t>Nhãn hiệu của xe để phân biệt giữa các xe</t>
  </si>
  <si>
    <t>Dòng xe ô tô</t>
  </si>
  <si>
    <t>Khối lượng hành hóa mà xe có thể vận chuyển</t>
  </si>
  <si>
    <t>Số chỗ ngồi trong xe ô tô</t>
  </si>
  <si>
    <t>Biểu thị tốc độ tối đa mà xe có thể đạt được</t>
  </si>
  <si>
    <t>Thể tích của động cơ</t>
  </si>
  <si>
    <t>Ghi theo số cầu đối với ô tô có từ 4 đến 8 chỗ</t>
  </si>
  <si>
    <t>Là chuỗi ký tự trên xe cung cấp thông tin về nhãn hiệu,động cơ,..</t>
  </si>
  <si>
    <t>Số máy giúp xác định động cơ cụ thể được lắp trong xe là gì</t>
  </si>
  <si>
    <t>Thông tin năm sản xuất của ô tô</t>
  </si>
  <si>
    <t>Thông tin nước sản xuất của ô tô</t>
  </si>
  <si>
    <t>Giấy xác nhận quyền sở hữu của phương tiện</t>
  </si>
  <si>
    <t xml:space="preserve">Ngày đăng ký xe </t>
  </si>
  <si>
    <t>cơ quan cấp giấy xác nhận quyền sở hữu của phương tiện</t>
  </si>
  <si>
    <t>bao gồm: Xe nhập khẩu, sản xuất lắp ráp trong nước, Xe bị tịch thu</t>
  </si>
  <si>
    <t>Màu sơn của xe</t>
  </si>
  <si>
    <t>Người thuộc trong  đơn vị mà được bàn giao sử dụng ô tô</t>
  </si>
  <si>
    <t xml:space="preserve">Chức danh được sử dụng với loại ô tô chuyên phục vụ chức danh này </t>
  </si>
  <si>
    <t xml:space="preserve">Chức danh khác được sử dụng với loại ô tô chuyên phục vụ chức danh này </t>
  </si>
  <si>
    <t>Thông tin năm sản xuất của phương tiện</t>
  </si>
  <si>
    <t>Thông tin nước sản xuất của phương tiện</t>
  </si>
  <si>
    <t xml:space="preserve"> gồm một vài nguồn như:  Nhập khẩu, sản xuất lắp ráp trong nước, bị tịch thu</t>
  </si>
  <si>
    <t>Màu sơn của phương tiện</t>
  </si>
  <si>
    <t>Người thuộc trong  đơn vị mà được bàn giao sử dụng phương tiện</t>
  </si>
  <si>
    <t xml:space="preserve">Chức danh được sử dụng với loại phương tiện này </t>
  </si>
  <si>
    <t>Năm hình thành tài sản này</t>
  </si>
  <si>
    <t>Thông tin nước sản xuất của tài sản</t>
  </si>
  <si>
    <t>thông tin nhãn hiệu của tài sản này</t>
  </si>
  <si>
    <t>Đây là số hiệu quy định của dòng sản phẩm được ghi trên mỗi tài sản cùng với thông số kỹ thuật</t>
  </si>
  <si>
    <t>Mã số riêng của từng thiết bị được nhà sản xuất cung cấp ghi trên tài sản</t>
  </si>
  <si>
    <t xml:space="preserve">Năm tài sản được sản xuất </t>
  </si>
  <si>
    <t>Quốc gia sản xuất ra tài sản</t>
  </si>
  <si>
    <t>Người thuộctrong  đơn vị mà được bàn giao sử dụng tài sản đó</t>
  </si>
  <si>
    <t>Danh sách các
 trang thiết bị y tế</t>
  </si>
  <si>
    <t>Thiết bị y tế được chia thành 4 nhóm: 
1. Trang thiết bị y tế thuộc loại A là trang thiết bị y tế có mức độ rủi ro thấp.
2. Trang thiết bị y tế thuộc loại B là trang thiết bị y tế có mức độ rủi ro trung bình thấp.
3. Trang thiết bị y tế thuộc loại C là trang thiết bị y tế có mức độ rủi ro trung bình cao.
4. Trang thiết bị y tế thuộc loại D là trang thiết bị y tế có mức độ rủi ro cao.</t>
  </si>
  <si>
    <t>Ngày sản xuất ghi trên bao bì, thông tin đi kèm của sản phẩm.</t>
  </si>
  <si>
    <t>Thời hạn được nhà sản xuất cung cấp đảm bảo sản phẩm an toàn, hiệu quả.</t>
  </si>
  <si>
    <t>Số lưu hành của trang thiết bị y tế là: Số công bố tiêu chuẩn áp dụng đối với trang thiết bị y tế thuộc loại A, B; hoặc Số giấy chứng nhận đăng ký lưu hành đối với trang thiết bị y tế thuộc loại C, D.</t>
  </si>
  <si>
    <t>Mã số hiệu sản xuất nhóm sản phẩm.</t>
  </si>
  <si>
    <t>Chủ sở hữu số lưu hành là tổ chức công bố tiêu chuẩn áp dụng đối với trang thiết bị y tế thuộc loại A, B hoặc tổ chức được cấp giấy chứng nhận đăng ký lưu hành đối với trang thiết bị y tế thuộc loại C, D.</t>
  </si>
  <si>
    <t>Địa chỉ của cá nhân hoặc tổ chức sở hữu số đăng ký lưu hành thiết bị y tế</t>
  </si>
  <si>
    <t>Thông số kỹ thuật của các loại tài sản khác đất với nhà</t>
  </si>
  <si>
    <t>Người dùng chọn:Có hoặc Không nếu tài sản đang có hiện trạng sử dụng như này</t>
  </si>
  <si>
    <t xml:space="preserve">Diện tích mà tài sản Nhà hoặc Đất được dùng làm liên doanh, liên kết mất 100m2 thì người dùng chỉ cần nhập:100 </t>
  </si>
  <si>
    <t xml:space="preserve">Diện tích mà tài sản Nhà hoặc Đất được sử dụng hỗn hợp 100m2 thì người dùng chỉ cần nhập:100 </t>
  </si>
  <si>
    <t xml:space="preserve">Diện tích mà tài sản Nhà hoặc Đất bị bỏ trống 100 m2 thì người dùng chỉ cần nhập:100 </t>
  </si>
  <si>
    <t xml:space="preserve">Diện tích mà tài sản Nhà hoặc Đất được dùng làm nhà ở mất 200 m2 thì người dùng chỉ cần nhập:200 </t>
  </si>
  <si>
    <t xml:space="preserve">Diện tích mà tài sản Nhà hoặc Đất bị lấn chiếm 100 m2 thì người dùng chỉ cần nhập:100 </t>
  </si>
  <si>
    <t>Diện tích mà tài sản Nhà hoặc Đất được dùng làm với mục đích khác ví dụ:100 m2, thì người dùng chỉ cần nhập:100</t>
  </si>
  <si>
    <t>Tổng diện tích được tính từ các phần trước cộng vào</t>
  </si>
  <si>
    <t>Người dùng sẽ chọn các mục đích của đất được sử dụng nhằm để làm gì. Ví dụ: Y tế, Giáo dục,…</t>
  </si>
  <si>
    <t>Thông tin giấy tờ số chứng nhận quyền sử dụng đất</t>
  </si>
  <si>
    <t>Ngày CNQSDĐ
 người dùng sẽ nhập theo định dạng DD/MM/YYYY. Ví dụ ngày 31 tháng 3 năm 2024 thì sẽ điền là: 31/03/2024</t>
  </si>
  <si>
    <t>Thông tin giấy tờ, số quyết định giao đất</t>
  </si>
  <si>
    <t>Ngày quyết định giao đất
 người dùng sẽ nhập theo định dạng DD/MM/YYYY. Ví dụ ngày 31 tháng 3 năm 2024 thì sẽ điền là: 31/03/2024</t>
  </si>
  <si>
    <t>Thông tin giấy tờ, số Hợp đồng chuyển nhượng quyền sử dụng đất</t>
  </si>
  <si>
    <t>Ngày hợp đồng chuyển nhượng QSDĐ
 người dùng sẽ nhập theo định dạng DD/MM/YYYY. Ví dụ ngày 31 tháng 3 năm 2024 thì sẽ điền là: 31/03/2024</t>
  </si>
  <si>
    <t>Thông tin giấy tờ, số quyết định cho thuê đất</t>
  </si>
  <si>
    <t>Ngày quyết định cho thuê đất
 người dùng sẽ nhập theo định dạng DD/MM/YYYY. Ví dụ ngày 31 tháng 3 năm 2024 thì sẽ điền là: 31/03/2024</t>
  </si>
  <si>
    <t>Thông tin giấy tờ về hợp đồng cho thuê đất</t>
  </si>
  <si>
    <t>Ngày hợp đồng cho thuê đất
 người dùng sẽ nhập theo định dạng DD/MM/YYYY. Ví dụ ngày 31 tháng 3 năm 2024 thì sẽ điền là: 31/03/2024</t>
  </si>
  <si>
    <t>Thông tin giấy tờ liên quan đến các thủ tục khác</t>
  </si>
  <si>
    <t>Người dùng có thể chọn: 
Tính hao mòn, tính khấu hao, 
tính cả hai tùy vào mục đích</t>
  </si>
  <si>
    <t>Ngày mua tài sản
 người dùng sẽ nhập theo định dạng DD/MM/YYYY. Ví dụ ngày 31 tháng 3 năm 2024 thì sẽ điền là: 31/03/2024</t>
  </si>
  <si>
    <t>Ngày bắt đầu sử dụng tài sản
 người dùng sẽ nhập theo định dạng DD/MM/YYYY. Ví dụ ngày 31 tháng 3 năm 2024 thì sẽ điền là: 31/03/2024</t>
  </si>
  <si>
    <t>Ngày bắt đầu ghi tăng tài sản
 người dùng sẽ nhập theo định dạng DD/MM/YYYY. Ví dụ ngày 31 tháng 3 năm 2024 thì sẽ điền là: 31/03/2024</t>
  </si>
  <si>
    <t>Ngày bắt đầu tính hao mòn đối với tài sản
 người dùng sẽ nhập theo định dạng DD/MM/YYYY. Ví dụ ngày 31 tháng 3 năm 2024 thì sẽ điền là: 31/03/2024</t>
  </si>
  <si>
    <t>Số năm sử dụng các tài sản cố định được quy định trong thông tư 23/2023/TT-BTC theo từng loại tài sản</t>
  </si>
  <si>
    <t>Là phần trăm mức độ giảm giá trị theo năm do điều kiện tự nhiên, hoạt động vận hành,...</t>
  </si>
  <si>
    <t>Ngày kết thúc tính hao mòn đối với tài sản
 người dùng sẽ nhập theo định dạng DD/MM/YYYY. Ví dụ ngày 31 tháng 3 năm 2024 thì sẽ điền là: 31/03/2024</t>
  </si>
  <si>
    <t>Ngày bắt đầu trích khấu hao đối với tài sản
 người dùng sẽ nhập theo định dạng DD/MM/YYYY. Ví dụ ngày 31 tháng 3 năm 2024 thì sẽ điền là: 31/03/2024</t>
  </si>
  <si>
    <t>Loại kỳ trích khấu hao, Người dùng sẽ chọn: Tháng hoặc Năm</t>
  </si>
  <si>
    <t>Số tháng được dùng để trích khấu hao</t>
  </si>
  <si>
    <t>Số năm mà tài sản được trích khấu hao tối thiểu</t>
  </si>
  <si>
    <t>Số năm mà tài sản được trích khấu hao tối đa</t>
  </si>
  <si>
    <t>Tổng hao mòn và khấu hao đã tính đến trước thời điểm khai báo</t>
  </si>
  <si>
    <t>Giá trị còn lại bằng nguyên giá trừ lũy kế</t>
  </si>
  <si>
    <t>Diện tích mà tài sản Nhà hoặc Đất được dùng làm trụ sở làm việc</t>
  </si>
  <si>
    <t xml:space="preserve">Diện tích mà tài sản Nhà hoặc Đất được dùng làm cơ sở hoạt động sử nghiệp </t>
  </si>
  <si>
    <t xml:space="preserve">Diện tích mà tài sản Nhà hoặc Đất được dùng làm kinh doanh </t>
  </si>
  <si>
    <t>Diện tích mà tài sản Nhà hoặc Đất được dùng cho thuê</t>
  </si>
  <si>
    <r>
      <t xml:space="preserve">Địa điểm sử dụng là vị trí cụ thể đặt, sử dụng tài sản đó trong đơn vị được cấp. </t>
    </r>
    <r>
      <rPr>
        <b/>
        <sz val="10"/>
        <color theme="1"/>
        <rFont val="Times New Roman"/>
        <family val="1"/>
      </rPr>
      <t>Ví dụ</t>
    </r>
    <r>
      <rPr>
        <sz val="10"/>
        <color theme="1"/>
        <rFont val="Times New Roman"/>
        <family val="1"/>
      </rPr>
      <t>: Phòng ban A có thể có: 2 phòng là 101, 102 và tài sản đó được sử dụng ở phòng 102</t>
    </r>
  </si>
  <si>
    <t>Danh sách các nguồn hình thành:</t>
  </si>
  <si>
    <t>Nguồn NSNN cấp</t>
  </si>
  <si>
    <t>Ngân sách trung ương</t>
  </si>
  <si>
    <t>Ngân sách trung ương tự chủ</t>
  </si>
  <si>
    <t>Ngân sách trung ương không tự chủ</t>
  </si>
  <si>
    <t>Nguồn viện trợ, biếu tặng nhỏ lẻ, xã hội hóa</t>
  </si>
  <si>
    <t>Ngân sách Tỉnh</t>
  </si>
  <si>
    <t>Ngân sách Tỉnh tự chủ</t>
  </si>
  <si>
    <t>Ngân sách Tỉnh không tự chủ</t>
  </si>
  <si>
    <t>Ngân sách Huyện</t>
  </si>
  <si>
    <t>Ngân sách Huyện tự chủ</t>
  </si>
  <si>
    <t>Ngân sách Huyện không tự chủ</t>
  </si>
  <si>
    <t>Ngân sách Xã</t>
  </si>
  <si>
    <t>Tính khấu hao</t>
  </si>
  <si>
    <t>10_Quyền sử dụng đất</t>
  </si>
  <si>
    <t>5</t>
  </si>
  <si>
    <t>10</t>
  </si>
  <si>
    <t>9_Tài sản cố định hữu hình khác</t>
  </si>
  <si>
    <t>5_Xe ô tô</t>
  </si>
  <si>
    <t>42_Xe ô tô phục vụ công tác các chức danh</t>
  </si>
  <si>
    <t>6</t>
  </si>
  <si>
    <t>6.67</t>
  </si>
  <si>
    <t>15</t>
  </si>
  <si>
    <t>45_Xe ô tô phục vụ công tác chung</t>
  </si>
  <si>
    <t>50_Xe ô tô chuyên dùng</t>
  </si>
  <si>
    <t>115_Xe ô tô phục vụ lễ tân nhà nước</t>
  </si>
  <si>
    <t>116_Xe ô tô khác</t>
  </si>
  <si>
    <t>43_Xe 4 đến 5 chỗ</t>
  </si>
  <si>
    <t>44_Xe 6 đến 8 chỗ</t>
  </si>
  <si>
    <t>46_Xe 4 đến 5 chỗ</t>
  </si>
  <si>
    <t>47_Xe 6 đến 8 chỗ</t>
  </si>
  <si>
    <t>48_Xe 9 đến 12 chỗ</t>
  </si>
  <si>
    <t>49_Xe 13 đến 16 chỗ</t>
  </si>
  <si>
    <t>51_Xe chuyên dùng trong lĩnh vực y tế</t>
  </si>
  <si>
    <t>72_Xe có kết cấu đặc biệt</t>
  </si>
  <si>
    <t>84_Xe gắn biển hiệu, thiết bị chuyên dùng</t>
  </si>
  <si>
    <t>95_Xe tải</t>
  </si>
  <si>
    <t>101_Xe bán tải</t>
  </si>
  <si>
    <t>102_Xe trên 16 chỗ ngồi</t>
  </si>
  <si>
    <t>106_Xe chuyên dùng khác phục vụ nhiệm vụ đặc thù</t>
  </si>
  <si>
    <t>52_Xe cứu thương thông thường</t>
  </si>
  <si>
    <t>53_Xe cứu thương có kết cấu đặc biệt</t>
  </si>
  <si>
    <t>54_Xe chụp X-Quang lưu động</t>
  </si>
  <si>
    <t>55_Xe khám chữa mắt lưu động</t>
  </si>
  <si>
    <t>56_Xe xét nghiệm lưu động</t>
  </si>
  <si>
    <t>57_Xe phẫu thuật lưu động</t>
  </si>
  <si>
    <t>58_Xe lấy máu</t>
  </si>
  <si>
    <t>59_Xe vận chuyển vắc xin, sinh phẩm</t>
  </si>
  <si>
    <t>60_Xe ô tô khác được thiết kế dành riêng cho các hoạt động khám bệnh, chữa bệnh phòng, chống dịch, kiểm nghiệm</t>
  </si>
  <si>
    <t>61_Xe chuyên dùng phục vụ công tác chăm sóc, bảo vệ sức khỏe cán bộ trung và cấp cao</t>
  </si>
  <si>
    <t>62_Xe chuyên dùng có thiết bị để chuyển giao kỹ thuật và chỉ đạo tuyến</t>
  </si>
  <si>
    <t>63_Xe vận chuyển máu và các loại mẫu thuộc lĩnh vực y tế, bao gồm: mẫu bệnh phẩm, mẫu bệnh truyền nhiễm, mẫu thực phẩm, mẫu thuốc (bao gồm cả vắc xin, sinh phẩm), mẫu thuộc lĩnh vực môi trường y tế</t>
  </si>
  <si>
    <t>64_Xe vận chuyển người bệnh</t>
  </si>
  <si>
    <t>65_Xe giám định pháp y, xe vận chuyển tử thi</t>
  </si>
  <si>
    <t>66_Xe chở máy phun và hóa chất lưu động</t>
  </si>
  <si>
    <t>67_Xe phục vụ phòng chống thiên tai và tìm kiếm cứu nạn</t>
  </si>
  <si>
    <t>68_Xe phục vụ lấy, vận chuyển mô, tạng để phục vụ công tác cấy ghép mô, tạng cho người</t>
  </si>
  <si>
    <t>69_Xe vận chuyển dụng cụ, vật tư, trang thiết bị y tế chuyên dùng trong lĩnh vực truyền nhiễm</t>
  </si>
  <si>
    <t>70_Xe ô tô gắn mô hình giảng dậy, mô hình mô phỏng, các thiết bị và phương tiện giảng dạy, giáo cụ trực quan</t>
  </si>
  <si>
    <t>71_Xe ô tô khác có gắn thiết bị chuyên dùng dành riêng cho các hoạt động khám bệnh, chữa bệnh, phòng, chống dịch, kiểm nghiệm</t>
  </si>
  <si>
    <t>73_Xe cứu hỏa</t>
  </si>
  <si>
    <t>74_Xe quét đường</t>
  </si>
  <si>
    <t>75_Xe phun nước</t>
  </si>
  <si>
    <t>76_Xe chở rác</t>
  </si>
  <si>
    <t>77_Xe ép rác</t>
  </si>
  <si>
    <t>78_Xe chở tiền, biên lai, ấn chỉ</t>
  </si>
  <si>
    <t>79_Xe trang bị phòng thí nghiệm</t>
  </si>
  <si>
    <t>80_Xe kéo, xe cứu hộ, cứu nạn</t>
  </si>
  <si>
    <t>81_Xe cần cẩu</t>
  </si>
  <si>
    <t>82_Xe chở chó nghiệp vụ</t>
  </si>
  <si>
    <t>83_Xe khác có kết cấu đặc biệt</t>
  </si>
  <si>
    <t>85_Xe sửa chữa lưu động</t>
  </si>
  <si>
    <t>86_Xe thu phát điện báo</t>
  </si>
  <si>
    <t>87_Xe sửa chữa điện</t>
  </si>
  <si>
    <t>88_Xe tập lái</t>
  </si>
  <si>
    <t>89_Xe thanh tra giao thông</t>
  </si>
  <si>
    <t>90_Xe gắn thiết bị thu, phát vệ tinh</t>
  </si>
  <si>
    <t>91_Xe phát thanh truyền hình lưu động</t>
  </si>
  <si>
    <t>92_Xe phục vụ lễ tang</t>
  </si>
  <si>
    <t>93_Xe sát hạch lái xe</t>
  </si>
  <si>
    <t>94_Xe khác gắn biển hiệu, thiết bị chuyên dùng</t>
  </si>
  <si>
    <t>96_Xe tải dưới 1 tấn</t>
  </si>
  <si>
    <t>97_Xe tải từ 1 tấn - dưới 5 tấn</t>
  </si>
  <si>
    <t>98_Xe tải từ 5 tấn - dưới 10 tấn</t>
  </si>
  <si>
    <t>99_Xe tải từ 10 tấn trở lên</t>
  </si>
  <si>
    <t>100_Xe tải khác</t>
  </si>
  <si>
    <t>103_Xe trên 16 - 29 chỗ</t>
  </si>
  <si>
    <t>104_Xe 30- 45 chỗ</t>
  </si>
  <si>
    <t>105_Xe trên 45 chỗ</t>
  </si>
  <si>
    <t>107_Xe vận chuyển bữa ăn cho bệnh nhân tâm thần</t>
  </si>
  <si>
    <t>108_Xe phòng, chống thiên tai</t>
  </si>
  <si>
    <t>109_Xe phòng chống buôn lậu, gian lận thương mại</t>
  </si>
  <si>
    <t>110_Xe xét xử lưu động</t>
  </si>
  <si>
    <t>111_Xe phục vụ công tác nghiệp vụ ngành kiểm sát</t>
  </si>
  <si>
    <t>112_Xe phục vụ công tác thi hành án dân sự</t>
  </si>
  <si>
    <t>113_Xe phục vụ công tác nghiệp vụ của kiểm toán, thanh tra</t>
  </si>
  <si>
    <t>114_Xe khác phục vụ nhiệm vụ đặc thù</t>
  </si>
  <si>
    <t>217_Xe chở phạm nhân</t>
  </si>
  <si>
    <t>6_Phương tiện vận tải khác</t>
  </si>
  <si>
    <t>117_Phương tiện vận tải đường bộ</t>
  </si>
  <si>
    <t>118_Phương tiện vận tải đường sắt</t>
  </si>
  <si>
    <t>7</t>
  </si>
  <si>
    <t>119_Phương tiện vận tải đường thủy</t>
  </si>
  <si>
    <t>129_Phương tiện vận tải hàng không</t>
  </si>
  <si>
    <t>8</t>
  </si>
  <si>
    <t>20</t>
  </si>
  <si>
    <t>130_Phương tiện vận tải khác</t>
  </si>
  <si>
    <t>120_Tàu biển chở hàng hóa</t>
  </si>
  <si>
    <t>121_Tàu biển chở khách</t>
  </si>
  <si>
    <t>122_Tàu tuần tra, cứu hộ, cứu nạn đường thủy</t>
  </si>
  <si>
    <t>123_Tàu chở hàng đường thủy nội địa</t>
  </si>
  <si>
    <t>124_Tàu chở khách đường thủy nội địa</t>
  </si>
  <si>
    <t>125_Phà đường thủy các loại</t>
  </si>
  <si>
    <t>126_Ca nô, xuồng máy các loại</t>
  </si>
  <si>
    <t>127_Ghe, thuyền các loại</t>
  </si>
  <si>
    <t>128_Phương tiện vận tải đường thủy khác</t>
  </si>
  <si>
    <t>8_Cây lâu năm, súc vật làm việc</t>
  </si>
  <si>
    <t>207_Các loại súc vật</t>
  </si>
  <si>
    <t>4</t>
  </si>
  <si>
    <t>12.5</t>
  </si>
  <si>
    <t>208_Cây lâu năm, vườn cây lâu năm (bao gồm cả vườn cây công nghiệp, vườn cây ăn quả, vườn cây cảnh)</t>
  </si>
  <si>
    <t>40</t>
  </si>
  <si>
    <t>25</t>
  </si>
  <si>
    <t>209_Thảm cỏ, thảm cây xanh, cây cảnh</t>
  </si>
  <si>
    <t>2</t>
  </si>
  <si>
    <t>3_Nhà, công trình, xây dựng</t>
  </si>
  <si>
    <t>34_Biệt thự, công trình xây dựng cấp đặc biệt</t>
  </si>
  <si>
    <t>50</t>
  </si>
  <si>
    <t>1.25</t>
  </si>
  <si>
    <t>80</t>
  </si>
  <si>
    <t>35_Cấp I</t>
  </si>
  <si>
    <t>36_Cấp II</t>
  </si>
  <si>
    <t>37_Cấp III</t>
  </si>
  <si>
    <t>38_Cấp IV</t>
  </si>
  <si>
    <t>233_Tài sản giả</t>
  </si>
  <si>
    <t>220_Penhouse</t>
  </si>
  <si>
    <t>30</t>
  </si>
  <si>
    <t>4_Vật kiến trúc</t>
  </si>
  <si>
    <t>39_Kho chứa, bể chứa, bãi đỗ, sân phơi, sân chơi, sân thể thao, bể bơi</t>
  </si>
  <si>
    <t>40_Giếng khoan, giếng đào, tường rào</t>
  </si>
  <si>
    <t>41_Các vật kiến trúc khác</t>
  </si>
  <si>
    <t>7_Máy móc, thiết bị</t>
  </si>
  <si>
    <t>131_Máy móc thiết bị văn phòng phổ biến</t>
  </si>
  <si>
    <t/>
  </si>
  <si>
    <t>147_Máy móc, thiết bị phục vụ hoạt động chung của cơ quan, tổ chức, đơn vị</t>
  </si>
  <si>
    <t>187_Máy móc, thiết bị chuyên dùng</t>
  </si>
  <si>
    <t>206_Máy móc, thiết bị khác</t>
  </si>
  <si>
    <t>132_Máy vi tính để bàn</t>
  </si>
  <si>
    <t>133_Máy vi tính xách tay (hoặc thiết bị điện tử tương đương)</t>
  </si>
  <si>
    <t>134_Máy in</t>
  </si>
  <si>
    <t>135_Máy fax</t>
  </si>
  <si>
    <t>136_Tủ đựng tài liệu</t>
  </si>
  <si>
    <t>137_Máy scan</t>
  </si>
  <si>
    <t>138_Máy hủy tài liệu</t>
  </si>
  <si>
    <t>139_Máy photocopy</t>
  </si>
  <si>
    <t>140_Bộ bàn ghế ngồi làm việc trang bị cho các chức danh</t>
  </si>
  <si>
    <t>141_Bộ bàn ghế họp</t>
  </si>
  <si>
    <t>142_Bộ bàn ghế tiếp khách</t>
  </si>
  <si>
    <t>143_Máy điều hòa không khí</t>
  </si>
  <si>
    <t>144_Quạt</t>
  </si>
  <si>
    <t>145_Máy sưởi</t>
  </si>
  <si>
    <t>146_Máy móc, thiết bị văn phòng phổ biến khác</t>
  </si>
  <si>
    <t>148_Máy móc, thiết bị phục vụ hoạt động chung của cơ quan, tổ chức, đơn vị cùng loại với máy móc, thiết bị văn phòng phổ biến</t>
  </si>
  <si>
    <t>164_Máy móc, thiết bị khác phục vụ hoạt động chung của cơ quan, tổ chức, đơn vị</t>
  </si>
  <si>
    <t>188_Máy móc, thiết bị chuyên dùng là máy móc, thiết bị cùng loại với máy móc, thiết bị văn phòng phổ biến, máy móc, thiết bị phục vụ hoạt động chung của cơ quan, tổ chức, đơn vị</t>
  </si>
  <si>
    <t>204_Máy móc, thiết bị chuyên dùng thuộc lĩnh vực văn hóa, nghệ thuật (như: thiết bị âm thanh, ánh sáng, loa, micro, đèn...)</t>
  </si>
  <si>
    <t>205_Máy móc, thiết bị chuyên dùng khác</t>
  </si>
  <si>
    <t>149_Máy vi tính để bàn</t>
  </si>
  <si>
    <t>150_Máy vi tính xách tay (hoặc thiết bị điện tử tương đương)</t>
  </si>
  <si>
    <t>151_Máy in</t>
  </si>
  <si>
    <t>152_Máy fax</t>
  </si>
  <si>
    <t>153_Tủ đựng tài liệu</t>
  </si>
  <si>
    <t>154_Máy scan</t>
  </si>
  <si>
    <t>155_Máy hủy tài liệu</t>
  </si>
  <si>
    <t>156_Máy photocopy</t>
  </si>
  <si>
    <t>157_Bộ bàn ghế ngồi làm việc trang bị cho các chức danh</t>
  </si>
  <si>
    <t>158_Bộ bàn ghế họp</t>
  </si>
  <si>
    <t>159_Bộ bàn ghế tiếp khách</t>
  </si>
  <si>
    <t>160_Máy điều hòa không khí</t>
  </si>
  <si>
    <t>161_Quạt</t>
  </si>
  <si>
    <t>162_Máy sưởi</t>
  </si>
  <si>
    <t>163_Máy móc, thiết bị văn phòng phổ biến khác</t>
  </si>
  <si>
    <t>165_Máy chiếu</t>
  </si>
  <si>
    <t>166_Thiết bị lọc nước</t>
  </si>
  <si>
    <t>167_Máy hút ẩm, hút bụi</t>
  </si>
  <si>
    <t>168_Ti vi, đầu Video, các loại đầu thu phát tín hiệu kỹ thuật số khác</t>
  </si>
  <si>
    <t>169_Máy ghi âm</t>
  </si>
  <si>
    <t>170_Máy ảnh</t>
  </si>
  <si>
    <t>171_Thiết bị âm thanh</t>
  </si>
  <si>
    <t>172_Tổng đài điện thoại, máy bộ đàm</t>
  </si>
  <si>
    <t>173_Thiết bị thông tin liên lạc khác</t>
  </si>
  <si>
    <t>174_Tủ lạnh, máy làm mát</t>
  </si>
  <si>
    <t>175_Máy giặt</t>
  </si>
  <si>
    <t>176_Thiết bị mạng, truyền thông</t>
  </si>
  <si>
    <t>177_Thiết bị điện văn phòng</t>
  </si>
  <si>
    <t>178_Thiết bị điện tử phục vụ quản lý, lưu trữ dữ liệu</t>
  </si>
  <si>
    <t>179_Thiết bị truyền dẫn</t>
  </si>
  <si>
    <t>180_Camera giám sát</t>
  </si>
  <si>
    <t>181_Thang máy</t>
  </si>
  <si>
    <t>182_Máy bơm nước</t>
  </si>
  <si>
    <t>183_Két sắt</t>
  </si>
  <si>
    <t>184_Bàn ghế hội trường</t>
  </si>
  <si>
    <t>185_Tủ, giá kệ đựng tài liệu hoặc trưng bày hiện vật</t>
  </si>
  <si>
    <t>186_Máy móc, thiết bị phục vụ hoạt động chung khác</t>
  </si>
  <si>
    <t>189_Máy vi tính để bàn</t>
  </si>
  <si>
    <t>190_Máy vi tính xách tay (hoặc thiết bị điện tử tương đương)</t>
  </si>
  <si>
    <t>191_Máy in</t>
  </si>
  <si>
    <t>192_Máy fax</t>
  </si>
  <si>
    <t>193_Tủ đựng tài liệu</t>
  </si>
  <si>
    <t>194_Máy scan</t>
  </si>
  <si>
    <t>195_Máy hủy tài liệu</t>
  </si>
  <si>
    <t>196_Máy photocopy</t>
  </si>
  <si>
    <t>197_Bộ bàn ghế ngồi làm việc trang bị cho các chức danh</t>
  </si>
  <si>
    <t>198_Bộ bàn ghế họp</t>
  </si>
  <si>
    <t>199_Bộ bàn ghế tiếp khách</t>
  </si>
  <si>
    <t>200_Máy điều hòa không khí</t>
  </si>
  <si>
    <t>201_Quạt</t>
  </si>
  <si>
    <t>202_Máy sưởi</t>
  </si>
  <si>
    <t>203_Máy móc, thiết bị văn phòng phổ biến khác</t>
  </si>
  <si>
    <t>34_phòng ban 102 - viện quốc tế</t>
  </si>
  <si>
    <t>37_phòng 202B- vđt QTế</t>
  </si>
  <si>
    <t>31_phòng 411</t>
  </si>
  <si>
    <t>32_phòng ban quốc tế 1</t>
  </si>
  <si>
    <t>35_phòng 201 - viện đào tạo quốc tế</t>
  </si>
  <si>
    <t>33_phòng ban 101 - viện quốc tế</t>
  </si>
  <si>
    <t>36_phòng 201A- vđt quốc tế</t>
  </si>
  <si>
    <t>STT_12_Phongbanso2Viendaotaoquocte1</t>
  </si>
  <si>
    <t>STT_8_VienDaotaoQuocteveKhoahocVatlieuITIMS</t>
  </si>
  <si>
    <t>STT_11_Phongbanso1Viendaotaoquocte</t>
  </si>
  <si>
    <t>48_bộ</t>
  </si>
  <si>
    <t>49_căn</t>
  </si>
  <si>
    <t>50_mảnh</t>
  </si>
  <si>
    <t>51_cái</t>
  </si>
  <si>
    <t>43_bộ</t>
  </si>
  <si>
    <t>44_căn</t>
  </si>
  <si>
    <t>45_mảnh</t>
  </si>
  <si>
    <t>46_cái</t>
  </si>
  <si>
    <t>23_bộ</t>
  </si>
  <si>
    <t>24_căn</t>
  </si>
  <si>
    <t>25_mảnh</t>
  </si>
  <si>
    <t>26_cái</t>
  </si>
  <si>
    <t>28_bộ</t>
  </si>
  <si>
    <t>29_căn</t>
  </si>
  <si>
    <t>30_mảnh</t>
  </si>
  <si>
    <t>31_cái</t>
  </si>
  <si>
    <t>38_bộ</t>
  </si>
  <si>
    <t>39_căn</t>
  </si>
  <si>
    <t>40_mảnh</t>
  </si>
  <si>
    <t>41_cái</t>
  </si>
  <si>
    <t>10_chiếc</t>
  </si>
  <si>
    <t>11_bộ</t>
  </si>
  <si>
    <t>12_cái</t>
  </si>
  <si>
    <t>6_chiếc</t>
  </si>
  <si>
    <t>19_bộ</t>
  </si>
  <si>
    <t>20_căn</t>
  </si>
  <si>
    <t>21_mảnh</t>
  </si>
  <si>
    <t>33_bộ</t>
  </si>
  <si>
    <t>34_căn</t>
  </si>
  <si>
    <t>35_mảnh</t>
  </si>
  <si>
    <t>36_cái</t>
  </si>
  <si>
    <t>11_Tài liệu số 06</t>
  </si>
  <si>
    <t>12_Tài liệu số 07</t>
  </si>
  <si>
    <t>16_QD121212</t>
  </si>
  <si>
    <t>1_DA01</t>
  </si>
  <si>
    <t>2_DA02</t>
  </si>
  <si>
    <t>17_Dự án số 100</t>
  </si>
  <si>
    <t>4_DA011</t>
  </si>
  <si>
    <t>6_DA021</t>
  </si>
  <si>
    <t>7_DA022</t>
  </si>
  <si>
    <t>8_DA0111</t>
  </si>
  <si>
    <t>9_DA0112</t>
  </si>
  <si>
    <t>10_DA0211</t>
  </si>
  <si>
    <t>11_DA0221</t>
  </si>
  <si>
    <t>12_DA0121</t>
  </si>
  <si>
    <t>14_DA0221</t>
  </si>
  <si>
    <t>16_Dự án ABC</t>
  </si>
  <si>
    <t>STT_01_HaNoi</t>
  </si>
  <si>
    <t>STT_02_HaGiang</t>
  </si>
  <si>
    <t>STT_04_CaoBang</t>
  </si>
  <si>
    <t>STT_06_BacKan</t>
  </si>
  <si>
    <t>STT_08_TuyenQuang</t>
  </si>
  <si>
    <t>STT_10_LaoCai</t>
  </si>
  <si>
    <t>STT_11_DienBien</t>
  </si>
  <si>
    <t>STT_12_LaiChau</t>
  </si>
  <si>
    <t>STT_14_SonLa</t>
  </si>
  <si>
    <t>STT_15_YenBai</t>
  </si>
  <si>
    <t>STT_17_HoaBinh</t>
  </si>
  <si>
    <t>STT_19_ThaiNguyen</t>
  </si>
  <si>
    <t>STT_20_LangSon</t>
  </si>
  <si>
    <t>STT_22_QuangNinh</t>
  </si>
  <si>
    <t>STT_24_BacGiang</t>
  </si>
  <si>
    <t>STT_25_PhuTho</t>
  </si>
  <si>
    <t>STT_26_VinhPhuc</t>
  </si>
  <si>
    <t>STT_27_BacNinh</t>
  </si>
  <si>
    <t>STT_30_HaiDuong</t>
  </si>
  <si>
    <t>STT_31_HaiPhong</t>
  </si>
  <si>
    <t>STT_33_HungYen</t>
  </si>
  <si>
    <t>STT_34_ThaiBinh</t>
  </si>
  <si>
    <t>STT_35_HaNam</t>
  </si>
  <si>
    <t>STT_36_NamDinh</t>
  </si>
  <si>
    <t>STT_37_NinhBinh</t>
  </si>
  <si>
    <t>STT_38_ThanhHoa</t>
  </si>
  <si>
    <t>STT_40_NgheAn</t>
  </si>
  <si>
    <t>STT_42_HaTinh</t>
  </si>
  <si>
    <t>STT_44_QuangBinh</t>
  </si>
  <si>
    <t>STT_45_QuangTri</t>
  </si>
  <si>
    <t>STT_46_ThuaThienHue</t>
  </si>
  <si>
    <t>STT_48_DaNang</t>
  </si>
  <si>
    <t>STT_49_QuangNam</t>
  </si>
  <si>
    <t>STT_51_QuangNgai</t>
  </si>
  <si>
    <t>STT_52_BinhDinh</t>
  </si>
  <si>
    <t>STT_54_PhuYen</t>
  </si>
  <si>
    <t>STT_56_KhanhHoa</t>
  </si>
  <si>
    <t>STT_58_NinhThuan</t>
  </si>
  <si>
    <t>STT_60_BinhThuan</t>
  </si>
  <si>
    <t>STT_62_KonTum</t>
  </si>
  <si>
    <t>STT_64_GiaLai</t>
  </si>
  <si>
    <t>STT_66_DakLak</t>
  </si>
  <si>
    <t>STT_67_DakNong</t>
  </si>
  <si>
    <t>STT_68_LamDong</t>
  </si>
  <si>
    <t>STT_70_BinhPhuoc</t>
  </si>
  <si>
    <t>STT_72_TayNinh</t>
  </si>
  <si>
    <t>STT_74_BinhDuong</t>
  </si>
  <si>
    <t>STT_75_DongNai</t>
  </si>
  <si>
    <t>STT_77_BaRiaVungTau</t>
  </si>
  <si>
    <t>STT_79_HoChiMinh</t>
  </si>
  <si>
    <t>STT_80_LongAn</t>
  </si>
  <si>
    <t>STT_82_TienGiang</t>
  </si>
  <si>
    <t>STT_83_BenTre</t>
  </si>
  <si>
    <t>STT_84_TraVinh</t>
  </si>
  <si>
    <t>STT_86_VinhLong</t>
  </si>
  <si>
    <t>STT_87_DongThap</t>
  </si>
  <si>
    <t>STT_89_AnGiang</t>
  </si>
  <si>
    <t>STT_91_KienGiang</t>
  </si>
  <si>
    <t>STT_92_CanTho</t>
  </si>
  <si>
    <t>STT_93_HauGiang</t>
  </si>
  <si>
    <t>STT_94_SocTrang</t>
  </si>
  <si>
    <t>STT_95_BacLieu</t>
  </si>
  <si>
    <t>STT_96_CaMau</t>
  </si>
  <si>
    <t>STT_338_QuynhPhu</t>
  </si>
  <si>
    <t>STT_339_HungHa</t>
  </si>
  <si>
    <t>STT_340_DongHung</t>
  </si>
  <si>
    <t>STT_341_ThaiThuy</t>
  </si>
  <si>
    <t>STT_342_TienHai</t>
  </si>
  <si>
    <t>STT_343_KienXuong</t>
  </si>
  <si>
    <t>STT_344_VuThu</t>
  </si>
  <si>
    <t>STT_584_BacAi</t>
  </si>
  <si>
    <t>STT_585_NinhSon</t>
  </si>
  <si>
    <t>STT_586_NinhHai</t>
  </si>
  <si>
    <t>STT_587_NinhPhuoc</t>
  </si>
  <si>
    <t>STT_588_ThuanBac</t>
  </si>
  <si>
    <t>STT_589_ThuanNam</t>
  </si>
  <si>
    <t>STT_748_BaRia</t>
  </si>
  <si>
    <t>STT_750_ChauDuc</t>
  </si>
  <si>
    <t>STT_751_XuyenMoc</t>
  </si>
  <si>
    <t>STT_752_LongDien</t>
  </si>
  <si>
    <t>STT_753_DatDo</t>
  </si>
  <si>
    <t>STT_754_PhuMy</t>
  </si>
  <si>
    <t>STT_705_TanBien</t>
  </si>
  <si>
    <t>STT_706_TanChau</t>
  </si>
  <si>
    <t>STT_707_DuongMinhChau</t>
  </si>
  <si>
    <t>STT_708_ChauThanh</t>
  </si>
  <si>
    <t>STT_709_HoaThanh</t>
  </si>
  <si>
    <t>STT_710_GoDau</t>
  </si>
  <si>
    <t>STT_711_BenCau</t>
  </si>
  <si>
    <t>STT_712_TrangBang</t>
  </si>
  <si>
    <t>STT_071_LamBinh</t>
  </si>
  <si>
    <t>STT_072_NaHang</t>
  </si>
  <si>
    <t>STT_073_ChiemHoa</t>
  </si>
  <si>
    <t>STT_074_HamYen</t>
  </si>
  <si>
    <t>STT_075_YenSon</t>
  </si>
  <si>
    <t>STT_076_SonDuong</t>
  </si>
  <si>
    <t>STT_150_DaBac</t>
  </si>
  <si>
    <t>STT_152_LuongSon</t>
  </si>
  <si>
    <t>STT_153_KimBoi</t>
  </si>
  <si>
    <t>STT_154_CaoPhong</t>
  </si>
  <si>
    <t>STT_155_TanLac</t>
  </si>
  <si>
    <t>STT_156_MaiChau</t>
  </si>
  <si>
    <t>STT_157_LacSon</t>
  </si>
  <si>
    <t>STT_158_YenThuy</t>
  </si>
  <si>
    <t>STT_159_LacThuy</t>
  </si>
  <si>
    <t>STT_689_DongXoai</t>
  </si>
  <si>
    <t>STT_690_BinhLong</t>
  </si>
  <si>
    <t>STT_691_BuGiaMap</t>
  </si>
  <si>
    <t>STT_692_LocNinh</t>
  </si>
  <si>
    <t>STT_693_BuDop</t>
  </si>
  <si>
    <t>STT_694_HonQuan</t>
  </si>
  <si>
    <t>STT_695_DongPhu</t>
  </si>
  <si>
    <t>STT_696_BuDang</t>
  </si>
  <si>
    <t>STT_697_ChonThanh</t>
  </si>
  <si>
    <t>STT_698_PhuRieng</t>
  </si>
  <si>
    <t>STT_761_12</t>
  </si>
  <si>
    <t>STT_764_GoVap</t>
  </si>
  <si>
    <t>STT_765_BinhThanh</t>
  </si>
  <si>
    <t>STT_766_TanBinh</t>
  </si>
  <si>
    <t>STT_767_TanPhu</t>
  </si>
  <si>
    <t>STT_768_PhuNhuan</t>
  </si>
  <si>
    <t>STT_769_ThuDuc</t>
  </si>
  <si>
    <t>STT_770_3</t>
  </si>
  <si>
    <t>STT_771_10</t>
  </si>
  <si>
    <t>STT_772_11</t>
  </si>
  <si>
    <t>STT_773_4</t>
  </si>
  <si>
    <t>STT_774_5</t>
  </si>
  <si>
    <t>STT_775_6</t>
  </si>
  <si>
    <t>STT_776_8</t>
  </si>
  <si>
    <t>STT_777_BinhTan</t>
  </si>
  <si>
    <t>STT_778_7</t>
  </si>
  <si>
    <t>STT_783_CuChi</t>
  </si>
  <si>
    <t>STT_784_HocMon</t>
  </si>
  <si>
    <t>STT_785_BinhChanh</t>
  </si>
  <si>
    <t>STT_786_NhaBe</t>
  </si>
  <si>
    <t>STT_787_CanGio</t>
  </si>
  <si>
    <t>STT_844_CangLong</t>
  </si>
  <si>
    <t>STT_845_CauKe</t>
  </si>
  <si>
    <t>STT_846_TieuCan</t>
  </si>
  <si>
    <t>STT_847_ChauThanh</t>
  </si>
  <si>
    <t>STT_848_CauNgang</t>
  </si>
  <si>
    <t>STT_849_TraCu</t>
  </si>
  <si>
    <t>STT_850_DuyenHai</t>
  </si>
  <si>
    <t>STT_851_DuyenHai</t>
  </si>
  <si>
    <t>STT_476_PhongDien</t>
  </si>
  <si>
    <t>STT_477_QuangDien</t>
  </si>
  <si>
    <t>STT_478_PhuVang</t>
  </si>
  <si>
    <t>STT_479_HuongThuy</t>
  </si>
  <si>
    <t>STT_480_HuongTra</t>
  </si>
  <si>
    <t>STT_481_ALuoi</t>
  </si>
  <si>
    <t>STT_482_PhuLoc</t>
  </si>
  <si>
    <t>STT_483_NamDong</t>
  </si>
  <si>
    <t>STT_359_VuBan</t>
  </si>
  <si>
    <t>STT_360_YYen</t>
  </si>
  <si>
    <t>STT_361_NghiaHung</t>
  </si>
  <si>
    <t>STT_362_NamTruc</t>
  </si>
  <si>
    <t>STT_363_TrucNinh</t>
  </si>
  <si>
    <t>STT_364_XuanTruong</t>
  </si>
  <si>
    <t>STT_365_GiaoThuy</t>
  </si>
  <si>
    <t>STT_366_HaiHau</t>
  </si>
  <si>
    <t>STT_462_QuangTri</t>
  </si>
  <si>
    <t>STT_464_VinhLinh</t>
  </si>
  <si>
    <t>STT_465_HuongHoa</t>
  </si>
  <si>
    <t>STT_466_GioLinh</t>
  </si>
  <si>
    <t>STT_467_DaKrong</t>
  </si>
  <si>
    <t>STT_468_CamLo</t>
  </si>
  <si>
    <t>STT_469_TrieuPhong</t>
  </si>
  <si>
    <t>STT_470_HaiLang</t>
  </si>
  <si>
    <t>STT_569_CamRanh</t>
  </si>
  <si>
    <t>STT_570_CamLam</t>
  </si>
  <si>
    <t>STT_571_VanNinh</t>
  </si>
  <si>
    <t>STT_572_NinhHoa</t>
  </si>
  <si>
    <t>STT_573_KhanhVinh</t>
  </si>
  <si>
    <t>STT_574_DienKhanh</t>
  </si>
  <si>
    <t>STT_575_KhanhSon</t>
  </si>
  <si>
    <t>STT_576_TruongSa</t>
  </si>
  <si>
    <t>STT_623_AnKhe</t>
  </si>
  <si>
    <t>STT_624_AyunPa</t>
  </si>
  <si>
    <t>STT_625_KBang</t>
  </si>
  <si>
    <t>STT_626_DakDoa</t>
  </si>
  <si>
    <t>STT_627_ChuPah</t>
  </si>
  <si>
    <t>STT_628_IaGrai</t>
  </si>
  <si>
    <t>STT_629_MangYang</t>
  </si>
  <si>
    <t>STT_630_KongChro</t>
  </si>
  <si>
    <t>STT_631_DucCo</t>
  </si>
  <si>
    <t>STT_632_ChuProng</t>
  </si>
  <si>
    <t>STT_633_ChuSe</t>
  </si>
  <si>
    <t>STT_634_DakPo</t>
  </si>
  <si>
    <t>STT_635_IaPa</t>
  </si>
  <si>
    <t>STT_637_KrongPa</t>
  </si>
  <si>
    <t>STT_638_PhuThien</t>
  </si>
  <si>
    <t>STT_639_ChuPuh</t>
  </si>
  <si>
    <t>STT_325_VanLam</t>
  </si>
  <si>
    <t>STT_326_VanGiang</t>
  </si>
  <si>
    <t>STT_327_YenMy</t>
  </si>
  <si>
    <t>STT_328_MyHao</t>
  </si>
  <si>
    <t>STT_329_AnThi</t>
  </si>
  <si>
    <t>STT_330_KhoaiChau</t>
  </si>
  <si>
    <t>STT_331_KimDong</t>
  </si>
  <si>
    <t>STT_332_TienLu</t>
  </si>
  <si>
    <t>STT_333_PhuCu</t>
  </si>
  <si>
    <t>STT_095_MuongLay</t>
  </si>
  <si>
    <t>STT_096_MuongNhe</t>
  </si>
  <si>
    <t>STT_097_MuongCha</t>
  </si>
  <si>
    <t>STT_098_TuaChua</t>
  </si>
  <si>
    <t>STT_099_TuanGiao</t>
  </si>
  <si>
    <t>STT_100_DienBien</t>
  </si>
  <si>
    <t>STT_101_DienBienDong</t>
  </si>
  <si>
    <t>STT_102_Muongng</t>
  </si>
  <si>
    <t>STT_103_NamPo</t>
  </si>
  <si>
    <t>STT_180_TrangDinh</t>
  </si>
  <si>
    <t>STT_181_BinhGia</t>
  </si>
  <si>
    <t>STT_182_VanLang</t>
  </si>
  <si>
    <t>STT_183_CaoLoc</t>
  </si>
  <si>
    <t>STT_184_VanQuan</t>
  </si>
  <si>
    <t>STT_185_BacSon</t>
  </si>
  <si>
    <t>STT_186_HuuLung</t>
  </si>
  <si>
    <t>STT_187_ChiLang</t>
  </si>
  <si>
    <t>STT_188_LocBinh</t>
  </si>
  <si>
    <t>STT_189_DinhLap</t>
  </si>
  <si>
    <t>STT_106_TamDuong</t>
  </si>
  <si>
    <t>STT_107_MuongTe</t>
  </si>
  <si>
    <t>STT_108_SinHo</t>
  </si>
  <si>
    <t>STT_109_PhongTho</t>
  </si>
  <si>
    <t>STT_110_ThanUyen</t>
  </si>
  <si>
    <t>STT_111_TanUyen</t>
  </si>
  <si>
    <t>STT_112_NamNhun</t>
  </si>
  <si>
    <t>STT_026_DongVan</t>
  </si>
  <si>
    <t>STT_027_MeoVac</t>
  </si>
  <si>
    <t>STT_028_YenMinh</t>
  </si>
  <si>
    <t>STT_029_QuanBa</t>
  </si>
  <si>
    <t>STT_030_ViXuyen</t>
  </si>
  <si>
    <t>STT_031_BacMe</t>
  </si>
  <si>
    <t>STT_032_HoangSuPhi</t>
  </si>
  <si>
    <t>STT_033_XinMan</t>
  </si>
  <si>
    <t>STT_034_BacQuang</t>
  </si>
  <si>
    <t>STT_035_QuangBinh</t>
  </si>
  <si>
    <t>STT_370_TamDiep</t>
  </si>
  <si>
    <t>STT_372_NhoQuan</t>
  </si>
  <si>
    <t>STT_373_GiaVien</t>
  </si>
  <si>
    <t>STT_374_HoaLu</t>
  </si>
  <si>
    <t>STT_375_YenKhanh</t>
  </si>
  <si>
    <t>STT_376_KimSon</t>
  </si>
  <si>
    <t>STT_377_YenMo</t>
  </si>
  <si>
    <t>STT_503_HoiAn</t>
  </si>
  <si>
    <t>STT_504_TayGiang</t>
  </si>
  <si>
    <t>STT_505_DongGiang</t>
  </si>
  <si>
    <t>STT_506_DaiLoc</t>
  </si>
  <si>
    <t>STT_507_DienBan</t>
  </si>
  <si>
    <t>STT_508_DuyXuyen</t>
  </si>
  <si>
    <t>STT_509_QueSon</t>
  </si>
  <si>
    <t>STT_510_NamGiang</t>
  </si>
  <si>
    <t>STT_511_PhuocSon</t>
  </si>
  <si>
    <t>STT_512_HiepDuc</t>
  </si>
  <si>
    <t>STT_513_ThangBinh</t>
  </si>
  <si>
    <t>STT_514_TienPhuoc</t>
  </si>
  <si>
    <t>STT_515_BacTraMy</t>
  </si>
  <si>
    <t>STT_516_NamTraMy</t>
  </si>
  <si>
    <t>STT_517_NuiThanh</t>
  </si>
  <si>
    <t>STT_518_PhuNinh</t>
  </si>
  <si>
    <t>STT_519_NongSon</t>
  </si>
  <si>
    <t>STT_042_BaoLam</t>
  </si>
  <si>
    <t>STT_043_BaoLac</t>
  </si>
  <si>
    <t>STT_045_HaQuang</t>
  </si>
  <si>
    <t>STT_047_TrungKhanh</t>
  </si>
  <si>
    <t>STT_048_HaLang</t>
  </si>
  <si>
    <t>STT_049_QuangHoa</t>
  </si>
  <si>
    <t>STT_051_HoaAn</t>
  </si>
  <si>
    <t>STT_052_NguyenBinh</t>
  </si>
  <si>
    <t>STT_053_ThachAn</t>
  </si>
  <si>
    <t>STT_349_DuyTien</t>
  </si>
  <si>
    <t>STT_350_KimBang</t>
  </si>
  <si>
    <t>STT_351_ThanhLiem</t>
  </si>
  <si>
    <t>STT_352_BinhLuc</t>
  </si>
  <si>
    <t>STT_353_LyNhan</t>
  </si>
  <si>
    <t>STT_857_LongHo</t>
  </si>
  <si>
    <t>STT_858_MangThit</t>
  </si>
  <si>
    <t>STT_859_VungLiem</t>
  </si>
  <si>
    <t>STT_860_TamBinh</t>
  </si>
  <si>
    <t>STT_861_BinhMinh</t>
  </si>
  <si>
    <t>STT_862_TraOn</t>
  </si>
  <si>
    <t>STT_863_BinhTan</t>
  </si>
  <si>
    <t>STT_542_AnLao</t>
  </si>
  <si>
    <t>STT_543_HoaiNhon</t>
  </si>
  <si>
    <t>STT_544_HoaiAn</t>
  </si>
  <si>
    <t>STT_545_PhuMy</t>
  </si>
  <si>
    <t>STT_546_VinhThanh</t>
  </si>
  <si>
    <t>STT_547_TaySon</t>
  </si>
  <si>
    <t>STT_548_PhuCat</t>
  </si>
  <si>
    <t>STT_549_AnNhon</t>
  </si>
  <si>
    <t>STT_550_TuyPhuoc</t>
  </si>
  <si>
    <t>STT_551_VanCanh</t>
  </si>
  <si>
    <t>STT_966_UMinh</t>
  </si>
  <si>
    <t>STT_967_ThoiBinh</t>
  </si>
  <si>
    <t>STT_968_TranVanThoi</t>
  </si>
  <si>
    <t>STT_969_CaiNuoc</t>
  </si>
  <si>
    <t>STT_970_DamDoi</t>
  </si>
  <si>
    <t>STT_971_NamCan</t>
  </si>
  <si>
    <t>STT_972_PhuTan</t>
  </si>
  <si>
    <t>STT_973_NgocHien</t>
  </si>
  <si>
    <t>STT_900_HaTien</t>
  </si>
  <si>
    <t>STT_902_KienLuong</t>
  </si>
  <si>
    <t>STT_903_HonDat</t>
  </si>
  <si>
    <t>STT_904_TanHiep</t>
  </si>
  <si>
    <t>STT_905_ChauThanh</t>
  </si>
  <si>
    <t>STT_906_GiongRieng</t>
  </si>
  <si>
    <t>STT_907_GoQuao</t>
  </si>
  <si>
    <t>STT_908_AnBien</t>
  </si>
  <si>
    <t>STT_909_AnMinh</t>
  </si>
  <si>
    <t>STT_910_VinhThuan</t>
  </si>
  <si>
    <t>STT_911_PhuQuoc</t>
  </si>
  <si>
    <t>STT_912_KienHai</t>
  </si>
  <si>
    <t>STT_913_UMinhThuong</t>
  </si>
  <si>
    <t>STT_914_GiangThanh</t>
  </si>
  <si>
    <t>STT_215_YenThe</t>
  </si>
  <si>
    <t>STT_216_TanYen</t>
  </si>
  <si>
    <t>STT_217_LangGiang</t>
  </si>
  <si>
    <t>STT_218_LucNam</t>
  </si>
  <si>
    <t>STT_219_LucNgan</t>
  </si>
  <si>
    <t>STT_220_SonDong</t>
  </si>
  <si>
    <t>STT_221_YenDung</t>
  </si>
  <si>
    <t>STT_222_VietYen</t>
  </si>
  <si>
    <t>STT_223_HiepHoa</t>
  </si>
  <si>
    <t>STT_942_ChauThanh</t>
  </si>
  <si>
    <t>STT_943_KeSach</t>
  </si>
  <si>
    <t>STT_944_MyTu</t>
  </si>
  <si>
    <t>STT_945_CuLaoDung</t>
  </si>
  <si>
    <t>STT_946_LongPhu</t>
  </si>
  <si>
    <t>STT_947_MyXuyen</t>
  </si>
  <si>
    <t>STT_948_NgaNam</t>
  </si>
  <si>
    <t>STT_949_ThanhTri</t>
  </si>
  <si>
    <t>STT_950_VinhChau</t>
  </si>
  <si>
    <t>STT_951_TranDe</t>
  </si>
  <si>
    <t>STT_867_SaDec</t>
  </si>
  <si>
    <t>STT_868_HongNgu</t>
  </si>
  <si>
    <t>STT_869_TanHong</t>
  </si>
  <si>
    <t>STT_870_HongNgu</t>
  </si>
  <si>
    <t>STT_871_TamNong</t>
  </si>
  <si>
    <t>STT_872_ThapMuoi</t>
  </si>
  <si>
    <t>STT_873_CaoLanh</t>
  </si>
  <si>
    <t>STT_874_ThanhBinh</t>
  </si>
  <si>
    <t>STT_875_LapVo</t>
  </si>
  <si>
    <t>STT_876_LaiVung</t>
  </si>
  <si>
    <t>STT_877_ChauThanh</t>
  </si>
  <si>
    <t>STT_719_BauBang</t>
  </si>
  <si>
    <t>STT_720_DauTieng</t>
  </si>
  <si>
    <t>STT_721_BenCat</t>
  </si>
  <si>
    <t>STT_722_PhuGiao</t>
  </si>
  <si>
    <t>STT_723_TanUyen</t>
  </si>
  <si>
    <t>STT_724_DiAn</t>
  </si>
  <si>
    <t>STT_725_ThuanAn</t>
  </si>
  <si>
    <t>STT_726_BacTanUyen</t>
  </si>
  <si>
    <t>STT_413_CuaLo</t>
  </si>
  <si>
    <t>STT_414_ThaiHoa</t>
  </si>
  <si>
    <t>STT_415_QuePhong</t>
  </si>
  <si>
    <t>STT_416_QuyChau</t>
  </si>
  <si>
    <t>STT_417_KySon</t>
  </si>
  <si>
    <t>STT_418_TuongDuong</t>
  </si>
  <si>
    <t>STT_419_NghiaDan</t>
  </si>
  <si>
    <t>STT_420_QuyHop</t>
  </si>
  <si>
    <t>STT_421_QuynhLuu</t>
  </si>
  <si>
    <t>STT_422_ConCuong</t>
  </si>
  <si>
    <t>STT_423_TanKy</t>
  </si>
  <si>
    <t>STT_424_AnhSon</t>
  </si>
  <si>
    <t>STT_425_DienChau</t>
  </si>
  <si>
    <t>STT_426_YenThanh</t>
  </si>
  <si>
    <t>STT_427_DoLuong</t>
  </si>
  <si>
    <t>STT_428_ThanhChuong</t>
  </si>
  <si>
    <t>STT_429_NghiLoc</t>
  </si>
  <si>
    <t>STT_430_NamDan</t>
  </si>
  <si>
    <t>STT_431_HungNguyen</t>
  </si>
  <si>
    <t>STT_432_HoangMai</t>
  </si>
  <si>
    <t>STT_258_YenPhong</t>
  </si>
  <si>
    <t>STT_259_QueVo</t>
  </si>
  <si>
    <t>STT_260_TienDu</t>
  </si>
  <si>
    <t>STT_261_TuSon</t>
  </si>
  <si>
    <t>STT_262_ThuanThanh</t>
  </si>
  <si>
    <t>STT_263_GiaBinh</t>
  </si>
  <si>
    <t>STT_264_LuongTai</t>
  </si>
  <si>
    <t>STT_610_DakGlei</t>
  </si>
  <si>
    <t>STT_611_NgocHoi</t>
  </si>
  <si>
    <t>STT_612_DakTo</t>
  </si>
  <si>
    <t>STT_613_KonPlong</t>
  </si>
  <si>
    <t>STT_614_KonRay</t>
  </si>
  <si>
    <t>STT_615_DakHa</t>
  </si>
  <si>
    <t>STT_616_SaThay</t>
  </si>
  <si>
    <t>STT_617_TuMoRong</t>
  </si>
  <si>
    <t>STT_618_IaHDrai</t>
  </si>
  <si>
    <t>STT_795_KienTuong</t>
  </si>
  <si>
    <t>STT_796_TanHung</t>
  </si>
  <si>
    <t>STT_797_VinhHung</t>
  </si>
  <si>
    <t>STT_798_MocHoa</t>
  </si>
  <si>
    <t>STT_799_TanThanh</t>
  </si>
  <si>
    <t>STT_800_ThanhHoa</t>
  </si>
  <si>
    <t>STT_801_DucHue</t>
  </si>
  <si>
    <t>STT_802_DucHoa</t>
  </si>
  <si>
    <t>STT_803_BenLuc</t>
  </si>
  <si>
    <t>STT_804_ThuThua</t>
  </si>
  <si>
    <t>STT_805_TanTru</t>
  </si>
  <si>
    <t>STT_806_CanDuoc</t>
  </si>
  <si>
    <t>STT_807_CanGiuoc</t>
  </si>
  <si>
    <t>STT_808_ChauThanh</t>
  </si>
  <si>
    <t>STT_304_NgoQuyen</t>
  </si>
  <si>
    <t>STT_305_LeChan</t>
  </si>
  <si>
    <t>STT_306_HaiAn</t>
  </si>
  <si>
    <t>STT_307_KienAn</t>
  </si>
  <si>
    <t>STT_308_DoSon</t>
  </si>
  <si>
    <t>STT_309_DuongKinh</t>
  </si>
  <si>
    <t>STT_311_ThuyNguyen</t>
  </si>
  <si>
    <t>STT_312_AnDuong</t>
  </si>
  <si>
    <t>STT_313_AnLao</t>
  </si>
  <si>
    <t>STT_314_KienThuy</t>
  </si>
  <si>
    <t>STT_315_TienLang</t>
  </si>
  <si>
    <t>STT_316_VinhBao</t>
  </si>
  <si>
    <t>STT_317_CatHai</t>
  </si>
  <si>
    <t>STT_290_ChiLinh</t>
  </si>
  <si>
    <t>STT_291_NamSach</t>
  </si>
  <si>
    <t>STT_292_KinhMon</t>
  </si>
  <si>
    <t>STT_293_KimThanh</t>
  </si>
  <si>
    <t>STT_294_ThanhHa</t>
  </si>
  <si>
    <t>STT_295_CamGiang</t>
  </si>
  <si>
    <t>STT_296_BinhGiang</t>
  </si>
  <si>
    <t>STT_297_GiaLoc</t>
  </si>
  <si>
    <t>STT_298_TuKy</t>
  </si>
  <si>
    <t>STT_299_NinhGiang</t>
  </si>
  <si>
    <t>STT_300_ThanhMien</t>
  </si>
  <si>
    <t>STT_228_PhuTho</t>
  </si>
  <si>
    <t>STT_230_DoanHung</t>
  </si>
  <si>
    <t>STT_231_HaHoa</t>
  </si>
  <si>
    <t>STT_232_ThanhBa</t>
  </si>
  <si>
    <t>STT_233_PhuNinh</t>
  </si>
  <si>
    <t>STT_234_YenLap</t>
  </si>
  <si>
    <t>STT_235_CamKhe</t>
  </si>
  <si>
    <t>STT_236_TamNong</t>
  </si>
  <si>
    <t>STT_237_LamThao</t>
  </si>
  <si>
    <t>STT_238_ThanhSon</t>
  </si>
  <si>
    <t>STT_239_ThanhThuy</t>
  </si>
  <si>
    <t>STT_240_TanSon</t>
  </si>
  <si>
    <t>STT_673_BaoLoc</t>
  </si>
  <si>
    <t>STT_674_DamRong</t>
  </si>
  <si>
    <t>STT_675_LacDuong</t>
  </si>
  <si>
    <t>STT_676_LamHa</t>
  </si>
  <si>
    <t>STT_677_DonDuong</t>
  </si>
  <si>
    <t>STT_678_DucTrong</t>
  </si>
  <si>
    <t>STT_679_DiLinh</t>
  </si>
  <si>
    <t>STT_680_BaoLam</t>
  </si>
  <si>
    <t>STT_681_DaHuoai</t>
  </si>
  <si>
    <t>STT_682_DaTeh</t>
  </si>
  <si>
    <t>STT_683_CatTien</t>
  </si>
  <si>
    <t>STT_437_HongLinh</t>
  </si>
  <si>
    <t>STT_439_HuongSon</t>
  </si>
  <si>
    <t>STT_440_DucTho</t>
  </si>
  <si>
    <t>STT_441_VuQuang</t>
  </si>
  <si>
    <t>STT_442_NghiXuan</t>
  </si>
  <si>
    <t>STT_443_CanLoc</t>
  </si>
  <si>
    <t>STT_444_HuongKhe</t>
  </si>
  <si>
    <t>STT_445_ThachHa</t>
  </si>
  <si>
    <t>STT_446_CamXuyen</t>
  </si>
  <si>
    <t>STT_447_KyAnh</t>
  </si>
  <si>
    <t>STT_448_LocHa</t>
  </si>
  <si>
    <t>STT_449_KyAnh</t>
  </si>
  <si>
    <t>STT_452_MinhHoa</t>
  </si>
  <si>
    <t>STT_453_TuyenHoa</t>
  </si>
  <si>
    <t>STT_454_QuangTrach</t>
  </si>
  <si>
    <t>STT_455_BoTrach</t>
  </si>
  <si>
    <t>STT_456_QuangNinh</t>
  </si>
  <si>
    <t>STT_457_LeThuy</t>
  </si>
  <si>
    <t>STT_458_BaDon</t>
  </si>
  <si>
    <t>STT_831_ChauThanh</t>
  </si>
  <si>
    <t>STT_832_ChoLach</t>
  </si>
  <si>
    <t>STT_833_MoCayNam</t>
  </si>
  <si>
    <t>STT_834_GiongTrom</t>
  </si>
  <si>
    <t>STT_835_BinhDai</t>
  </si>
  <si>
    <t>STT_836_BaTri</t>
  </si>
  <si>
    <t>STT_837_ThanhPhu</t>
  </si>
  <si>
    <t>STT_838_MoCayBac</t>
  </si>
  <si>
    <t>STT_557_SongCau</t>
  </si>
  <si>
    <t>STT_558_DongXuan</t>
  </si>
  <si>
    <t>STT_559_TuyAn</t>
  </si>
  <si>
    <t>STT_560_SonHoa</t>
  </si>
  <si>
    <t>STT_561_SongHinh</t>
  </si>
  <si>
    <t>STT_562_TayHoa</t>
  </si>
  <si>
    <t>STT_563_PhuHoa</t>
  </si>
  <si>
    <t>STT_564_DongHoa</t>
  </si>
  <si>
    <t>STT_956_HongDan</t>
  </si>
  <si>
    <t>STT_957_PhuocLong</t>
  </si>
  <si>
    <t>STT_958_VinhLoi</t>
  </si>
  <si>
    <t>STT_959_GiaRai</t>
  </si>
  <si>
    <t>STT_960_DongHai</t>
  </si>
  <si>
    <t>STT_961_HoaBinh</t>
  </si>
  <si>
    <t>STT_082_BatXat</t>
  </si>
  <si>
    <t>STT_083_MuongKhuong</t>
  </si>
  <si>
    <t>STT_084_SiMaCai</t>
  </si>
  <si>
    <t>STT_085_BacHa</t>
  </si>
  <si>
    <t>STT_086_BaoThang</t>
  </si>
  <si>
    <t>STT_087_BaoYen</t>
  </si>
  <si>
    <t>STT_088_SaPa</t>
  </si>
  <si>
    <t>STT_089_VanBan</t>
  </si>
  <si>
    <t>STT_244_PhucYen</t>
  </si>
  <si>
    <t>STT_246_LapThach</t>
  </si>
  <si>
    <t>STT_247_TamDuong</t>
  </si>
  <si>
    <t>STT_248_TamDao</t>
  </si>
  <si>
    <t>STT_249_BinhXuyen</t>
  </si>
  <si>
    <t>STT_251_YenLac</t>
  </si>
  <si>
    <t>STT_252_VinhTuong</t>
  </si>
  <si>
    <t>STT_253_SongLo</t>
  </si>
  <si>
    <t>STT_381_BimSon</t>
  </si>
  <si>
    <t>STT_382_SamSon</t>
  </si>
  <si>
    <t>STT_384_MuongLat</t>
  </si>
  <si>
    <t>STT_385_QuanHoa</t>
  </si>
  <si>
    <t>STT_386_BaThuoc</t>
  </si>
  <si>
    <t>STT_387_QuanSon</t>
  </si>
  <si>
    <t>STT_388_LangChanh</t>
  </si>
  <si>
    <t>STT_389_NgocLac</t>
  </si>
  <si>
    <t>STT_390_CamThuy</t>
  </si>
  <si>
    <t>STT_391_ThachThanh</t>
  </si>
  <si>
    <t>STT_392_HaTrung</t>
  </si>
  <si>
    <t>STT_393_VinhLoc</t>
  </si>
  <si>
    <t>STT_394_YenDinh</t>
  </si>
  <si>
    <t>STT_395_ThoXuan</t>
  </si>
  <si>
    <t>STT_396_ThuongXuan</t>
  </si>
  <si>
    <t>STT_397_TrieuSon</t>
  </si>
  <si>
    <t>STT_398_ThieuHoa</t>
  </si>
  <si>
    <t>STT_399_HoangHoa</t>
  </si>
  <si>
    <t>STT_400_HauLoc</t>
  </si>
  <si>
    <t>STT_401_NgaSon</t>
  </si>
  <si>
    <t>STT_402_NhuXuan</t>
  </si>
  <si>
    <t>STT_403_NhuThanh</t>
  </si>
  <si>
    <t>STT_404_NongCong</t>
  </si>
  <si>
    <t>STT_405_DongSon</t>
  </si>
  <si>
    <t>STT_406_QuangXuong</t>
  </si>
  <si>
    <t>STT_407_NghiSon</t>
  </si>
  <si>
    <t>STT_884_ChauDoc</t>
  </si>
  <si>
    <t>STT_886_AnPhu</t>
  </si>
  <si>
    <t>STT_887_TanChau</t>
  </si>
  <si>
    <t>STT_888_PhuTan</t>
  </si>
  <si>
    <t>STT_889_ChauPhu</t>
  </si>
  <si>
    <t>STT_890_TinhBien</t>
  </si>
  <si>
    <t>STT_891_TriTon</t>
  </si>
  <si>
    <t>STT_892_ChauThanh</t>
  </si>
  <si>
    <t>STT_893_ChoMoi</t>
  </si>
  <si>
    <t>STT_894_ThoaiSon</t>
  </si>
  <si>
    <t>STT_816_GoCong</t>
  </si>
  <si>
    <t>STT_817_CaiLay</t>
  </si>
  <si>
    <t>STT_818_TanPhuoc</t>
  </si>
  <si>
    <t>STT_819_CaiBe</t>
  </si>
  <si>
    <t>STT_820_CaiLay</t>
  </si>
  <si>
    <t>STT_821_ChauThanh</t>
  </si>
  <si>
    <t>STT_822_ChoGao</t>
  </si>
  <si>
    <t>STT_823_GoCongTay</t>
  </si>
  <si>
    <t>STT_824_GoCongDong</t>
  </si>
  <si>
    <t>STT_825_TanPhuDong</t>
  </si>
  <si>
    <t>STT_133_NghiaLo</t>
  </si>
  <si>
    <t>STT_135_LucYen</t>
  </si>
  <si>
    <t>STT_136_VanYen</t>
  </si>
  <si>
    <t>STT_137_MuCangChai</t>
  </si>
  <si>
    <t>STT_138_TranYen</t>
  </si>
  <si>
    <t>STT_139_TramTau</t>
  </si>
  <si>
    <t>STT_140_VanChan</t>
  </si>
  <si>
    <t>STT_141_YenBinh</t>
  </si>
  <si>
    <t>STT_931_NgaBay</t>
  </si>
  <si>
    <t>STT_932_ChauThanhA</t>
  </si>
  <si>
    <t>STT_933_ChauThanh</t>
  </si>
  <si>
    <t>STT_934_PhungHiep</t>
  </si>
  <si>
    <t>STT_935_ViThuy</t>
  </si>
  <si>
    <t>STT_936_LongMy</t>
  </si>
  <si>
    <t>STT_937_LongMy</t>
  </si>
  <si>
    <t>STT_524_BinhSon</t>
  </si>
  <si>
    <t>STT_525_TraBong</t>
  </si>
  <si>
    <t>STT_527_SonTinh</t>
  </si>
  <si>
    <t>STT_528_TuNghia</t>
  </si>
  <si>
    <t>STT_529_SonHa</t>
  </si>
  <si>
    <t>STT_530_SonTay</t>
  </si>
  <si>
    <t>STT_531_MinhLong</t>
  </si>
  <si>
    <t>STT_532_NghiaHanh</t>
  </si>
  <si>
    <t>STT_533_MoDuc</t>
  </si>
  <si>
    <t>STT_534_DucPho</t>
  </si>
  <si>
    <t>STT_535_BaTo</t>
  </si>
  <si>
    <t>STT_661_DakGlong</t>
  </si>
  <si>
    <t>STT_662_CuJut</t>
  </si>
  <si>
    <t>STT_663_DakMil</t>
  </si>
  <si>
    <t>STT_664_KrongNo</t>
  </si>
  <si>
    <t>STT_665_DakSong</t>
  </si>
  <si>
    <t>STT_666_DakRLap</t>
  </si>
  <si>
    <t>STT_667_TuyDuc</t>
  </si>
  <si>
    <t>STT_165_SongCong</t>
  </si>
  <si>
    <t>STT_167_DinhHoa</t>
  </si>
  <si>
    <t>STT_168_PhuLuong</t>
  </si>
  <si>
    <t>STT_169_DongHy</t>
  </si>
  <si>
    <t>STT_170_VoNhai</t>
  </si>
  <si>
    <t>STT_171_DaiTu</t>
  </si>
  <si>
    <t>STT_172_PhoYen</t>
  </si>
  <si>
    <t>STT_173_PhuBinh</t>
  </si>
  <si>
    <t>STT_917_OMon</t>
  </si>
  <si>
    <t>STT_918_BinhThuy</t>
  </si>
  <si>
    <t>STT_919_CaiRang</t>
  </si>
  <si>
    <t>STT_923_ThotNot</t>
  </si>
  <si>
    <t>STT_924_VinhThanh</t>
  </si>
  <si>
    <t>STT_925_CoDo</t>
  </si>
  <si>
    <t>STT_926_PhongDien</t>
  </si>
  <si>
    <t>STT_927_ThoiLai</t>
  </si>
  <si>
    <t>STT_594_LaGi</t>
  </si>
  <si>
    <t>STT_595_TuyPhong</t>
  </si>
  <si>
    <t>STT_596_BacBinh</t>
  </si>
  <si>
    <t>STT_597_HamThuanBac</t>
  </si>
  <si>
    <t>STT_598_HamThuanNam</t>
  </si>
  <si>
    <t>STT_599_TanhLinh</t>
  </si>
  <si>
    <t>STT_600_DucLinh</t>
  </si>
  <si>
    <t>STT_601_HamTan</t>
  </si>
  <si>
    <t>STT_602_PhuQui</t>
  </si>
  <si>
    <t>STT_002_HoanKiem</t>
  </si>
  <si>
    <t>STT_003_TayHo</t>
  </si>
  <si>
    <t>STT_004_LongBien</t>
  </si>
  <si>
    <t>STT_005_CauGiay</t>
  </si>
  <si>
    <t>STT_006_DongDa</t>
  </si>
  <si>
    <t>STT_007_HaiBaTrung</t>
  </si>
  <si>
    <t>STT_008_HoangMai</t>
  </si>
  <si>
    <t>STT_009_ThanhXuan</t>
  </si>
  <si>
    <t>STT_016_SocSon</t>
  </si>
  <si>
    <t>STT_017_DongAnh</t>
  </si>
  <si>
    <t>STT_018_GiaLam</t>
  </si>
  <si>
    <t>STT_019_NamTuLiem</t>
  </si>
  <si>
    <t>STT_020_ThanhTri</t>
  </si>
  <si>
    <t>STT_021_BacTuLiem</t>
  </si>
  <si>
    <t>STT_250_MeLinh</t>
  </si>
  <si>
    <t>STT_268_HaDong</t>
  </si>
  <si>
    <t>STT_269_SonTay</t>
  </si>
  <si>
    <t>STT_271_BaVi</t>
  </si>
  <si>
    <t>STT_272_PhucTho</t>
  </si>
  <si>
    <t>STT_273_DanPhuong</t>
  </si>
  <si>
    <t>STT_274_HoaiDuc</t>
  </si>
  <si>
    <t>STT_275_QuocOai</t>
  </si>
  <si>
    <t>STT_276_ThachThat</t>
  </si>
  <si>
    <t>STT_277_ChuongMy</t>
  </si>
  <si>
    <t>STT_278_ThanhOai</t>
  </si>
  <si>
    <t>STT_279_ThuongTin</t>
  </si>
  <si>
    <t>STT_280_PhuXuyen</t>
  </si>
  <si>
    <t>STT_281_UngHoa</t>
  </si>
  <si>
    <t>STT_282_MyDuc</t>
  </si>
  <si>
    <t>STT_118_QuynhNhai</t>
  </si>
  <si>
    <t>STT_119_ThuanChau</t>
  </si>
  <si>
    <t>STT_120_MuongLa</t>
  </si>
  <si>
    <t>STT_121_BacYen</t>
  </si>
  <si>
    <t>STT_122_PhuYen</t>
  </si>
  <si>
    <t>STT_123_MocChau</t>
  </si>
  <si>
    <t>STT_124_YenChau</t>
  </si>
  <si>
    <t>STT_125_MaiSon</t>
  </si>
  <si>
    <t>STT_126_SongMa</t>
  </si>
  <si>
    <t>STT_127_SopCop</t>
  </si>
  <si>
    <t>STT_128_VanHo</t>
  </si>
  <si>
    <t>STT_491_ThanhKhe</t>
  </si>
  <si>
    <t>STT_492_HaiChau</t>
  </si>
  <si>
    <t>STT_493_SonTra</t>
  </si>
  <si>
    <t>STT_494_NguHanhSon</t>
  </si>
  <si>
    <t>STT_495_CamLe</t>
  </si>
  <si>
    <t>STT_497_HoaVang</t>
  </si>
  <si>
    <t>STT_194_MongCai</t>
  </si>
  <si>
    <t>STT_195_CamPha</t>
  </si>
  <si>
    <t>STT_196_UongBi</t>
  </si>
  <si>
    <t>STT_198_BinhLieu</t>
  </si>
  <si>
    <t>STT_199_TienYen</t>
  </si>
  <si>
    <t>STT_200_DamHa</t>
  </si>
  <si>
    <t>STT_201_HaiHa</t>
  </si>
  <si>
    <t>STT_202_BaChe</t>
  </si>
  <si>
    <t>STT_203_VanDon</t>
  </si>
  <si>
    <t>STT_205_DongTrieu</t>
  </si>
  <si>
    <t>STT_206_QuangYen</t>
  </si>
  <si>
    <t>STT_207_CoTo</t>
  </si>
  <si>
    <t>STT_644_BuonHo</t>
  </si>
  <si>
    <t>STT_645_EaHleo</t>
  </si>
  <si>
    <t>STT_646_EaSup</t>
  </si>
  <si>
    <t>STT_647_BuonDon</t>
  </si>
  <si>
    <t>STT_648_CuMgar</t>
  </si>
  <si>
    <t>STT_649_KrongBuk</t>
  </si>
  <si>
    <t>STT_650_KrongNang</t>
  </si>
  <si>
    <t>STT_651_EaKar</t>
  </si>
  <si>
    <t>STT_652_MDrak</t>
  </si>
  <si>
    <t>STT_653_KrongBong</t>
  </si>
  <si>
    <t>STT_654_KrongPac</t>
  </si>
  <si>
    <t>STT_655_KrongANa</t>
  </si>
  <si>
    <t>STT_656_Lak</t>
  </si>
  <si>
    <t>STT_657_CuKuin</t>
  </si>
  <si>
    <t>STT_060_PacNam</t>
  </si>
  <si>
    <t>STT_061_BaBe</t>
  </si>
  <si>
    <t>STT_062_NganSon</t>
  </si>
  <si>
    <t>STT_063_BachThong</t>
  </si>
  <si>
    <t>STT_064_ChoDon</t>
  </si>
  <si>
    <t>STT_065_ChoMoi</t>
  </si>
  <si>
    <t>STT_066_NaRi</t>
  </si>
  <si>
    <t>STT_732_LongKhanh</t>
  </si>
  <si>
    <t>STT_734_TanPhu</t>
  </si>
  <si>
    <t>STT_735_VinhCuu</t>
  </si>
  <si>
    <t>STT_736_DinhQuan</t>
  </si>
  <si>
    <t>STT_737_TrangBom</t>
  </si>
  <si>
    <t>STT_738_ThongNhat</t>
  </si>
  <si>
    <t>STT_739_CamMy</t>
  </si>
  <si>
    <t>STT_740_LongThanh</t>
  </si>
  <si>
    <t>STT_741_XuanLoc</t>
  </si>
  <si>
    <t>STT_742_NhonTrach</t>
  </si>
  <si>
    <t>STT_17230_BinhChuan</t>
  </si>
  <si>
    <t>STT_17233_LangKhe</t>
  </si>
  <si>
    <t>STT_17236_CamLam</t>
  </si>
  <si>
    <t>STT_17239_ThachNgan</t>
  </si>
  <si>
    <t>STT_17242_DonPhuc</t>
  </si>
  <si>
    <t>STT_17245_MauDuc</t>
  </si>
  <si>
    <t>STT_17248_ChauKhe</t>
  </si>
  <si>
    <t>STT_17251_ChiKhe</t>
  </si>
  <si>
    <t>STT_17254_BongKhe</t>
  </si>
  <si>
    <t>STT_17257_YenKhe</t>
  </si>
  <si>
    <t>STT_17260_LucDa</t>
  </si>
  <si>
    <t>STT_17263_MonSon</t>
  </si>
  <si>
    <t>STT_31225_TrungThanh</t>
  </si>
  <si>
    <t>STT_31249_ThanhPhu</t>
  </si>
  <si>
    <t>STT_31255_TrungHung</t>
  </si>
  <si>
    <t>STT_31261_CoDo</t>
  </si>
  <si>
    <t>STT_31264_ThoiHung</t>
  </si>
  <si>
    <t>STT_31273_DongHiep</t>
  </si>
  <si>
    <t>STT_31274_DongThang</t>
  </si>
  <si>
    <t>STT_31276_ThoiDong</t>
  </si>
  <si>
    <t>STT_31277_ThoiXuan</t>
  </si>
  <si>
    <t>STT_11332_MayTo</t>
  </si>
  <si>
    <t>STT_11335_VanMy</t>
  </si>
  <si>
    <t>STT_11338_CauTre</t>
  </si>
  <si>
    <t>STT_11341_LacVien</t>
  </si>
  <si>
    <t>STT_11344_CauDat</t>
  </si>
  <si>
    <t>STT_11347_GiaVien</t>
  </si>
  <si>
    <t>STT_11350_DongKhe</t>
  </si>
  <si>
    <t>STT_11356_LeLoi</t>
  </si>
  <si>
    <t>STT_11359_DangGiang</t>
  </si>
  <si>
    <t>STT_11362_LachTray</t>
  </si>
  <si>
    <t>STT_11365_DongQuocBinh</t>
  </si>
  <si>
    <t>STT_26872_13</t>
  </si>
  <si>
    <t>STT_26875_17</t>
  </si>
  <si>
    <t>STT_26876_6</t>
  </si>
  <si>
    <t>STT_26878_16</t>
  </si>
  <si>
    <t>STT_26881_12</t>
  </si>
  <si>
    <t>STT_26882_14</t>
  </si>
  <si>
    <t>STT_26884_10</t>
  </si>
  <si>
    <t>STT_26887_05</t>
  </si>
  <si>
    <t>STT_26890_07</t>
  </si>
  <si>
    <t>STT_26893_04</t>
  </si>
  <si>
    <t>STT_26896_01</t>
  </si>
  <si>
    <t>STT_26897_9</t>
  </si>
  <si>
    <t>STT_26898_8</t>
  </si>
  <si>
    <t>STT_26899_11</t>
  </si>
  <si>
    <t>STT_26902_03</t>
  </si>
  <si>
    <t>STT_06070_VinhYen</t>
  </si>
  <si>
    <t>STT_06073_HoaTham</t>
  </si>
  <si>
    <t>STT_06076_QuyHoa</t>
  </si>
  <si>
    <t>STT_06079_HongPhong</t>
  </si>
  <si>
    <t>STT_06082_YenLo</t>
  </si>
  <si>
    <t>STT_06085_ThienHoa</t>
  </si>
  <si>
    <t>STT_06088_QuangTrung</t>
  </si>
  <si>
    <t>STT_06091_ThienThuat</t>
  </si>
  <si>
    <t>STT_06094_MinhKhai</t>
  </si>
  <si>
    <t>STT_06097_ThienLong</t>
  </si>
  <si>
    <t>STT_06100_HoangVanThu</t>
  </si>
  <si>
    <t>STT_06103_HoaBinh</t>
  </si>
  <si>
    <t>STT_06106_MongAn</t>
  </si>
  <si>
    <t>STT_06109_TanHoa</t>
  </si>
  <si>
    <t>STT_06112_BinhGia</t>
  </si>
  <si>
    <t>STT_06115_HongThai</t>
  </si>
  <si>
    <t>STT_06118_BinhLa</t>
  </si>
  <si>
    <t>STT_06121_TanVan</t>
  </si>
  <si>
    <t>STT_20794_BinhDuong</t>
  </si>
  <si>
    <t>STT_20797_BinhGiang</t>
  </si>
  <si>
    <t>STT_20800_BinhNguyen</t>
  </si>
  <si>
    <t>STT_20803_BinhPhuc</t>
  </si>
  <si>
    <t>STT_20806_BinhTrieu</t>
  </si>
  <si>
    <t>STT_20809_BinhDao</t>
  </si>
  <si>
    <t>STT_20812_BinhMinh</t>
  </si>
  <si>
    <t>STT_20815_BinhLanh</t>
  </si>
  <si>
    <t>STT_20818_BinhTri</t>
  </si>
  <si>
    <t>STT_20821_BinhDinhBac</t>
  </si>
  <si>
    <t>STT_20822_BinhDinhNam</t>
  </si>
  <si>
    <t>STT_20824_BinhQuy</t>
  </si>
  <si>
    <t>STT_20827_BinhPhu</t>
  </si>
  <si>
    <t>STT_20830_BinhChanh</t>
  </si>
  <si>
    <t>STT_20833_BinhTu</t>
  </si>
  <si>
    <t>STT_20836_BinhSa</t>
  </si>
  <si>
    <t>STT_20839_BinhHai</t>
  </si>
  <si>
    <t>STT_20842_BinhQue</t>
  </si>
  <si>
    <t>STT_20845_BinhAn</t>
  </si>
  <si>
    <t>STT_20848_BinhTrung</t>
  </si>
  <si>
    <t>STT_20851_BinhNam</t>
  </si>
  <si>
    <t>STT_08233_PhuMy</t>
  </si>
  <si>
    <t>STT_08234_LeMy</t>
  </si>
  <si>
    <t>STT_08236_LienHoa</t>
  </si>
  <si>
    <t>STT_08239_TramThan</t>
  </si>
  <si>
    <t>STT_08242_TriQuan</t>
  </si>
  <si>
    <t>STT_08245_TrungGiap</t>
  </si>
  <si>
    <t>STT_08248_TienPhu</t>
  </si>
  <si>
    <t>STT_08251_HaGiap</t>
  </si>
  <si>
    <t>STT_08254_BaoThanh</t>
  </si>
  <si>
    <t>STT_08257_PhuLoc</t>
  </si>
  <si>
    <t>STT_08260_GiaThanh</t>
  </si>
  <si>
    <t>STT_08263_TienDu</t>
  </si>
  <si>
    <t>STT_08266_PhuNham</t>
  </si>
  <si>
    <t>STT_08272_AnDao</t>
  </si>
  <si>
    <t>STT_08275_BinhPhu</t>
  </si>
  <si>
    <t>STT_08278_PhuNinh</t>
  </si>
  <si>
    <t>STT_25243_BinhTan</t>
  </si>
  <si>
    <t>STT_25244_BinhSon</t>
  </si>
  <si>
    <t>STT_25246_LongHung</t>
  </si>
  <si>
    <t>STT_25250_PhuocTan</t>
  </si>
  <si>
    <t>STT_25252_BuNho</t>
  </si>
  <si>
    <t>STT_25255_LongHa</t>
  </si>
  <si>
    <t>STT_25258_LongTan</t>
  </si>
  <si>
    <t>STT_25261_PhuTrung</t>
  </si>
  <si>
    <t>STT_25264_PhuRieng</t>
  </si>
  <si>
    <t>STT_05539_LinhThong</t>
  </si>
  <si>
    <t>STT_05542_LamVy</t>
  </si>
  <si>
    <t>STT_05545_QuyKy</t>
  </si>
  <si>
    <t>STT_05548_TanThinh</t>
  </si>
  <si>
    <t>STT_05551_KimPhuong</t>
  </si>
  <si>
    <t>STT_05554_BaoLinh</t>
  </si>
  <si>
    <t>STT_05560_PhucChu</t>
  </si>
  <si>
    <t>STT_05563_TanDuong</t>
  </si>
  <si>
    <t>STT_05566_PhuongTien</t>
  </si>
  <si>
    <t>STT_05569_BaoCuong</t>
  </si>
  <si>
    <t>STT_05572_DongThinh</t>
  </si>
  <si>
    <t>STT_05575_DinhBien</t>
  </si>
  <si>
    <t>STT_05578_ThanhDinh</t>
  </si>
  <si>
    <t>STT_05581_TrungHoi</t>
  </si>
  <si>
    <t>STT_05584_TrungLuong</t>
  </si>
  <si>
    <t>STT_05587_BinhYen</t>
  </si>
  <si>
    <t>STT_05590_DiemMac</t>
  </si>
  <si>
    <t>STT_05593_PhuTien</t>
  </si>
  <si>
    <t>STT_05596_BocNhieu</t>
  </si>
  <si>
    <t>STT_05599_SonPhu</t>
  </si>
  <si>
    <t>STT_05602_PhuDinh</t>
  </si>
  <si>
    <t>STT_05605_BinhThanh</t>
  </si>
  <si>
    <t>STT_05974_TamThanh</t>
  </si>
  <si>
    <t>STT_05977_VinhTrai</t>
  </si>
  <si>
    <t>STT_05980_DongKinh</t>
  </si>
  <si>
    <t>STT_05983_ChiLang</t>
  </si>
  <si>
    <t>STT_05986_HoangDong</t>
  </si>
  <si>
    <t>STT_05989_QuangLac</t>
  </si>
  <si>
    <t>STT_05992_MaiPha</t>
  </si>
  <si>
    <t>STT_11429_LamHa</t>
  </si>
  <si>
    <t>STT_11431_DongHoa</t>
  </si>
  <si>
    <t>STT_11434_BacSon</t>
  </si>
  <si>
    <t>STT_11437_NamSon</t>
  </si>
  <si>
    <t>STT_11440_NgocSon</t>
  </si>
  <si>
    <t>STT_11443_TranThanhNgo</t>
  </si>
  <si>
    <t>STT_11446_VanDau</t>
  </si>
  <si>
    <t>STT_11449_PhuLien</t>
  </si>
  <si>
    <t>STT_11452_TrangMinh</t>
  </si>
  <si>
    <t>STT_19060_QuangLong</t>
  </si>
  <si>
    <t>STT_19066_QuangTho</t>
  </si>
  <si>
    <t>STT_19069_QuangTien</t>
  </si>
  <si>
    <t>STT_19075_QuangTrung</t>
  </si>
  <si>
    <t>STT_19078_QuangPhong</t>
  </si>
  <si>
    <t>STT_19081_QuangThuan</t>
  </si>
  <si>
    <t>STT_19084_QuangTan</t>
  </si>
  <si>
    <t>STT_19087_QuangHai</t>
  </si>
  <si>
    <t>STT_19090_QuangSon</t>
  </si>
  <si>
    <t>STT_19093_QuangLoc</t>
  </si>
  <si>
    <t>STT_19096_QuangThuy</t>
  </si>
  <si>
    <t>STT_19099_QuangVan</t>
  </si>
  <si>
    <t>STT_19102_QuangPhuc</t>
  </si>
  <si>
    <t>STT_19105_QuangHoa</t>
  </si>
  <si>
    <t>STT_19108_QuangMinh</t>
  </si>
  <si>
    <t>STT_25588_HaoDuoc</t>
  </si>
  <si>
    <t>STT_25591_PhuocVinh</t>
  </si>
  <si>
    <t>STT_25594_DongKhoi</t>
  </si>
  <si>
    <t>STT_25597_ThaiBinh</t>
  </si>
  <si>
    <t>STT_25600_AnCo</t>
  </si>
  <si>
    <t>STT_25603_BienGioi</t>
  </si>
  <si>
    <t>STT_25606_HoaThanh</t>
  </si>
  <si>
    <t>STT_25609_TriBinh</t>
  </si>
  <si>
    <t>STT_25612_HoaHoi</t>
  </si>
  <si>
    <t>STT_25615_AnBinh</t>
  </si>
  <si>
    <t>STT_25618_ThanhDien</t>
  </si>
  <si>
    <t>STT_25621_ThanhLong</t>
  </si>
  <si>
    <t>STT_25624_NinhDien</t>
  </si>
  <si>
    <t>STT_25627_LongVinh</t>
  </si>
  <si>
    <t>STT_17830_NghiVan</t>
  </si>
  <si>
    <t>STT_17833_NghiYen</t>
  </si>
  <si>
    <t>STT_17836_NghiTien</t>
  </si>
  <si>
    <t>STT_17839_NghiHung</t>
  </si>
  <si>
    <t>STT_17842_NghiDong</t>
  </si>
  <si>
    <t>STT_17845_NghiThiet</t>
  </si>
  <si>
    <t>STT_17848_NghiLam</t>
  </si>
  <si>
    <t>STT_17851_NghiQuang</t>
  </si>
  <si>
    <t>STT_17854_NghiKieu</t>
  </si>
  <si>
    <t>STT_17857_NghiMy</t>
  </si>
  <si>
    <t>STT_17860_NghiPhuong</t>
  </si>
  <si>
    <t>STT_17863_NghiThuan</t>
  </si>
  <si>
    <t>STT_17866_NghiLong</t>
  </si>
  <si>
    <t>STT_17869_NghiXa</t>
  </si>
  <si>
    <t>STT_17875_NghiHoa</t>
  </si>
  <si>
    <t>STT_17878_KhanhHop</t>
  </si>
  <si>
    <t>STT_17881_NghiThinh</t>
  </si>
  <si>
    <t>STT_17884_NghiCongBac</t>
  </si>
  <si>
    <t>STT_17887_NghiCongNam</t>
  </si>
  <si>
    <t>STT_17890_NghiThach</t>
  </si>
  <si>
    <t>STT_17893_NghiTrung</t>
  </si>
  <si>
    <t>STT_17896_NghiTruong</t>
  </si>
  <si>
    <t>STT_17899_NghiDien</t>
  </si>
  <si>
    <t>STT_17902_NghiPhong</t>
  </si>
  <si>
    <t>STT_17905_NghiXuan</t>
  </si>
  <si>
    <t>STT_17911_NghiVan</t>
  </si>
  <si>
    <t>STT_17917_PhucTho</t>
  </si>
  <si>
    <t>STT_17926_NghiThai</t>
  </si>
  <si>
    <t>STT_25324_AnLoc</t>
  </si>
  <si>
    <t>STT_25325_PhuThinh</t>
  </si>
  <si>
    <t>STT_25326_PhuDuc</t>
  </si>
  <si>
    <t>STT_25333_ThanhLuong</t>
  </si>
  <si>
    <t>STT_25336_ThanhPhu</t>
  </si>
  <si>
    <t>STT_28213_BinhQuoi</t>
  </si>
  <si>
    <t>STT_28216_HoaPhu</t>
  </si>
  <si>
    <t>STT_28219_PhuNgaiTri</t>
  </si>
  <si>
    <t>STT_28222_VinhCong</t>
  </si>
  <si>
    <t>STT_28225_ThuanMy</t>
  </si>
  <si>
    <t>STT_28228_HiepThanh</t>
  </si>
  <si>
    <t>STT_28231_PhuocTanHung</t>
  </si>
  <si>
    <t>STT_28234_ThanhPhuLong</t>
  </si>
  <si>
    <t>STT_28237_DuongXuanHoi</t>
  </si>
  <si>
    <t>STT_28240_AnLucLong</t>
  </si>
  <si>
    <t>STT_28243_LongTri</t>
  </si>
  <si>
    <t>STT_28246_ThanhVinhDong</t>
  </si>
  <si>
    <t>STT_11083_DaiSon</t>
  </si>
  <si>
    <t>STT_11086_HungDao</t>
  </si>
  <si>
    <t>STT_11089_NgocKy</t>
  </si>
  <si>
    <t>STT_11092_BinhLang</t>
  </si>
  <si>
    <t>STT_11095_ChiMinh</t>
  </si>
  <si>
    <t>STT_11098_TaiSon</t>
  </si>
  <si>
    <t>STT_11101_QuangPhuc</t>
  </si>
  <si>
    <t>STT_11110_DanChu</t>
  </si>
  <si>
    <t>STT_11113_TanKy</t>
  </si>
  <si>
    <t>STT_11116_QuangKhai</t>
  </si>
  <si>
    <t>STT_11119_DaiHop</t>
  </si>
  <si>
    <t>STT_11122_QuangNghiep</t>
  </si>
  <si>
    <t>STT_11125_AnThanh</t>
  </si>
  <si>
    <t>STT_11128_MinhDuc</t>
  </si>
  <si>
    <t>STT_11131_VanTo</t>
  </si>
  <si>
    <t>STT_11134_QuangTrung</t>
  </si>
  <si>
    <t>STT_11137_PhuongKy</t>
  </si>
  <si>
    <t>STT_11140_CongLac</t>
  </si>
  <si>
    <t>STT_11143_TienDong</t>
  </si>
  <si>
    <t>STT_11146_NguyenGiap</t>
  </si>
  <si>
    <t>STT_11149_HaKy</t>
  </si>
  <si>
    <t>STT_11152_HaThanh</t>
  </si>
  <si>
    <t>STT_03322_ThanhNua</t>
  </si>
  <si>
    <t>STT_03323_HuaThanh</t>
  </si>
  <si>
    <t>STT_03328_ThanhLuong</t>
  </si>
  <si>
    <t>STT_03331_ThanhHung</t>
  </si>
  <si>
    <t>STT_03334_ThanhXuong</t>
  </si>
  <si>
    <t>STT_03337_ThanhChan</t>
  </si>
  <si>
    <t>STT_03340_PaThom</t>
  </si>
  <si>
    <t>STT_03343_ThanhAn</t>
  </si>
  <si>
    <t>STT_03346_ThanhYen</t>
  </si>
  <si>
    <t>STT_03349_NoongLuong</t>
  </si>
  <si>
    <t>STT_03352_NoongHet</t>
  </si>
  <si>
    <t>STT_03355_SamMun</t>
  </si>
  <si>
    <t>STT_03356_PomLot</t>
  </si>
  <si>
    <t>STT_03358_NuaNgam</t>
  </si>
  <si>
    <t>STT_03359_HeMuong</t>
  </si>
  <si>
    <t>STT_03361_NaU</t>
  </si>
  <si>
    <t>STT_03364_MuongNha</t>
  </si>
  <si>
    <t>STT_03365_NaTong</t>
  </si>
  <si>
    <t>STT_03367_MuongLoi</t>
  </si>
  <si>
    <t>STT_03368_PhuLuong</t>
  </si>
  <si>
    <t>STT_10546_PhaLai</t>
  </si>
  <si>
    <t>STT_10549_SaoDo</t>
  </si>
  <si>
    <t>STT_10552_BenTam</t>
  </si>
  <si>
    <t>STT_10555_HoangHoaTham</t>
  </si>
  <si>
    <t>STT_10558_BacAn</t>
  </si>
  <si>
    <t>STT_10561_HungDao</t>
  </si>
  <si>
    <t>STT_10564_LeLoi</t>
  </si>
  <si>
    <t>STT_10567_HoangTien</t>
  </si>
  <si>
    <t>STT_10570_CongHoa</t>
  </si>
  <si>
    <t>STT_10573_HoangTan</t>
  </si>
  <si>
    <t>STT_10576_CoThanh</t>
  </si>
  <si>
    <t>STT_10582_ChiMinh</t>
  </si>
  <si>
    <t>STT_10585_VanDuc</t>
  </si>
  <si>
    <t>STT_10588_ThaiHoc</t>
  </si>
  <si>
    <t>STT_10591_NhanHue</t>
  </si>
  <si>
    <t>STT_10594_AnLac</t>
  </si>
  <si>
    <t>STT_10600_DongLac</t>
  </si>
  <si>
    <t>STT_10603_TanDan</t>
  </si>
  <si>
    <t>STT_18073_NamHa</t>
  </si>
  <si>
    <t>STT_18076_BacHa</t>
  </si>
  <si>
    <t>STT_18077_NguyenDu</t>
  </si>
  <si>
    <t>STT_18079_TanGiang</t>
  </si>
  <si>
    <t>STT_18082_DaiNai</t>
  </si>
  <si>
    <t>STT_18085_HaHuyTap</t>
  </si>
  <si>
    <t>STT_18088_ThachTrung</t>
  </si>
  <si>
    <t>STT_18091_ThachQuy</t>
  </si>
  <si>
    <t>STT_18094_ThachLinh</t>
  </si>
  <si>
    <t>STT_18097_VanYen</t>
  </si>
  <si>
    <t>STT_18100_ThachHa</t>
  </si>
  <si>
    <t>STT_18103_DongMon</t>
  </si>
  <si>
    <t>STT_18109_ThachHung</t>
  </si>
  <si>
    <t>STT_18112_ThachBinh</t>
  </si>
  <si>
    <t>STT_17716_CatVan</t>
  </si>
  <si>
    <t>STT_17719_ThanhNho</t>
  </si>
  <si>
    <t>STT_17722_HanhLam</t>
  </si>
  <si>
    <t>STT_17723_ThanhSon</t>
  </si>
  <si>
    <t>STT_17725_ThanhHoa</t>
  </si>
  <si>
    <t>STT_17728_PhongThinh</t>
  </si>
  <si>
    <t>STT_17731_ThanhPhong</t>
  </si>
  <si>
    <t>STT_17734_ThanhMy</t>
  </si>
  <si>
    <t>STT_17737_ThanhTien</t>
  </si>
  <si>
    <t>STT_17743_ThanhLien</t>
  </si>
  <si>
    <t>STT_17749_DaiDong</t>
  </si>
  <si>
    <t>STT_17752_ThanhDong</t>
  </si>
  <si>
    <t>STT_17755_ThanhNgoc</t>
  </si>
  <si>
    <t>STT_17758_ThanhHuong</t>
  </si>
  <si>
    <t>STT_17759_NgocLam</t>
  </si>
  <si>
    <t>STT_17761_ThanhLinh</t>
  </si>
  <si>
    <t>STT_17764_DongVan</t>
  </si>
  <si>
    <t>STT_17767_NgocSon</t>
  </si>
  <si>
    <t>STT_17770_ThanhThinh</t>
  </si>
  <si>
    <t>STT_17773_ThanhAn</t>
  </si>
  <si>
    <t>STT_17776_ThanhChi</t>
  </si>
  <si>
    <t>STT_17779_XuanTuong</t>
  </si>
  <si>
    <t>STT_17782_ThanhDuong</t>
  </si>
  <si>
    <t>STT_17785_ThanhLuong</t>
  </si>
  <si>
    <t>STT_17788_ThanhKhe</t>
  </si>
  <si>
    <t>STT_17791_VoLiet</t>
  </si>
  <si>
    <t>STT_17794_ThanhLong</t>
  </si>
  <si>
    <t>STT_17797_ThanhThuy</t>
  </si>
  <si>
    <t>STT_17800_ThanhKhai</t>
  </si>
  <si>
    <t>STT_17803_ThanhYen</t>
  </si>
  <si>
    <t>STT_17806_ThanhHa</t>
  </si>
  <si>
    <t>STT_17809_ThanhGiang</t>
  </si>
  <si>
    <t>STT_17812_ThanhTung</t>
  </si>
  <si>
    <t>STT_17815_ThanhLam</t>
  </si>
  <si>
    <t>STT_17818_ThanhMai</t>
  </si>
  <si>
    <t>STT_17821_ThanhXuan</t>
  </si>
  <si>
    <t>STT_17824_ThanhDuc</t>
  </si>
  <si>
    <t>STT_27598_PhamVanHai</t>
  </si>
  <si>
    <t>STT_27601_VinhLocA</t>
  </si>
  <si>
    <t>STT_27604_VinhLocB</t>
  </si>
  <si>
    <t>STT_27607_BinhLoi</t>
  </si>
  <si>
    <t>STT_27610_LeMinhXuan</t>
  </si>
  <si>
    <t>STT_27613_TanNhut</t>
  </si>
  <si>
    <t>STT_27616_TanKien</t>
  </si>
  <si>
    <t>STT_27619_BinhHung</t>
  </si>
  <si>
    <t>STT_27622_PhongPhu</t>
  </si>
  <si>
    <t>STT_27625_AnPhuTay</t>
  </si>
  <si>
    <t>STT_27628_HungLong</t>
  </si>
  <si>
    <t>STT_27631_DaPhuoc</t>
  </si>
  <si>
    <t>STT_27634_TanQuyTay</t>
  </si>
  <si>
    <t>STT_27637_BinhChanh</t>
  </si>
  <si>
    <t>STT_27640_QuyDuc</t>
  </si>
  <si>
    <t>STT_30592_AnHoa</t>
  </si>
  <si>
    <t>STT_30595_CanDang</t>
  </si>
  <si>
    <t>STT_30598_VinhHanh</t>
  </si>
  <si>
    <t>STT_30601_BinhThanh</t>
  </si>
  <si>
    <t>STT_30604_VinhBinh</t>
  </si>
  <si>
    <t>STT_30607_BinhHoa</t>
  </si>
  <si>
    <t>STT_30610_VinhAn</t>
  </si>
  <si>
    <t>STT_30613_HoaBinhThanh</t>
  </si>
  <si>
    <t>STT_30616_VinhLoi</t>
  </si>
  <si>
    <t>STT_30619_VinhNhuan</t>
  </si>
  <si>
    <t>STT_30622_TanPhu</t>
  </si>
  <si>
    <t>STT_30625_VinhThanh</t>
  </si>
  <si>
    <t>STT_06712_TranPhu</t>
  </si>
  <si>
    <t>STT_06715_NinhDuong</t>
  </si>
  <si>
    <t>STT_06718_HoaLac</t>
  </si>
  <si>
    <t>STT_06721_TraCo</t>
  </si>
  <si>
    <t>STT_06724_HaiSon</t>
  </si>
  <si>
    <t>STT_06727_BacSon</t>
  </si>
  <si>
    <t>STT_06730_HaiDong</t>
  </si>
  <si>
    <t>STT_06733_HaiTien</t>
  </si>
  <si>
    <t>STT_06736_HaiYen</t>
  </si>
  <si>
    <t>STT_06739_QuangNghia</t>
  </si>
  <si>
    <t>STT_06742_HaiHoa</t>
  </si>
  <si>
    <t>STT_06745_HaiXuan</t>
  </si>
  <si>
    <t>STT_06748_VanNinh</t>
  </si>
  <si>
    <t>STT_06751_BinhNgoc</t>
  </si>
  <si>
    <t>STT_06754_VinhTrung</t>
  </si>
  <si>
    <t>STT_06757_VinhThuc</t>
  </si>
  <si>
    <t>STT_20857_TienSon</t>
  </si>
  <si>
    <t>STT_20860_TienHa</t>
  </si>
  <si>
    <t>STT_20863_TienCam</t>
  </si>
  <si>
    <t>STT_20866_TienChau</t>
  </si>
  <si>
    <t>STT_20869_TienLanh</t>
  </si>
  <si>
    <t>STT_20872_TienNgoc</t>
  </si>
  <si>
    <t>STT_20875_TienHiep</t>
  </si>
  <si>
    <t>STT_20878_TienCanh</t>
  </si>
  <si>
    <t>STT_20881_TienMy</t>
  </si>
  <si>
    <t>STT_20884_TienPhong</t>
  </si>
  <si>
    <t>STT_20887_TienTho</t>
  </si>
  <si>
    <t>STT_20890_TienAn</t>
  </si>
  <si>
    <t>STT_20893_TienLoc</t>
  </si>
  <si>
    <t>STT_20896_TienLap</t>
  </si>
  <si>
    <t>STT_10273_PhuXuyen</t>
  </si>
  <si>
    <t>STT_10276_HongMinh</t>
  </si>
  <si>
    <t>STT_10279_PhuongDuc</t>
  </si>
  <si>
    <t>STT_10282_NamTien</t>
  </si>
  <si>
    <t>STT_10288_TriTrung</t>
  </si>
  <si>
    <t>STT_10291_DaiThang</t>
  </si>
  <si>
    <t>STT_10294_PhuTuc</t>
  </si>
  <si>
    <t>STT_10297_VanHoang</t>
  </si>
  <si>
    <t>STT_10300_HongThai</t>
  </si>
  <si>
    <t>STT_10303_HoangLong</t>
  </si>
  <si>
    <t>STT_10306_QuangTrung</t>
  </si>
  <si>
    <t>STT_10309_NamPhong</t>
  </si>
  <si>
    <t>STT_10312_NamTrieu</t>
  </si>
  <si>
    <t>STT_10315_TanDan</t>
  </si>
  <si>
    <t>STT_10318_SonHa</t>
  </si>
  <si>
    <t>STT_10321_ChuyenMy</t>
  </si>
  <si>
    <t>STT_10324_KhaiThai</t>
  </si>
  <si>
    <t>STT_10327_PhucTien</t>
  </si>
  <si>
    <t>STT_10330_VanTu</t>
  </si>
  <si>
    <t>STT_10333_TriThuy</t>
  </si>
  <si>
    <t>STT_10336_DaiXuyen</t>
  </si>
  <si>
    <t>STT_10339_PhuYen</t>
  </si>
  <si>
    <t>STT_10342_BachHa</t>
  </si>
  <si>
    <t>STT_10345_QuangLang</t>
  </si>
  <si>
    <t>STT_10348_ChauCan</t>
  </si>
  <si>
    <t>STT_10351_MinhTan</t>
  </si>
  <si>
    <t>STT_06925_QuangDuc</t>
  </si>
  <si>
    <t>STT_06928_QuangSon</t>
  </si>
  <si>
    <t>STT_06931_QuangThanh</t>
  </si>
  <si>
    <t>STT_06937_QuangThinh</t>
  </si>
  <si>
    <t>STT_06940_QuangMinh</t>
  </si>
  <si>
    <t>STT_06943_QuangChinh</t>
  </si>
  <si>
    <t>STT_06946_QuangLong</t>
  </si>
  <si>
    <t>STT_06949_DuongHoa</t>
  </si>
  <si>
    <t>STT_06952_QuangPhong</t>
  </si>
  <si>
    <t>STT_06967_CaiChien</t>
  </si>
  <si>
    <t>STT_31345_TanHoa</t>
  </si>
  <si>
    <t>STT_31346_BayNgan</t>
  </si>
  <si>
    <t>STT_31348_TruongLongTay</t>
  </si>
  <si>
    <t>STT_31351_TruongLongA</t>
  </si>
  <si>
    <t>STT_31357_NhonNghiaA</t>
  </si>
  <si>
    <t>STT_31359_RachGoi</t>
  </si>
  <si>
    <t>STT_31360_ThanhXuan</t>
  </si>
  <si>
    <t>STT_31362_CaiTac</t>
  </si>
  <si>
    <t>STT_31363_TanPhuThanh</t>
  </si>
  <si>
    <t>STT_03061_VoLao</t>
  </si>
  <si>
    <t>STT_03064_SonThuy</t>
  </si>
  <si>
    <t>STT_03067_NamMa</t>
  </si>
  <si>
    <t>STT_03070_TanThuong</t>
  </si>
  <si>
    <t>STT_03073_NamRang</t>
  </si>
  <si>
    <t>STT_03076_NamChay</t>
  </si>
  <si>
    <t>STT_03079_TanAn</t>
  </si>
  <si>
    <t>STT_03082_KhanhYenThuong</t>
  </si>
  <si>
    <t>STT_03085_NamXe</t>
  </si>
  <si>
    <t>STT_03088_DanThang</t>
  </si>
  <si>
    <t>STT_03091_ChiengKen</t>
  </si>
  <si>
    <t>STT_03094_LangGiang</t>
  </si>
  <si>
    <t>STT_03097_HoaMac</t>
  </si>
  <si>
    <t>STT_03100_KhanhYenTrung</t>
  </si>
  <si>
    <t>STT_03103_KhanhYenHa</t>
  </si>
  <si>
    <t>STT_03106_DuongQuy</t>
  </si>
  <si>
    <t>STT_03109_NamTha</t>
  </si>
  <si>
    <t>STT_03112_MinhLuong</t>
  </si>
  <si>
    <t>STT_03115_ThamDuong</t>
  </si>
  <si>
    <t>STT_03118_LiemPhu</t>
  </si>
  <si>
    <t>STT_03121_NamXay</t>
  </si>
  <si>
    <t>STT_19358_AnDon</t>
  </si>
  <si>
    <t>STT_19360_2</t>
  </si>
  <si>
    <t>STT_19361_3</t>
  </si>
  <si>
    <t>STT_19705_HaiLe</t>
  </si>
  <si>
    <t>STT_11371_AnBien</t>
  </si>
  <si>
    <t>STT_11374_LamSon</t>
  </si>
  <si>
    <t>STT_11377_AnDuong</t>
  </si>
  <si>
    <t>STT_11380_TranNguyenHan</t>
  </si>
  <si>
    <t>STT_11383_HoNam</t>
  </si>
  <si>
    <t>STT_11386_TraiCau</t>
  </si>
  <si>
    <t>STT_11389_DuHang</t>
  </si>
  <si>
    <t>STT_11392_HangKenh</t>
  </si>
  <si>
    <t>STT_11395_DongHai</t>
  </si>
  <si>
    <t>STT_11398_NiemNghia</t>
  </si>
  <si>
    <t>STT_11401_NghiaXa</t>
  </si>
  <si>
    <t>STT_11404_DuHangKenh</t>
  </si>
  <si>
    <t>STT_11405_KenhDuong</t>
  </si>
  <si>
    <t>STT_11407_VinhNiem</t>
  </si>
  <si>
    <t>STT_14833_BacSon</t>
  </si>
  <si>
    <t>STT_14836_TruongSon</t>
  </si>
  <si>
    <t>STT_14839_QuangCu</t>
  </si>
  <si>
    <t>STT_14842_QuangTien</t>
  </si>
  <si>
    <t>STT_16513_QuangMinh</t>
  </si>
  <si>
    <t>STT_16516_QuangHung</t>
  </si>
  <si>
    <t>STT_16528_QuangTho</t>
  </si>
  <si>
    <t>STT_16531_QuangChau</t>
  </si>
  <si>
    <t>STT_16534_QuangVinh</t>
  </si>
  <si>
    <t>STT_16537_QuangDai</t>
  </si>
  <si>
    <t>STT_11758_DaiThang</t>
  </si>
  <si>
    <t>STT_11761_TienCuong</t>
  </si>
  <si>
    <t>STT_11764_TuCuong</t>
  </si>
  <si>
    <t>STT_11770_QuyetTien</t>
  </si>
  <si>
    <t>STT_11773_KhoiNghia</t>
  </si>
  <si>
    <t>STT_11776_TienThanh</t>
  </si>
  <si>
    <t>STT_11779_CapTien</t>
  </si>
  <si>
    <t>STT_11782_KienThiet</t>
  </si>
  <si>
    <t>STT_11785_DoanLap</t>
  </si>
  <si>
    <t>STT_11788_BachDang</t>
  </si>
  <si>
    <t>STT_11791_QuangPhuc</t>
  </si>
  <si>
    <t>STT_11794_ToanThang</t>
  </si>
  <si>
    <t>STT_11797_TienThang</t>
  </si>
  <si>
    <t>STT_11800_TienMinh</t>
  </si>
  <si>
    <t>STT_11803_BacHung</t>
  </si>
  <si>
    <t>STT_11806_NamHung</t>
  </si>
  <si>
    <t>STT_11809_HungThang</t>
  </si>
  <si>
    <t>STT_11812_TayHung</t>
  </si>
  <si>
    <t>STT_11815_DongHung</t>
  </si>
  <si>
    <t>STT_11821_VinhQuang</t>
  </si>
  <si>
    <t>STT_00004_TrucBach</t>
  </si>
  <si>
    <t>STT_00006_VinhPhuc</t>
  </si>
  <si>
    <t>STT_00007_CongVi</t>
  </si>
  <si>
    <t>STT_00008_LieuGiai</t>
  </si>
  <si>
    <t>STT_00010_NguyenTrungTruc</t>
  </si>
  <si>
    <t>STT_00013_QuanThanh</t>
  </si>
  <si>
    <t>STT_00016_NgocHa</t>
  </si>
  <si>
    <t>STT_00019_DienBien</t>
  </si>
  <si>
    <t>STT_00022_DoiCan</t>
  </si>
  <si>
    <t>STT_00025_NgocKhanh</t>
  </si>
  <si>
    <t>STT_00028_KimMa</t>
  </si>
  <si>
    <t>STT_00031_GiangVo</t>
  </si>
  <si>
    <t>STT_00034_ThanhCong</t>
  </si>
  <si>
    <t>STT_28804_TanThach</t>
  </si>
  <si>
    <t>STT_28807_QuoiSon</t>
  </si>
  <si>
    <t>STT_28810_AnKhanh</t>
  </si>
  <si>
    <t>STT_28813_GiaoLong</t>
  </si>
  <si>
    <t>STT_28819_PhuTuc</t>
  </si>
  <si>
    <t>STT_28822_PhuDuc</t>
  </si>
  <si>
    <t>STT_28825_PhuAnHoa</t>
  </si>
  <si>
    <t>STT_28828_AnPhuoc</t>
  </si>
  <si>
    <t>STT_28831_TamPhuoc</t>
  </si>
  <si>
    <t>STT_28834_ThanhTrieu</t>
  </si>
  <si>
    <t>STT_28837_TuongDa</t>
  </si>
  <si>
    <t>STT_28840_TanPhu</t>
  </si>
  <si>
    <t>STT_28843_QuoiThanh</t>
  </si>
  <si>
    <t>STT_28846_PhuocThanh</t>
  </si>
  <si>
    <t>STT_28849_AnHoa</t>
  </si>
  <si>
    <t>STT_28852_TienLong</t>
  </si>
  <si>
    <t>STT_28855_AnHiep</t>
  </si>
  <si>
    <t>STT_28858_HuuDinh</t>
  </si>
  <si>
    <t>STT_28861_TienThuy</t>
  </si>
  <si>
    <t>STT_28864_SonHoa</t>
  </si>
  <si>
    <t>STT_09499_AnThinh</t>
  </si>
  <si>
    <t>STT_09502_TrungKenh</t>
  </si>
  <si>
    <t>STT_09505_PhuHoa</t>
  </si>
  <si>
    <t>STT_09508_MyHuong</t>
  </si>
  <si>
    <t>STT_09511_TanLang</t>
  </si>
  <si>
    <t>STT_09514_QuangPhu</t>
  </si>
  <si>
    <t>STT_09517_TrungXa</t>
  </si>
  <si>
    <t>STT_09520_LaiHa</t>
  </si>
  <si>
    <t>STT_09523_TrungChinh</t>
  </si>
  <si>
    <t>STT_09526_MinhTan</t>
  </si>
  <si>
    <t>STT_09529_BinhDinh</t>
  </si>
  <si>
    <t>STT_09532_PhuLuong</t>
  </si>
  <si>
    <t>STT_09535_LamThao</t>
  </si>
  <si>
    <t>STT_13504_BinhNghia</t>
  </si>
  <si>
    <t>STT_13510_TrangAn</t>
  </si>
  <si>
    <t>STT_13516_DongDu</t>
  </si>
  <si>
    <t>STT_13519_NgocLu</t>
  </si>
  <si>
    <t>STT_13522_HungCong</t>
  </si>
  <si>
    <t>STT_13525_DonXa</t>
  </si>
  <si>
    <t>STT_13528_AnNinh</t>
  </si>
  <si>
    <t>STT_13531_BoDe</t>
  </si>
  <si>
    <t>STT_13534_BoiCau</t>
  </si>
  <si>
    <t>STT_13540_AnNoi</t>
  </si>
  <si>
    <t>STT_13543_VuBan</t>
  </si>
  <si>
    <t>STT_13546_TrungLuong</t>
  </si>
  <si>
    <t>STT_13552_AnDo</t>
  </si>
  <si>
    <t>STT_13555_LaSon</t>
  </si>
  <si>
    <t>STT_13558_TieuDong</t>
  </si>
  <si>
    <t>STT_13561_AnLao</t>
  </si>
  <si>
    <t>STT_00160_NghiaTan</t>
  </si>
  <si>
    <t>STT_00163_MaiDich</t>
  </si>
  <si>
    <t>STT_00166_DichVong</t>
  </si>
  <si>
    <t>STT_00167_DichVongHau</t>
  </si>
  <si>
    <t>STT_00169_QuanHoa</t>
  </si>
  <si>
    <t>STT_00172_YenHoa</t>
  </si>
  <si>
    <t>STT_00175_TrungHoa</t>
  </si>
  <si>
    <t>STT_00715_LungCu</t>
  </si>
  <si>
    <t>STT_00718_MaLe</t>
  </si>
  <si>
    <t>STT_00721_DongVan</t>
  </si>
  <si>
    <t>STT_00724_LungTao</t>
  </si>
  <si>
    <t>STT_00727_PhoLa</t>
  </si>
  <si>
    <t>STT_00730_ThaiPhinTung</t>
  </si>
  <si>
    <t>STT_00733_SungLa</t>
  </si>
  <si>
    <t>STT_00736_XaPhin</t>
  </si>
  <si>
    <t>STT_00739_TaPhin</t>
  </si>
  <si>
    <t>STT_00742_TaLung</t>
  </si>
  <si>
    <t>STT_00745_PhoCao</t>
  </si>
  <si>
    <t>STT_00748_SinhLung</t>
  </si>
  <si>
    <t>STT_00751_SangTung</t>
  </si>
  <si>
    <t>STT_00754_LungThau</t>
  </si>
  <si>
    <t>STT_00757_HoQuangPhin</t>
  </si>
  <si>
    <t>STT_00760_VanChai</t>
  </si>
  <si>
    <t>STT_00763_LungPhin</t>
  </si>
  <si>
    <t>STT_00766_SungTrai</t>
  </si>
  <si>
    <t>STT_23537_IaDom</t>
  </si>
  <si>
    <t>STT_23538_IaToi</t>
  </si>
  <si>
    <t>STT_30079_GaoGiong</t>
  </si>
  <si>
    <t>STT_30082_PhuongThinh</t>
  </si>
  <si>
    <t>STT_30085_BaSao</t>
  </si>
  <si>
    <t>STT_30088_PhongMy</t>
  </si>
  <si>
    <t>STT_30091_TanNghia</t>
  </si>
  <si>
    <t>STT_30094_PhuongTra</t>
  </si>
  <si>
    <t>STT_30097_NhiMy</t>
  </si>
  <si>
    <t>STT_30100_MyTho</t>
  </si>
  <si>
    <t>STT_30103_TanHoiTrung</t>
  </si>
  <si>
    <t>STT_30106_AnBinh</t>
  </si>
  <si>
    <t>STT_30109_MyHoi</t>
  </si>
  <si>
    <t>STT_30112_MyHiep</t>
  </si>
  <si>
    <t>STT_30115_MyLong</t>
  </si>
  <si>
    <t>STT_30118_BinhHangTrung</t>
  </si>
  <si>
    <t>STT_30121_MyXuong</t>
  </si>
  <si>
    <t>STT_30124_BinhHangTay</t>
  </si>
  <si>
    <t>STT_30127_BinhThanh</t>
  </si>
  <si>
    <t>STT_11953_HienNam</t>
  </si>
  <si>
    <t>STT_11956_AnTao</t>
  </si>
  <si>
    <t>STT_11959_LeLoi</t>
  </si>
  <si>
    <t>STT_11962_MinhKhai</t>
  </si>
  <si>
    <t>STT_11965_QuangTrung</t>
  </si>
  <si>
    <t>STT_11968_HongChau</t>
  </si>
  <si>
    <t>STT_11971_TrungNghia</t>
  </si>
  <si>
    <t>STT_11974_LienPhuong</t>
  </si>
  <si>
    <t>STT_11977_HongNam</t>
  </si>
  <si>
    <t>STT_11980_QuangChau</t>
  </si>
  <si>
    <t>STT_11983_BaoKhe</t>
  </si>
  <si>
    <t>STT_12331_PhuCuong</t>
  </si>
  <si>
    <t>STT_12334_HungCuong</t>
  </si>
  <si>
    <t>STT_12382_PhuongChieu</t>
  </si>
  <si>
    <t>STT_12385_TanHung</t>
  </si>
  <si>
    <t>STT_12388_HoangHanh</t>
  </si>
  <si>
    <t>STT_29545_5</t>
  </si>
  <si>
    <t>STT_29548_1</t>
  </si>
  <si>
    <t>STT_29551_2</t>
  </si>
  <si>
    <t>STT_29554_4</t>
  </si>
  <si>
    <t>STT_29557_3</t>
  </si>
  <si>
    <t>STT_29560_8</t>
  </si>
  <si>
    <t>STT_29563_TanNgai</t>
  </si>
  <si>
    <t>STT_29566_TanHoa</t>
  </si>
  <si>
    <t>STT_29569_TanHoi</t>
  </si>
  <si>
    <t>STT_29572_TruongAn</t>
  </si>
  <si>
    <t>STT_05092_BinhThanh</t>
  </si>
  <si>
    <t>STT_05095_ThungNai</t>
  </si>
  <si>
    <t>STT_05098_BacPhong</t>
  </si>
  <si>
    <t>STT_05101_ThuPhong</t>
  </si>
  <si>
    <t>STT_05104_HopPhong</t>
  </si>
  <si>
    <t>STT_05110_TayPhong</t>
  </si>
  <si>
    <t>STT_05116_DungPhong</t>
  </si>
  <si>
    <t>STT_05119_NamPhong</t>
  </si>
  <si>
    <t>STT_05125_ThachYen</t>
  </si>
  <si>
    <t>STT_18676_ThienCam</t>
  </si>
  <si>
    <t>STT_18679_YenHoa</t>
  </si>
  <si>
    <t>STT_18682_CamDuong</t>
  </si>
  <si>
    <t>STT_18685_CamBinh</t>
  </si>
  <si>
    <t>STT_18691_CamVinh</t>
  </si>
  <si>
    <t>STT_18694_CamThanh</t>
  </si>
  <si>
    <t>STT_18697_CamQuang</t>
  </si>
  <si>
    <t>STT_18706_CamThach</t>
  </si>
  <si>
    <t>STT_18709_CamNhuong</t>
  </si>
  <si>
    <t>STT_18712_NamPhucThang</t>
  </si>
  <si>
    <t>STT_18715_CamDue</t>
  </si>
  <si>
    <t>STT_18721_CamLinh</t>
  </si>
  <si>
    <t>STT_18724_CamQuan</t>
  </si>
  <si>
    <t>STT_18727_CamHa</t>
  </si>
  <si>
    <t>STT_18730_CamLoc</t>
  </si>
  <si>
    <t>STT_18733_CamHung</t>
  </si>
  <si>
    <t>STT_18736_CamThinh</t>
  </si>
  <si>
    <t>STT_18739_CamMy</t>
  </si>
  <si>
    <t>STT_18742_CamTrung</t>
  </si>
  <si>
    <t>STT_18745_CamSon</t>
  </si>
  <si>
    <t>STT_18748_CamLac</t>
  </si>
  <si>
    <t>STT_18751_CamMinh</t>
  </si>
  <si>
    <t>STT_20503_DaiSon</t>
  </si>
  <si>
    <t>STT_20506_DaiLanh</t>
  </si>
  <si>
    <t>STT_20509_DaiHung</t>
  </si>
  <si>
    <t>STT_20512_DaiHong</t>
  </si>
  <si>
    <t>STT_20515_DaiDong</t>
  </si>
  <si>
    <t>STT_20518_DaiQuang</t>
  </si>
  <si>
    <t>STT_20521_DaiNghia</t>
  </si>
  <si>
    <t>STT_20524_DaiHiep</t>
  </si>
  <si>
    <t>STT_20527_DaiThanh</t>
  </si>
  <si>
    <t>STT_20530_DaiChanh</t>
  </si>
  <si>
    <t>STT_20533_DaiTan</t>
  </si>
  <si>
    <t>STT_20536_DaiPhong</t>
  </si>
  <si>
    <t>STT_20539_DaiMinh</t>
  </si>
  <si>
    <t>STT_20542_DaiThang</t>
  </si>
  <si>
    <t>STT_20545_DaiCuong</t>
  </si>
  <si>
    <t>STT_20547_DaiAn</t>
  </si>
  <si>
    <t>STT_20548_DaiHoa</t>
  </si>
  <si>
    <t>STT_32155_TaAnKhuong</t>
  </si>
  <si>
    <t>STT_32158_TaAnKhuongDong</t>
  </si>
  <si>
    <t>STT_32161_TranPhan</t>
  </si>
  <si>
    <t>STT_32162_TanTrung</t>
  </si>
  <si>
    <t>STT_32164_TanDuc</t>
  </si>
  <si>
    <t>STT_32167_TanThuan</t>
  </si>
  <si>
    <t>STT_32170_TaAnKhuongNam</t>
  </si>
  <si>
    <t>STT_32173_TanDuyet</t>
  </si>
  <si>
    <t>STT_32174_TanDan</t>
  </si>
  <si>
    <t>STT_32176_TanTien</t>
  </si>
  <si>
    <t>STT_32179_QuachPhamBac</t>
  </si>
  <si>
    <t>STT_32182_QuachPham</t>
  </si>
  <si>
    <t>STT_32185_ThanhTung</t>
  </si>
  <si>
    <t>STT_32186_NgocChanh</t>
  </si>
  <si>
    <t>STT_32188_NguyenHuan</t>
  </si>
  <si>
    <t>STT_17101_QuynhThang</t>
  </si>
  <si>
    <t>STT_17119_QuynhTan</t>
  </si>
  <si>
    <t>STT_17122_QuynhChau</t>
  </si>
  <si>
    <t>STT_17140_TanSon</t>
  </si>
  <si>
    <t>STT_17143_QuynhVan</t>
  </si>
  <si>
    <t>STT_17146_NgocSon</t>
  </si>
  <si>
    <t>STT_17149_QuynhTam</t>
  </si>
  <si>
    <t>STT_17152_QuynhHoa</t>
  </si>
  <si>
    <t>STT_17155_QuynhThach</t>
  </si>
  <si>
    <t>STT_17158_QuynhBang</t>
  </si>
  <si>
    <t>STT_17161_QuynhMy</t>
  </si>
  <si>
    <t>STT_17164_QuynhThanh</t>
  </si>
  <si>
    <t>STT_17167_QuynhHau</t>
  </si>
  <si>
    <t>STT_17170_QuynhLam</t>
  </si>
  <si>
    <t>STT_17173_QuynhDoi</t>
  </si>
  <si>
    <t>STT_17176_QuynhLuong</t>
  </si>
  <si>
    <t>STT_17179_QuynhHong</t>
  </si>
  <si>
    <t>STT_17182_QuynhYen</t>
  </si>
  <si>
    <t>STT_17185_QuynhBa</t>
  </si>
  <si>
    <t>STT_17188_QuynhMinh</t>
  </si>
  <si>
    <t>STT_17191_QuynhDien</t>
  </si>
  <si>
    <t>STT_17194_QuynhHung</t>
  </si>
  <si>
    <t>STT_17197_QuynhGiang</t>
  </si>
  <si>
    <t>STT_17200_QuynhNgoc</t>
  </si>
  <si>
    <t>STT_17203_QuynhNghia</t>
  </si>
  <si>
    <t>STT_17206_AnHoa</t>
  </si>
  <si>
    <t>STT_17209_TienThuy</t>
  </si>
  <si>
    <t>STT_17212_SonHai</t>
  </si>
  <si>
    <t>STT_17215_QuynhTho</t>
  </si>
  <si>
    <t>STT_17218_QuynhThuan</t>
  </si>
  <si>
    <t>STT_17221_QuynhLong</t>
  </si>
  <si>
    <t>STT_17224_TanThang</t>
  </si>
  <si>
    <t>STT_22612_KhanhHiep</t>
  </si>
  <si>
    <t>STT_22615_KhanhBinh</t>
  </si>
  <si>
    <t>STT_22618_KhanhTrung</t>
  </si>
  <si>
    <t>STT_22621_KhanhDong</t>
  </si>
  <si>
    <t>STT_22624_KhanhThuong</t>
  </si>
  <si>
    <t>STT_22627_KhanhNam</t>
  </si>
  <si>
    <t>STT_22630_SongCau</t>
  </si>
  <si>
    <t>STT_22633_GiangLy</t>
  </si>
  <si>
    <t>STT_22636_CauBa</t>
  </si>
  <si>
    <t>STT_22639_LienSang</t>
  </si>
  <si>
    <t>STT_22642_KhanhThanh</t>
  </si>
  <si>
    <t>STT_22645_KhanhPhu</t>
  </si>
  <si>
    <t>STT_22648_SonThai</t>
  </si>
  <si>
    <t>STT_24079_IaRSai</t>
  </si>
  <si>
    <t>STT_24082_IaRSuom</t>
  </si>
  <si>
    <t>STT_24085_ChuGu</t>
  </si>
  <si>
    <t>STT_24088_DatBang</t>
  </si>
  <si>
    <t>STT_24091_IaMlah</t>
  </si>
  <si>
    <t>STT_24094_ChuDrang</t>
  </si>
  <si>
    <t>STT_24097_PhuCan</t>
  </si>
  <si>
    <t>STT_24100_IaHDreh</t>
  </si>
  <si>
    <t>STT_24103_IaRMok</t>
  </si>
  <si>
    <t>STT_24106_ChuNgoc</t>
  </si>
  <si>
    <t>STT_24109_Uar</t>
  </si>
  <si>
    <t>STT_24112_ChuRcam</t>
  </si>
  <si>
    <t>STT_24115_KrongNang</t>
  </si>
  <si>
    <t>STT_03649_ToHieu</t>
  </si>
  <si>
    <t>STT_03652_QuyetThang</t>
  </si>
  <si>
    <t>STT_03655_QuyetTam</t>
  </si>
  <si>
    <t>STT_03658_ChiengCo</t>
  </si>
  <si>
    <t>STT_03661_ChiengDen</t>
  </si>
  <si>
    <t>STT_03664_ChiengXom</t>
  </si>
  <si>
    <t>STT_03667_ChiengAn</t>
  </si>
  <si>
    <t>STT_03670_ChiengCoi</t>
  </si>
  <si>
    <t>STT_03673_ChiengNgan</t>
  </si>
  <si>
    <t>STT_03676_HuaLa</t>
  </si>
  <si>
    <t>STT_03679_ChiengSinh</t>
  </si>
  <si>
    <t>STT_09079_KimXa</t>
  </si>
  <si>
    <t>STT_09082_YenBinh</t>
  </si>
  <si>
    <t>STT_09085_ChanHung</t>
  </si>
  <si>
    <t>STT_09088_NghiaHung</t>
  </si>
  <si>
    <t>STT_09091_YenLap</t>
  </si>
  <si>
    <t>STT_09094_VietXuan</t>
  </si>
  <si>
    <t>STT_09097_BoSao</t>
  </si>
  <si>
    <t>STT_09100_DaiDong</t>
  </si>
  <si>
    <t>STT_09103_TanTien</t>
  </si>
  <si>
    <t>STT_09106_LungHoa</t>
  </si>
  <si>
    <t>STT_09109_CaoDai</t>
  </si>
  <si>
    <t>STT_09112_ThoTang</t>
  </si>
  <si>
    <t>STT_09115_VinhSon</t>
  </si>
  <si>
    <t>STT_09118_BinhDuong</t>
  </si>
  <si>
    <t>STT_09124_TanPhu</t>
  </si>
  <si>
    <t>STT_09127_ThuongTrung</t>
  </si>
  <si>
    <t>STT_09130_VuDi</t>
  </si>
  <si>
    <t>STT_09133_LyNhan</t>
  </si>
  <si>
    <t>STT_09136_TuanChinh</t>
  </si>
  <si>
    <t>STT_09139_VanXuan</t>
  </si>
  <si>
    <t>STT_09142_TamPhuc</t>
  </si>
  <si>
    <t>STT_09145_TuTrung</t>
  </si>
  <si>
    <t>STT_09148_NguKien</t>
  </si>
  <si>
    <t>STT_09151_AnTuong</t>
  </si>
  <si>
    <t>STT_09154_VinhThinh</t>
  </si>
  <si>
    <t>STT_09157_PhuDa</t>
  </si>
  <si>
    <t>STT_09160_VinhNinh</t>
  </si>
  <si>
    <t>STT_19366_BenQuan</t>
  </si>
  <si>
    <t>STT_19369_VinhThai</t>
  </si>
  <si>
    <t>STT_19372_VinhTu</t>
  </si>
  <si>
    <t>STT_19375_VinhChap</t>
  </si>
  <si>
    <t>STT_19378_TrungNam</t>
  </si>
  <si>
    <t>STT_19384_KimThach</t>
  </si>
  <si>
    <t>STT_19387_VinhLong</t>
  </si>
  <si>
    <t>STT_19393_VinhKhe</t>
  </si>
  <si>
    <t>STT_19396_VinhHoa</t>
  </si>
  <si>
    <t>STT_19402_VinhThuy</t>
  </si>
  <si>
    <t>STT_19405_VinhLam</t>
  </si>
  <si>
    <t>STT_19408_HienThanh</t>
  </si>
  <si>
    <t>STT_19414_CuaTung</t>
  </si>
  <si>
    <t>STT_19417_VinhHa</t>
  </si>
  <si>
    <t>STT_19420_VinhSon</t>
  </si>
  <si>
    <t>STT_19423_VinhGiang</t>
  </si>
  <si>
    <t>STT_19426_VinhO</t>
  </si>
  <si>
    <t>STT_24541_CuEWi</t>
  </si>
  <si>
    <t>STT_24544_EaKtur</t>
  </si>
  <si>
    <t>STT_24547_EaTieu</t>
  </si>
  <si>
    <t>STT_24550_EaBHok</t>
  </si>
  <si>
    <t>STT_24553_EaHu</t>
  </si>
  <si>
    <t>STT_24561_DrayBhang</t>
  </si>
  <si>
    <t>STT_24562_HoaHiep</t>
  </si>
  <si>
    <t>STT_13894_RangDong</t>
  </si>
  <si>
    <t>STT_13900_DongThinh</t>
  </si>
  <si>
    <t>STT_13906_NghiaThai</t>
  </si>
  <si>
    <t>STT_13909_HoangNam</t>
  </si>
  <si>
    <t>STT_13912_NghiaChau</t>
  </si>
  <si>
    <t>STT_13915_NghiaTrung</t>
  </si>
  <si>
    <t>STT_13918_NghiaSon</t>
  </si>
  <si>
    <t>STT_13921_NghiaLac</t>
  </si>
  <si>
    <t>STT_13924_NghiaHong</t>
  </si>
  <si>
    <t>STT_13927_NghiaPhong</t>
  </si>
  <si>
    <t>STT_13930_NghiaPhu</t>
  </si>
  <si>
    <t>STT_13939_QuyNhat</t>
  </si>
  <si>
    <t>STT_13942_NghiaHung</t>
  </si>
  <si>
    <t>STT_13945_NghiaLam</t>
  </si>
  <si>
    <t>STT_13948_NghiaThanh</t>
  </si>
  <si>
    <t>STT_13951_PhucThang</t>
  </si>
  <si>
    <t>STT_13954_NghiaLoi</t>
  </si>
  <si>
    <t>STT_13957_NghiaHai</t>
  </si>
  <si>
    <t>STT_13963_NamDien</t>
  </si>
  <si>
    <t>STT_12475_AnKhe</t>
  </si>
  <si>
    <t>STT_12478_AnDong</t>
  </si>
  <si>
    <t>STT_12481_QuynhHoa</t>
  </si>
  <si>
    <t>STT_12484_QuynhLam</t>
  </si>
  <si>
    <t>STT_12487_QuynhTho</t>
  </si>
  <si>
    <t>STT_12490_AnHiep</t>
  </si>
  <si>
    <t>STT_12493_QuynhHoang</t>
  </si>
  <si>
    <t>STT_12496_QuynhGiao</t>
  </si>
  <si>
    <t>STT_12499_AnThai</t>
  </si>
  <si>
    <t>STT_12502_AnCau</t>
  </si>
  <si>
    <t>STT_12505_QuynhHong</t>
  </si>
  <si>
    <t>STT_12508_QuynhKhe</t>
  </si>
  <si>
    <t>STT_12511_QuynhMinh</t>
  </si>
  <si>
    <t>STT_12514_AnNinh</t>
  </si>
  <si>
    <t>STT_12517_QuynhNgoc</t>
  </si>
  <si>
    <t>STT_12520_QuynhHai</t>
  </si>
  <si>
    <t>STT_12523_AnBai</t>
  </si>
  <si>
    <t>STT_12526_AnAp</t>
  </si>
  <si>
    <t>STT_12529_QuynhHoi</t>
  </si>
  <si>
    <t>STT_12532_ChauSon</t>
  </si>
  <si>
    <t>STT_12535_QuynhMy</t>
  </si>
  <si>
    <t>STT_12538_AnQui</t>
  </si>
  <si>
    <t>STT_12541_AnThanh</t>
  </si>
  <si>
    <t>STT_12547_AnVu</t>
  </si>
  <si>
    <t>STT_12550_AnLe</t>
  </si>
  <si>
    <t>STT_12553_QuynhHung</t>
  </si>
  <si>
    <t>STT_12556_QuynhBao</t>
  </si>
  <si>
    <t>STT_12559_AnMy</t>
  </si>
  <si>
    <t>STT_12562_QuynhNguyen</t>
  </si>
  <si>
    <t>STT_12565_AnVinh</t>
  </si>
  <si>
    <t>STT_12568_QuynhXa</t>
  </si>
  <si>
    <t>STT_12571_AnDuc</t>
  </si>
  <si>
    <t>STT_12574_DongHai</t>
  </si>
  <si>
    <t>STT_12577_QuynhTrang</t>
  </si>
  <si>
    <t>STT_12580_AnTrang</t>
  </si>
  <si>
    <t>STT_12583_DongTien</t>
  </si>
  <si>
    <t>STT_12436_BoXuyen</t>
  </si>
  <si>
    <t>STT_12439_DeTham</t>
  </si>
  <si>
    <t>STT_12442_KyBa</t>
  </si>
  <si>
    <t>STT_12445_QuangTrung</t>
  </si>
  <si>
    <t>STT_12448_PhuKhanh</t>
  </si>
  <si>
    <t>STT_12451_TienPhong</t>
  </si>
  <si>
    <t>STT_12452_TranHungDao</t>
  </si>
  <si>
    <t>STT_12454_TranLam</t>
  </si>
  <si>
    <t>STT_12457_DongHoa</t>
  </si>
  <si>
    <t>STT_12460_HoangDieu</t>
  </si>
  <si>
    <t>STT_12463_PhuXuan</t>
  </si>
  <si>
    <t>STT_12466_VuPhuc</t>
  </si>
  <si>
    <t>STT_12469_VuChinh</t>
  </si>
  <si>
    <t>STT_12817_DongMy</t>
  </si>
  <si>
    <t>STT_12820_DongTho</t>
  </si>
  <si>
    <t>STT_13084_VuDong</t>
  </si>
  <si>
    <t>STT_13108_VuLac</t>
  </si>
  <si>
    <t>STT_13225_TanBinh</t>
  </si>
  <si>
    <t>STT_22084_DaLoc</t>
  </si>
  <si>
    <t>STT_22087_PhuMo</t>
  </si>
  <si>
    <t>STT_22090_XuanLanh</t>
  </si>
  <si>
    <t>STT_22093_XuanLong</t>
  </si>
  <si>
    <t>STT_22096_XuanQuang1</t>
  </si>
  <si>
    <t>STT_22099_XuanSonBac</t>
  </si>
  <si>
    <t>STT_22102_XuanQuang2</t>
  </si>
  <si>
    <t>STT_22105_XuanSonNam</t>
  </si>
  <si>
    <t>STT_22108_XuanQuang3</t>
  </si>
  <si>
    <t>STT_22111_XuanPhuoc</t>
  </si>
  <si>
    <t>STT_18235_QuangVinh</t>
  </si>
  <si>
    <t>STT_18241_TungChau</t>
  </si>
  <si>
    <t>STT_18244_TruongSon</t>
  </si>
  <si>
    <t>STT_18247_LienMinh</t>
  </si>
  <si>
    <t>STT_18253_YenHo</t>
  </si>
  <si>
    <t>STT_18259_Tungnh</t>
  </si>
  <si>
    <t>STT_18262_BuiLaNhan</t>
  </si>
  <si>
    <t>STT_18274_ThanhBinhThinh</t>
  </si>
  <si>
    <t>STT_18277_LamTrungThuy</t>
  </si>
  <si>
    <t>STT_18280_HoaLac</t>
  </si>
  <si>
    <t>STT_18283_TanDan</t>
  </si>
  <si>
    <t>STT_18298_AnDung</t>
  </si>
  <si>
    <t>STT_18304_DucDong</t>
  </si>
  <si>
    <t>STT_18307_DucLang</t>
  </si>
  <si>
    <t>STT_18310_TanHuong</t>
  </si>
  <si>
    <t>STT_22972_PhanRiCua</t>
  </si>
  <si>
    <t>STT_22975_PhanDung</t>
  </si>
  <si>
    <t>STT_22978_PhongPhu</t>
  </si>
  <si>
    <t>STT_22981_VinhHao</t>
  </si>
  <si>
    <t>STT_22984_VinhTan</t>
  </si>
  <si>
    <t>STT_22987_PhuLac</t>
  </si>
  <si>
    <t>STT_22990_PhuocThe</t>
  </si>
  <si>
    <t>STT_22993_HoaMinh</t>
  </si>
  <si>
    <t>STT_22996_ChiCong</t>
  </si>
  <si>
    <t>STT_22999_BinhThanh</t>
  </si>
  <si>
    <t>STT_14029_PhuongDinh</t>
  </si>
  <si>
    <t>STT_14032_TrucChinh</t>
  </si>
  <si>
    <t>STT_14035_TrungDong</t>
  </si>
  <si>
    <t>STT_14038_LiemHai</t>
  </si>
  <si>
    <t>STT_14041_TrucTuan</t>
  </si>
  <si>
    <t>STT_14044_VietHung</t>
  </si>
  <si>
    <t>STT_14047_TrucDao</t>
  </si>
  <si>
    <t>STT_14050_TrucHung</t>
  </si>
  <si>
    <t>STT_14053_TrucNoi</t>
  </si>
  <si>
    <t>STT_14056_CatThanh</t>
  </si>
  <si>
    <t>STT_14059_TrucThanh</t>
  </si>
  <si>
    <t>STT_14062_TrucKhang</t>
  </si>
  <si>
    <t>STT_14065_TrucThuan</t>
  </si>
  <si>
    <t>STT_14068_TrucMy</t>
  </si>
  <si>
    <t>STT_14071_TrucDai</t>
  </si>
  <si>
    <t>STT_14074_TrucCuong</t>
  </si>
  <si>
    <t>STT_14077_NinhCuong</t>
  </si>
  <si>
    <t>STT_14080_TrucThai</t>
  </si>
  <si>
    <t>STT_14083_TrucHung</t>
  </si>
  <si>
    <t>STT_14086_TrucThang</t>
  </si>
  <si>
    <t>STT_14467_GiaHoa</t>
  </si>
  <si>
    <t>STT_14470_GiaHung</t>
  </si>
  <si>
    <t>STT_14473_LienSon</t>
  </si>
  <si>
    <t>STT_14476_GiaThanh</t>
  </si>
  <si>
    <t>STT_14479_GiaVan</t>
  </si>
  <si>
    <t>STT_14482_GiaPhu</t>
  </si>
  <si>
    <t>STT_14485_GiaXuan</t>
  </si>
  <si>
    <t>STT_14488_GiaLap</t>
  </si>
  <si>
    <t>STT_14491_GiaVuong</t>
  </si>
  <si>
    <t>STT_14494_GiaTran</t>
  </si>
  <si>
    <t>STT_14497_GiaThinh</t>
  </si>
  <si>
    <t>STT_14500_GiaPhuong</t>
  </si>
  <si>
    <t>STT_14503_GiaTan</t>
  </si>
  <si>
    <t>STT_14506_GiaThang</t>
  </si>
  <si>
    <t>STT_14509_GiaTrung</t>
  </si>
  <si>
    <t>STT_14512_GiaMinh</t>
  </si>
  <si>
    <t>STT_14515_GiaLac</t>
  </si>
  <si>
    <t>STT_14518_GiaTien</t>
  </si>
  <si>
    <t>STT_14521_GiaSinh</t>
  </si>
  <si>
    <t>STT_14524_GiaPhong</t>
  </si>
  <si>
    <t>STT_02242_XuanLap</t>
  </si>
  <si>
    <t>STT_02251_KhuonHa</t>
  </si>
  <si>
    <t>STT_02266_LangCan</t>
  </si>
  <si>
    <t>STT_02269_ThuongLam</t>
  </si>
  <si>
    <t>STT_02290_BinhAn</t>
  </si>
  <si>
    <t>STT_02293_HongQuang</t>
  </si>
  <si>
    <t>STT_02296_ThoBinh</t>
  </si>
  <si>
    <t>STT_02299_PhucSon</t>
  </si>
  <si>
    <t>STT_02302_MinhQuang</t>
  </si>
  <si>
    <t>STT_14848_TamChung</t>
  </si>
  <si>
    <t>STT_14854_MuongLy</t>
  </si>
  <si>
    <t>STT_14857_TrungLy</t>
  </si>
  <si>
    <t>STT_14860_QuangChieu</t>
  </si>
  <si>
    <t>STT_14863_PuNhi</t>
  </si>
  <si>
    <t>STT_14864_NhiSon</t>
  </si>
  <si>
    <t>STT_14866_MuongChanh</t>
  </si>
  <si>
    <t>STT_05134_SuoiHoa</t>
  </si>
  <si>
    <t>STT_05137_PhuVinh</t>
  </si>
  <si>
    <t>STT_05140_PhuCuong</t>
  </si>
  <si>
    <t>STT_05143_MyHoa</t>
  </si>
  <si>
    <t>STT_05152_QuyetChien</t>
  </si>
  <si>
    <t>STT_05158_PhongPhu</t>
  </si>
  <si>
    <t>STT_05164_TuNe</t>
  </si>
  <si>
    <t>STT_05167_ThanhHoi</t>
  </si>
  <si>
    <t>STT_05170_NgocMy</t>
  </si>
  <si>
    <t>STT_05173_DongLai</t>
  </si>
  <si>
    <t>STT_05176_VanSon</t>
  </si>
  <si>
    <t>STT_05182_NhanMy</t>
  </si>
  <si>
    <t>STT_05191_LoSon</t>
  </si>
  <si>
    <t>STT_05194_NgoLuong</t>
  </si>
  <si>
    <t>STT_05197_GiaMo</t>
  </si>
  <si>
    <t>STT_10816_HongLac</t>
  </si>
  <si>
    <t>STT_10819_VietHong</t>
  </si>
  <si>
    <t>STT_10825_TanViet</t>
  </si>
  <si>
    <t>STT_10828_CamChe</t>
  </si>
  <si>
    <t>STT_10831_ThanhAn</t>
  </si>
  <si>
    <t>STT_10834_ThanhLang</t>
  </si>
  <si>
    <t>STT_10840_TanAn</t>
  </si>
  <si>
    <t>STT_10843_LienMac</t>
  </si>
  <si>
    <t>STT_10846_ThanhHai</t>
  </si>
  <si>
    <t>STT_10849_ThanhKhe</t>
  </si>
  <si>
    <t>STT_10852_ThanhXa</t>
  </si>
  <si>
    <t>STT_10855_ThanhXuan</t>
  </si>
  <si>
    <t>STT_10861_ThanhThuy</t>
  </si>
  <si>
    <t>STT_10864_AnPhuong</t>
  </si>
  <si>
    <t>STT_10867_ThanhSon</t>
  </si>
  <si>
    <t>STT_10876_ThanhQuang</t>
  </si>
  <si>
    <t>STT_10879_ThanhHong</t>
  </si>
  <si>
    <t>STT_10882_ThanhCuong</t>
  </si>
  <si>
    <t>STT_10885_VinhLap</t>
  </si>
  <si>
    <t>STT_18904_DanHoa</t>
  </si>
  <si>
    <t>STT_18907_TrongHoa</t>
  </si>
  <si>
    <t>STT_18910_HoaPhuc</t>
  </si>
  <si>
    <t>STT_18913_HongHoa</t>
  </si>
  <si>
    <t>STT_18916_HoaThanh</t>
  </si>
  <si>
    <t>STT_18919_HoaTien</t>
  </si>
  <si>
    <t>STT_18922_HoaHop</t>
  </si>
  <si>
    <t>STT_18925_XuanHoa</t>
  </si>
  <si>
    <t>STT_18928_YenHoa</t>
  </si>
  <si>
    <t>STT_18931_MinhHoa</t>
  </si>
  <si>
    <t>STT_18934_TanHoa</t>
  </si>
  <si>
    <t>STT_18937_HoaSon</t>
  </si>
  <si>
    <t>STT_18943_TrungHoa</t>
  </si>
  <si>
    <t>STT_18946_ThuongHoa</t>
  </si>
  <si>
    <t>STT_01891_BanhTrach</t>
  </si>
  <si>
    <t>STT_01894_PhucLoc</t>
  </si>
  <si>
    <t>STT_01897_HaHieu</t>
  </si>
  <si>
    <t>STT_01900_CaoThuong</t>
  </si>
  <si>
    <t>STT_01906_KhangNinh</t>
  </si>
  <si>
    <t>STT_01909_NamMau</t>
  </si>
  <si>
    <t>STT_01912_ThuongGiao</t>
  </si>
  <si>
    <t>STT_01915_DiaLinh</t>
  </si>
  <si>
    <t>STT_01918_YenDuong</t>
  </si>
  <si>
    <t>STT_01921_ChuHuong</t>
  </si>
  <si>
    <t>STT_01924_QuangKhe</t>
  </si>
  <si>
    <t>STT_01927_MyPhuong</t>
  </si>
  <si>
    <t>STT_01930_HoangTri</t>
  </si>
  <si>
    <t>STT_01933_DongPhuc</t>
  </si>
  <si>
    <t>STT_02305_TrungHa</t>
  </si>
  <si>
    <t>STT_02308_TanMy</t>
  </si>
  <si>
    <t>STT_02311_HaLang</t>
  </si>
  <si>
    <t>STT_02314_HungMy</t>
  </si>
  <si>
    <t>STT_02317_YenLap</t>
  </si>
  <si>
    <t>STT_02320_TanAn</t>
  </si>
  <si>
    <t>STT_02323_BinhPhu</t>
  </si>
  <si>
    <t>STT_02326_XuanQuang</t>
  </si>
  <si>
    <t>STT_02329_NgocHoi</t>
  </si>
  <si>
    <t>STT_02332_PhuBinh</t>
  </si>
  <si>
    <t>STT_02335_HoaPhu</t>
  </si>
  <si>
    <t>STT_02338_PhucThinh</t>
  </si>
  <si>
    <t>STT_02341_KienDai</t>
  </si>
  <si>
    <t>STT_02344_TanThinh</t>
  </si>
  <si>
    <t>STT_02347_TrungHoa</t>
  </si>
  <si>
    <t>STT_02350_KimBinh</t>
  </si>
  <si>
    <t>STT_02353_HoaAn</t>
  </si>
  <si>
    <t>STT_02356_VinhQuang</t>
  </si>
  <si>
    <t>STT_02359_TriPhu</t>
  </si>
  <si>
    <t>STT_02362_NhanLy</t>
  </si>
  <si>
    <t>STT_02365_YenNguyen</t>
  </si>
  <si>
    <t>STT_02368_LinhPhu</t>
  </si>
  <si>
    <t>STT_02371_BinhNhan</t>
  </si>
  <si>
    <t>STT_28039_LongThanh</t>
  </si>
  <si>
    <t>STT_28042_TanThanh</t>
  </si>
  <si>
    <t>STT_28045_LongThuan</t>
  </si>
  <si>
    <t>STT_28048_MyLac</t>
  </si>
  <si>
    <t>STT_28051_MyThanh</t>
  </si>
  <si>
    <t>STT_28054_BinhAn</t>
  </si>
  <si>
    <t>STT_28057_NhiThanh</t>
  </si>
  <si>
    <t>STT_28060_MyAn</t>
  </si>
  <si>
    <t>STT_28063_BinhThanh</t>
  </si>
  <si>
    <t>STT_28066_MyPhu</t>
  </si>
  <si>
    <t>STT_28072_TanLong</t>
  </si>
  <si>
    <t>STT_18136_TaySon</t>
  </si>
  <si>
    <t>STT_18139_SonHong</t>
  </si>
  <si>
    <t>STT_18142_SonTien</t>
  </si>
  <si>
    <t>STT_18145_SonLam</t>
  </si>
  <si>
    <t>STT_18148_SonLe</t>
  </si>
  <si>
    <t>STT_18157_SonGiang</t>
  </si>
  <si>
    <t>STT_18160_SonLinh</t>
  </si>
  <si>
    <t>STT_18163_AnHoaThinh</t>
  </si>
  <si>
    <t>STT_18172_SonTay</t>
  </si>
  <si>
    <t>STT_18175_SonNinh</t>
  </si>
  <si>
    <t>STT_18178_SonChau</t>
  </si>
  <si>
    <t>STT_18181_TanMyHa</t>
  </si>
  <si>
    <t>STT_18184_QuangDiem</t>
  </si>
  <si>
    <t>STT_18187_SonTrung</t>
  </si>
  <si>
    <t>STT_18190_SonBang</t>
  </si>
  <si>
    <t>STT_18193_SonBinh</t>
  </si>
  <si>
    <t>STT_18196_SonKim1</t>
  </si>
  <si>
    <t>STT_18199_SonKim2</t>
  </si>
  <si>
    <t>STT_18202_SonTra</t>
  </si>
  <si>
    <t>STT_18205_SonLong</t>
  </si>
  <si>
    <t>STT_18211_KimHoa</t>
  </si>
  <si>
    <t>STT_18214_SonHam</t>
  </si>
  <si>
    <t>STT_18217_SonPhu</t>
  </si>
  <si>
    <t>STT_18223_SonTruong</t>
  </si>
  <si>
    <t>STT_24376_EaKnop</t>
  </si>
  <si>
    <t>STT_24379_EaSo</t>
  </si>
  <si>
    <t>STT_24380_EaSar</t>
  </si>
  <si>
    <t>STT_24382_XuanPhu</t>
  </si>
  <si>
    <t>STT_24385_CuHue</t>
  </si>
  <si>
    <t>STT_24388_EaTih</t>
  </si>
  <si>
    <t>STT_24391_EaDar</t>
  </si>
  <si>
    <t>STT_24394_EaKmut</t>
  </si>
  <si>
    <t>STT_24397_CuNi</t>
  </si>
  <si>
    <t>STT_24400_EaPal</t>
  </si>
  <si>
    <t>STT_24401_CuProng</t>
  </si>
  <si>
    <t>STT_24403_EaO</t>
  </si>
  <si>
    <t>STT_24404_CuELang</t>
  </si>
  <si>
    <t>STT_24406_CuBong</t>
  </si>
  <si>
    <t>STT_24409_CuJang</t>
  </si>
  <si>
    <t>STT_28987_PhongNam</t>
  </si>
  <si>
    <t>STT_28993_MyThanh</t>
  </si>
  <si>
    <t>STT_28996_ChauHoa</t>
  </si>
  <si>
    <t>STT_28999_LuongHoa</t>
  </si>
  <si>
    <t>STT_29002_LuongQuoi</t>
  </si>
  <si>
    <t>STT_29005_LuongPhu</t>
  </si>
  <si>
    <t>STT_29008_ChauBinh</t>
  </si>
  <si>
    <t>STT_29011_ThuanDien</t>
  </si>
  <si>
    <t>STT_29014_SonPhu</t>
  </si>
  <si>
    <t>STT_29017_BinhHoa</t>
  </si>
  <si>
    <t>STT_29020_PhuocLong</t>
  </si>
  <si>
    <t>STT_29023_HungPhong</t>
  </si>
  <si>
    <t>STT_29026_LongMy</t>
  </si>
  <si>
    <t>STT_29029_TanHao</t>
  </si>
  <si>
    <t>STT_29032_BinhThanh</t>
  </si>
  <si>
    <t>STT_29035_TanThanh</t>
  </si>
  <si>
    <t>STT_29038_TanLoiThanh</t>
  </si>
  <si>
    <t>STT_29041_ThanhPhuDong</t>
  </si>
  <si>
    <t>STT_29044_HungNhuong</t>
  </si>
  <si>
    <t>STT_29047_HungLe</t>
  </si>
  <si>
    <t>STT_06328_LongDong</t>
  </si>
  <si>
    <t>STT_06331_VanThuy</t>
  </si>
  <si>
    <t>STT_06337_Dongy</t>
  </si>
  <si>
    <t>STT_06340_TanTri</t>
  </si>
  <si>
    <t>STT_06343_BacQuynh</t>
  </si>
  <si>
    <t>STT_06349_HungVu</t>
  </si>
  <si>
    <t>STT_06352_TanLap</t>
  </si>
  <si>
    <t>STT_06355_VuSon</t>
  </si>
  <si>
    <t>STT_06358_ChieuVu</t>
  </si>
  <si>
    <t>STT_06361_TanHuong</t>
  </si>
  <si>
    <t>STT_06364_ChienThang</t>
  </si>
  <si>
    <t>STT_06367_VuLang</t>
  </si>
  <si>
    <t>STT_06370_TranYen</t>
  </si>
  <si>
    <t>STT_06373_VuLe</t>
  </si>
  <si>
    <t>STT_06376_NhatHoa</t>
  </si>
  <si>
    <t>STT_06379_TanThanh</t>
  </si>
  <si>
    <t>STT_06382_NhatTien</t>
  </si>
  <si>
    <t>STT_29955_AnThanh</t>
  </si>
  <si>
    <t>STT_29959_BinhThanh</t>
  </si>
  <si>
    <t>STT_29965_TanHoi</t>
  </si>
  <si>
    <t>STT_29978_AnLac</t>
  </si>
  <si>
    <t>STT_29986_AnBinhB</t>
  </si>
  <si>
    <t>STT_29989_AnBinhA</t>
  </si>
  <si>
    <t>STT_26074_XuanThanh</t>
  </si>
  <si>
    <t>STT_26077_XuanBinh</t>
  </si>
  <si>
    <t>STT_26080_XuanAn</t>
  </si>
  <si>
    <t>STT_26083_XuanHoa</t>
  </si>
  <si>
    <t>STT_26086_PhuBinh</t>
  </si>
  <si>
    <t>STT_26089_BinhLoc</t>
  </si>
  <si>
    <t>STT_26092_BaoQuang</t>
  </si>
  <si>
    <t>STT_26095_SuoiTre</t>
  </si>
  <si>
    <t>STT_26098_BaoVinh</t>
  </si>
  <si>
    <t>STT_26101_XuanLap</t>
  </si>
  <si>
    <t>STT_26104_BauSen</t>
  </si>
  <si>
    <t>STT_26107_BauTram</t>
  </si>
  <si>
    <t>STT_26110_XuanTan</t>
  </si>
  <si>
    <t>STT_26113_HangGon</t>
  </si>
  <si>
    <t>STT_29053_TamHiep</t>
  </si>
  <si>
    <t>STT_29056_LongDinh</t>
  </si>
  <si>
    <t>STT_29059_LongHoa</t>
  </si>
  <si>
    <t>STT_29062_PhuThuan</t>
  </si>
  <si>
    <t>STT_29065_VangQuoiTay</t>
  </si>
  <si>
    <t>STT_29068_VangQuoiDong</t>
  </si>
  <si>
    <t>STT_29071_ChauHung</t>
  </si>
  <si>
    <t>STT_29074_PhuVang</t>
  </si>
  <si>
    <t>STT_29077_LocThuan</t>
  </si>
  <si>
    <t>STT_29080_DinhTrung</t>
  </si>
  <si>
    <t>STT_29083_ThoiLai</t>
  </si>
  <si>
    <t>STT_29086_BinhThoi</t>
  </si>
  <si>
    <t>STT_29089_PhuLong</t>
  </si>
  <si>
    <t>STT_29092_BinhThang</t>
  </si>
  <si>
    <t>STT_29095_ThanhTri</t>
  </si>
  <si>
    <t>STT_29098_DaiHoaLoc</t>
  </si>
  <si>
    <t>STT_29101_ThuaDuc</t>
  </si>
  <si>
    <t>STT_29104_ThanhPhuoc</t>
  </si>
  <si>
    <t>STT_29107_ThoiThuan</t>
  </si>
  <si>
    <t>STT_24556_DraySap</t>
  </si>
  <si>
    <t>STT_24559_EaNa</t>
  </si>
  <si>
    <t>STT_24565_EaBong</t>
  </si>
  <si>
    <t>STT_24568_BangADrenh</t>
  </si>
  <si>
    <t>STT_24571_DurKMal</t>
  </si>
  <si>
    <t>STT_24574_BinhHoa</t>
  </si>
  <si>
    <t>STT_24577_QuangDien</t>
  </si>
  <si>
    <t>STT_27046_05</t>
  </si>
  <si>
    <t>STT_27049_09</t>
  </si>
  <si>
    <t>STT_27052_07</t>
  </si>
  <si>
    <t>STT_27055_03</t>
  </si>
  <si>
    <t>STT_27058_01</t>
  </si>
  <si>
    <t>STT_27061_02</t>
  </si>
  <si>
    <t>STT_27064_08</t>
  </si>
  <si>
    <t>STT_27067_15</t>
  </si>
  <si>
    <t>STT_27070_10</t>
  </si>
  <si>
    <t>STT_27073_11</t>
  </si>
  <si>
    <t>STT_27076_17</t>
  </si>
  <si>
    <t>STT_27085_13</t>
  </si>
  <si>
    <t>STT_21013_TranPhu</t>
  </si>
  <si>
    <t>STT_21016_QuangPhu</t>
  </si>
  <si>
    <t>STT_21019_NghiaChanh</t>
  </si>
  <si>
    <t>STT_21022_TranHungDao</t>
  </si>
  <si>
    <t>STT_21025_NguyenNghiem</t>
  </si>
  <si>
    <t>STT_21028_NghiaLo</t>
  </si>
  <si>
    <t>STT_21031_ChanhLo</t>
  </si>
  <si>
    <t>STT_21034_NghiaDung</t>
  </si>
  <si>
    <t>STT_21037_NghiaDong</t>
  </si>
  <si>
    <t>STT_21172_TruongQuangTrong</t>
  </si>
  <si>
    <t>STT_21187_TinhHoa</t>
  </si>
  <si>
    <t>STT_21190_TinhKy</t>
  </si>
  <si>
    <t>STT_21199_TinhThien</t>
  </si>
  <si>
    <t>STT_21202_TinhAnDong</t>
  </si>
  <si>
    <t>STT_21208_TinhChau</t>
  </si>
  <si>
    <t>STT_21211_TinhKhe</t>
  </si>
  <si>
    <t>STT_21214_TinhLong</t>
  </si>
  <si>
    <t>STT_21223_TinhAnTay</t>
  </si>
  <si>
    <t>STT_21232_TinhAn</t>
  </si>
  <si>
    <t>STT_21253_NghiaPhu</t>
  </si>
  <si>
    <t>STT_21256_NghiaHa</t>
  </si>
  <si>
    <t>STT_21262_NghiaAn</t>
  </si>
  <si>
    <t>STT_11584_LeThien</t>
  </si>
  <si>
    <t>STT_11587_DaiBan</t>
  </si>
  <si>
    <t>STT_11590_AnHoa</t>
  </si>
  <si>
    <t>STT_11593_HongPhong</t>
  </si>
  <si>
    <t>STT_11596_TanTien</t>
  </si>
  <si>
    <t>STT_11599_AnHung</t>
  </si>
  <si>
    <t>STT_11602_AnHong</t>
  </si>
  <si>
    <t>STT_11605_BacSon</t>
  </si>
  <si>
    <t>STT_11608_NamSon</t>
  </si>
  <si>
    <t>STT_11611_LeLoi</t>
  </si>
  <si>
    <t>STT_11614_DangCuong</t>
  </si>
  <si>
    <t>STT_11617_DongThai</t>
  </si>
  <si>
    <t>STT_11620_QuocTuan</t>
  </si>
  <si>
    <t>STT_11623_AnDong</t>
  </si>
  <si>
    <t>STT_11626_HongThai</t>
  </si>
  <si>
    <t>STT_21238_SongVe</t>
  </si>
  <si>
    <t>STT_21241_NghiaLam</t>
  </si>
  <si>
    <t>STT_21244_NghiaThang</t>
  </si>
  <si>
    <t>STT_21247_NghiaThuan</t>
  </si>
  <si>
    <t>STT_21250_NghiaKy</t>
  </si>
  <si>
    <t>STT_21259_NghiaSon</t>
  </si>
  <si>
    <t>STT_21268_NghiaHoa</t>
  </si>
  <si>
    <t>STT_21271_NghiaDien</t>
  </si>
  <si>
    <t>STT_21274_NghiaThuong</t>
  </si>
  <si>
    <t>STT_21277_NghiaTrung</t>
  </si>
  <si>
    <t>STT_21280_NghiaHiep</t>
  </si>
  <si>
    <t>STT_21283_NghiaPhuong</t>
  </si>
  <si>
    <t>STT_21286_NghiaMy</t>
  </si>
  <si>
    <t>STT_16720_NghiTan</t>
  </si>
  <si>
    <t>STT_16723_ThuThuy</t>
  </si>
  <si>
    <t>STT_16726_NghiHoa</t>
  </si>
  <si>
    <t>STT_16729_NghiHai</t>
  </si>
  <si>
    <t>STT_16732_NghiHuong</t>
  </si>
  <si>
    <t>STT_16735_NghiThu</t>
  </si>
  <si>
    <t>STT_07891_VanCo</t>
  </si>
  <si>
    <t>STT_07894_NongTrang</t>
  </si>
  <si>
    <t>STT_07897_TanDan</t>
  </si>
  <si>
    <t>STT_07900_GiaCam</t>
  </si>
  <si>
    <t>STT_07903_TienCat</t>
  </si>
  <si>
    <t>STT_07906_ThoSon</t>
  </si>
  <si>
    <t>STT_07909_ThanhMieu</t>
  </si>
  <si>
    <t>STT_07912_BachHac</t>
  </si>
  <si>
    <t>STT_07915_BenGot</t>
  </si>
  <si>
    <t>STT_07918_VanPhu</t>
  </si>
  <si>
    <t>STT_07921_PhuongLau</t>
  </si>
  <si>
    <t>STT_07924_ThuyVan</t>
  </si>
  <si>
    <t>STT_07927_MinhPhuong</t>
  </si>
  <si>
    <t>STT_07930_TrungVuong</t>
  </si>
  <si>
    <t>STT_07933_MinhNong</t>
  </si>
  <si>
    <t>STT_07936_SongLo</t>
  </si>
  <si>
    <t>STT_08281_KimDuc</t>
  </si>
  <si>
    <t>STT_08287_HungLo</t>
  </si>
  <si>
    <t>STT_08503_HyCuong</t>
  </si>
  <si>
    <t>STT_08506_ChuHoa</t>
  </si>
  <si>
    <t>STT_08515_ThanhDinh</t>
  </si>
  <si>
    <t>STT_20230_ThuanPhuoc</t>
  </si>
  <si>
    <t>STT_20233_ThachThang</t>
  </si>
  <si>
    <t>STT_20236_HaiChauI</t>
  </si>
  <si>
    <t>STT_20239_HaiChauII</t>
  </si>
  <si>
    <t>STT_20242_PhuocNinh</t>
  </si>
  <si>
    <t>STT_20245_HoaThuanTay</t>
  </si>
  <si>
    <t>STT_20246_HoaThuanDong</t>
  </si>
  <si>
    <t>STT_20248_NamDuong</t>
  </si>
  <si>
    <t>STT_20251_BinhHien</t>
  </si>
  <si>
    <t>STT_20254_BinhThuan</t>
  </si>
  <si>
    <t>STT_20257_HoaCuongBac</t>
  </si>
  <si>
    <t>STT_20258_HoaCuongNam</t>
  </si>
  <si>
    <t>STT_31501_7</t>
  </si>
  <si>
    <t>STT_31504_8</t>
  </si>
  <si>
    <t>STT_31507_6</t>
  </si>
  <si>
    <t>STT_31510_2</t>
  </si>
  <si>
    <t>STT_31516_4</t>
  </si>
  <si>
    <t>STT_31519_3</t>
  </si>
  <si>
    <t>STT_31522_1</t>
  </si>
  <si>
    <t>STT_31525_10</t>
  </si>
  <si>
    <t>STT_14530_NinhGiang</t>
  </si>
  <si>
    <t>STT_14533_TruongYen</t>
  </si>
  <si>
    <t>STT_14536_NinhKhang</t>
  </si>
  <si>
    <t>STT_14539_NinhMy</t>
  </si>
  <si>
    <t>STT_14542_NinhHoa</t>
  </si>
  <si>
    <t>STT_14545_NinhXuan</t>
  </si>
  <si>
    <t>STT_14548_NinhHai</t>
  </si>
  <si>
    <t>STT_14551_NinhThang</t>
  </si>
  <si>
    <t>STT_14554_NinhVan</t>
  </si>
  <si>
    <t>STT_14557_NinhAn</t>
  </si>
  <si>
    <t>STT_04228_PungBanh</t>
  </si>
  <si>
    <t>STT_04231_SopCop</t>
  </si>
  <si>
    <t>STT_04234_DomCang</t>
  </si>
  <si>
    <t>STT_04237_NamLanh</t>
  </si>
  <si>
    <t>STT_04240_MuongLeo</t>
  </si>
  <si>
    <t>STT_04243_MuongVa</t>
  </si>
  <si>
    <t>STT_04246_MuongLan</t>
  </si>
  <si>
    <t>STT_23275_LongHai</t>
  </si>
  <si>
    <t>STT_23278_TamThanh</t>
  </si>
  <si>
    <t>STT_25129_AnNhon</t>
  </si>
  <si>
    <t>STT_25132_QuocOai</t>
  </si>
  <si>
    <t>STT_25135_MyDuc</t>
  </si>
  <si>
    <t>STT_25138_QuangTri</t>
  </si>
  <si>
    <t>STT_25141_DaLay</t>
  </si>
  <si>
    <t>STT_25147_TrieuHai</t>
  </si>
  <si>
    <t>STT_25153_DaKho</t>
  </si>
  <si>
    <t>STT_25156_DaPal</t>
  </si>
  <si>
    <t>STT_26428_XuanBac</t>
  </si>
  <si>
    <t>STT_26431_SuoiCao</t>
  </si>
  <si>
    <t>STT_26434_XuanThanh</t>
  </si>
  <si>
    <t>STT_26437_XuanTho</t>
  </si>
  <si>
    <t>STT_26440_XuanTruong</t>
  </si>
  <si>
    <t>STT_26443_XuanHoa</t>
  </si>
  <si>
    <t>STT_26446_XuanHung</t>
  </si>
  <si>
    <t>STT_26449_XuanTam</t>
  </si>
  <si>
    <t>STT_26452_SuoiCat</t>
  </si>
  <si>
    <t>STT_26455_XuanHiep</t>
  </si>
  <si>
    <t>STT_26458_XuanPhu</t>
  </si>
  <si>
    <t>STT_26461_XuanDinh</t>
  </si>
  <si>
    <t>STT_26464_BaoHoa</t>
  </si>
  <si>
    <t>STT_26467_LangMinh</t>
  </si>
  <si>
    <t>STT_25633_HiepTan</t>
  </si>
  <si>
    <t>STT_25636_LongThanhBac</t>
  </si>
  <si>
    <t>STT_25639_TruongHoa</t>
  </si>
  <si>
    <t>STT_25642_TruongDong</t>
  </si>
  <si>
    <t>STT_25645_LongThanhTrung</t>
  </si>
  <si>
    <t>STT_25648_TruongTay</t>
  </si>
  <si>
    <t>STT_25651_LongThanhNam</t>
  </si>
  <si>
    <t>STT_03259_PhinhSang</t>
  </si>
  <si>
    <t>STT_03260_RangDong</t>
  </si>
  <si>
    <t>STT_03262_MunChung</t>
  </si>
  <si>
    <t>STT_03263_NaTong</t>
  </si>
  <si>
    <t>STT_03265_TaMa</t>
  </si>
  <si>
    <t>STT_03268_MuongMun</t>
  </si>
  <si>
    <t>STT_03269_PuXi</t>
  </si>
  <si>
    <t>STT_03271_PuNhung</t>
  </si>
  <si>
    <t>STT_03274_QuaiNua</t>
  </si>
  <si>
    <t>STT_03277_MuongThin</t>
  </si>
  <si>
    <t>STT_03280_ToaTinh</t>
  </si>
  <si>
    <t>STT_03283_NaSay</t>
  </si>
  <si>
    <t>STT_03284_MuongKhong</t>
  </si>
  <si>
    <t>STT_03289_QuaiCang</t>
  </si>
  <si>
    <t>STT_03295_QuaiTo</t>
  </si>
  <si>
    <t>STT_03298_ChiengSinh</t>
  </si>
  <si>
    <t>STT_03299_ChiengDong</t>
  </si>
  <si>
    <t>STT_03304_TenhPhong</t>
  </si>
  <si>
    <t>STT_25217_LongThuy</t>
  </si>
  <si>
    <t>STT_25219_PhuocBinh</t>
  </si>
  <si>
    <t>STT_25220_LongPhuoc</t>
  </si>
  <si>
    <t>STT_25237_SonGiang</t>
  </si>
  <si>
    <t>STT_25245_LongGiang</t>
  </si>
  <si>
    <t>STT_25249_PhuocTin</t>
  </si>
  <si>
    <t>STT_29500_DonChau</t>
  </si>
  <si>
    <t>STT_29513_LongThanh</t>
  </si>
  <si>
    <t>STT_29521_LongKhanh</t>
  </si>
  <si>
    <t>STT_29530_NguLac</t>
  </si>
  <si>
    <t>STT_29533_LongVinh</t>
  </si>
  <si>
    <t>STT_29536_DongHai</t>
  </si>
  <si>
    <t>STT_29771_ThanhPhuoc</t>
  </si>
  <si>
    <t>STT_29806_ThuanAn</t>
  </si>
  <si>
    <t>STT_29809_DongThanh</t>
  </si>
  <si>
    <t>STT_29812_DongBinh</t>
  </si>
  <si>
    <t>STT_29813_DongThuan</t>
  </si>
  <si>
    <t>STT_29815_MyHoa</t>
  </si>
  <si>
    <t>STT_29818_DongThanh</t>
  </si>
  <si>
    <t>STT_19684_HaiAn</t>
  </si>
  <si>
    <t>STT_19687_HaiBa</t>
  </si>
  <si>
    <t>STT_19693_HaiQuy</t>
  </si>
  <si>
    <t>STT_19696_HaiQue</t>
  </si>
  <si>
    <t>STT_19699_HaiHung</t>
  </si>
  <si>
    <t>STT_19702_HaiPhu</t>
  </si>
  <si>
    <t>STT_19708_HaiThuong</t>
  </si>
  <si>
    <t>STT_19711_HaiDuong</t>
  </si>
  <si>
    <t>STT_19714_HaiDinh</t>
  </si>
  <si>
    <t>STT_19717_HaiLam</t>
  </si>
  <si>
    <t>STT_19726_HaiPhong</t>
  </si>
  <si>
    <t>STT_19729_HaiTruong</t>
  </si>
  <si>
    <t>STT_19735_HaiSon</t>
  </si>
  <si>
    <t>STT_19738_HaiChanh</t>
  </si>
  <si>
    <t>STT_19741_HaiKhe</t>
  </si>
  <si>
    <t>STT_06616_NTThaiBinh</t>
  </si>
  <si>
    <t>STT_06619_BacXa</t>
  </si>
  <si>
    <t>STT_06622_BinhXa</t>
  </si>
  <si>
    <t>STT_06625_KienMoc</t>
  </si>
  <si>
    <t>STT_06628_DinhLap</t>
  </si>
  <si>
    <t>STT_06631_ThaiBinh</t>
  </si>
  <si>
    <t>STT_06634_CuongLoi</t>
  </si>
  <si>
    <t>STT_06637_ChauSon</t>
  </si>
  <si>
    <t>STT_06640_LamCa</t>
  </si>
  <si>
    <t>STT_06643_DongThang</t>
  </si>
  <si>
    <t>STT_06646_BacLang</t>
  </si>
  <si>
    <t>STT_29662_TanQuoiTrung</t>
  </si>
  <si>
    <t>STT_29665_QuoiThien</t>
  </si>
  <si>
    <t>STT_29668_QuoiAn</t>
  </si>
  <si>
    <t>STT_29671_TrungChanh</t>
  </si>
  <si>
    <t>STT_29674_TanAnLuong</t>
  </si>
  <si>
    <t>STT_29677_ThanhBinh</t>
  </si>
  <si>
    <t>STT_29680_TrungThanhTay</t>
  </si>
  <si>
    <t>STT_29683_TrungHiep</t>
  </si>
  <si>
    <t>STT_29686_HieuPhung</t>
  </si>
  <si>
    <t>STT_29689_TrungThanhDong</t>
  </si>
  <si>
    <t>STT_29692_TrungThanh</t>
  </si>
  <si>
    <t>STT_29695_TrungHieu</t>
  </si>
  <si>
    <t>STT_29698_TrungNgai</t>
  </si>
  <si>
    <t>STT_29701_HieuThuan</t>
  </si>
  <si>
    <t>STT_29704_TrungNghia</t>
  </si>
  <si>
    <t>STT_29707_TrungAn</t>
  </si>
  <si>
    <t>STT_29710_HieuNhon</t>
  </si>
  <si>
    <t>STT_29713_HieuThanh</t>
  </si>
  <si>
    <t>STT_29716_HieuNghia</t>
  </si>
  <si>
    <t>STT_11695_DongPhuong</t>
  </si>
  <si>
    <t>STT_11698_ThuanThien</t>
  </si>
  <si>
    <t>STT_11701_HuuBang</t>
  </si>
  <si>
    <t>STT_11704_DaiDong</t>
  </si>
  <si>
    <t>STT_11710_NguPhuc</t>
  </si>
  <si>
    <t>STT_11713_KienQuoc</t>
  </si>
  <si>
    <t>STT_11716_DuLe</t>
  </si>
  <si>
    <t>STT_11719_ThuyHuong</t>
  </si>
  <si>
    <t>STT_11722_ThanhSon</t>
  </si>
  <si>
    <t>STT_11725_MinhTan</t>
  </si>
  <si>
    <t>STT_11728_DaiHa</t>
  </si>
  <si>
    <t>STT_11731_NguDoan</t>
  </si>
  <si>
    <t>STT_11734_TanPhong</t>
  </si>
  <si>
    <t>STT_11743_TanTrao</t>
  </si>
  <si>
    <t>STT_11746_DoanXa</t>
  </si>
  <si>
    <t>STT_11749_TuSon</t>
  </si>
  <si>
    <t>STT_11752_DaiHop</t>
  </si>
  <si>
    <t>STT_12976_DongTra</t>
  </si>
  <si>
    <t>STT_12979_DongLong</t>
  </si>
  <si>
    <t>STT_12982_DongQui</t>
  </si>
  <si>
    <t>STT_12985_VuLang</t>
  </si>
  <si>
    <t>STT_12988_DongXuyen</t>
  </si>
  <si>
    <t>STT_12991_TayLuong</t>
  </si>
  <si>
    <t>STT_12994_TayNinh</t>
  </si>
  <si>
    <t>STT_12997_DongTrung</t>
  </si>
  <si>
    <t>STT_13000_DongHoang</t>
  </si>
  <si>
    <t>STT_13003_DongMinh</t>
  </si>
  <si>
    <t>STT_13009_DongPhong</t>
  </si>
  <si>
    <t>STT_13012_AnNinh</t>
  </si>
  <si>
    <t>STT_13018_DongCo</t>
  </si>
  <si>
    <t>STT_13021_TayGiang</t>
  </si>
  <si>
    <t>STT_13024_DongLam</t>
  </si>
  <si>
    <t>STT_13027_PhuongCong</t>
  </si>
  <si>
    <t>STT_13030_TayPhong</t>
  </si>
  <si>
    <t>STT_13033_TayTien</t>
  </si>
  <si>
    <t>STT_13036_NamCuong</t>
  </si>
  <si>
    <t>STT_13039_VanTruong</t>
  </si>
  <si>
    <t>STT_13042_NamThang</t>
  </si>
  <si>
    <t>STT_13045_NamChinh</t>
  </si>
  <si>
    <t>STT_13048_BacHai</t>
  </si>
  <si>
    <t>STT_13051_NamThinh</t>
  </si>
  <si>
    <t>STT_13054_NamHa</t>
  </si>
  <si>
    <t>STT_13057_NamThanh</t>
  </si>
  <si>
    <t>STT_13060_NamTrung</t>
  </si>
  <si>
    <t>STT_13063_NamHong</t>
  </si>
  <si>
    <t>STT_13066_NamHung</t>
  </si>
  <si>
    <t>STT_13069_NamHai</t>
  </si>
  <si>
    <t>STT_13072_NamPhu</t>
  </si>
  <si>
    <t>STT_26473_LongTan</t>
  </si>
  <si>
    <t>STT_26476_DaiPhuoc</t>
  </si>
  <si>
    <t>STT_26479_HiepPhuoc</t>
  </si>
  <si>
    <t>STT_26482_PhuHuu</t>
  </si>
  <si>
    <t>STT_26485_PhuHoi</t>
  </si>
  <si>
    <t>STT_26488_PhuThanh</t>
  </si>
  <si>
    <t>STT_26491_PhuDong</t>
  </si>
  <si>
    <t>STT_26494_LongTho</t>
  </si>
  <si>
    <t>STT_26497_VinhThanh</t>
  </si>
  <si>
    <t>STT_26500_PhuocKhanh</t>
  </si>
  <si>
    <t>STT_26503_PhuocAn</t>
  </si>
  <si>
    <t>STT_00346_ThuongDinh</t>
  </si>
  <si>
    <t>STT_00349_KhuongTrung</t>
  </si>
  <si>
    <t>STT_00352_KhuongMai</t>
  </si>
  <si>
    <t>STT_00355_ThanhXuanTrung</t>
  </si>
  <si>
    <t>STT_00358_PhuongLiet</t>
  </si>
  <si>
    <t>STT_00361_HaDinh</t>
  </si>
  <si>
    <t>STT_00364_KhuongDinh</t>
  </si>
  <si>
    <t>STT_00367_ThanhXuanBac</t>
  </si>
  <si>
    <t>STT_00370_ThanhXuanNam</t>
  </si>
  <si>
    <t>STT_00373_KimGiang</t>
  </si>
  <si>
    <t>STT_25780_MinhHoa</t>
  </si>
  <si>
    <t>STT_25783_MinhThanh</t>
  </si>
  <si>
    <t>STT_25786_MinhTan</t>
  </si>
  <si>
    <t>STT_25789_DinhAn</t>
  </si>
  <si>
    <t>STT_25792_LongHoa</t>
  </si>
  <si>
    <t>STT_25795_DinhThanh</t>
  </si>
  <si>
    <t>STT_25798_DinhHiep</t>
  </si>
  <si>
    <t>STT_25801_AnLap</t>
  </si>
  <si>
    <t>STT_25804_LongTan</t>
  </si>
  <si>
    <t>STT_25807_ThanhAn</t>
  </si>
  <si>
    <t>STT_25810_ThanhTuyen</t>
  </si>
  <si>
    <t>STT_13078_TraGiang</t>
  </si>
  <si>
    <t>STT_13081_QuocTuan</t>
  </si>
  <si>
    <t>STT_13087_AnBinh</t>
  </si>
  <si>
    <t>STT_13090_TaySon</t>
  </si>
  <si>
    <t>STT_13093_HongThai</t>
  </si>
  <si>
    <t>STT_13096_BinhNguyen</t>
  </si>
  <si>
    <t>STT_13102_LeLoi</t>
  </si>
  <si>
    <t>STT_13111_VuLe</t>
  </si>
  <si>
    <t>STT_13114_ThanhTan</t>
  </si>
  <si>
    <t>STT_13117_ThuongHien</t>
  </si>
  <si>
    <t>STT_13120_NamCao</t>
  </si>
  <si>
    <t>STT_13123_DinhPhung</t>
  </si>
  <si>
    <t>STT_13126_VuNinh</t>
  </si>
  <si>
    <t>STT_13129_VuAn</t>
  </si>
  <si>
    <t>STT_13132_QuangLich</t>
  </si>
  <si>
    <t>STT_13135_HoaBinh</t>
  </si>
  <si>
    <t>STT_13138_BinhMinh</t>
  </si>
  <si>
    <t>STT_13141_VuQui</t>
  </si>
  <si>
    <t>STT_13144_QuangBinh</t>
  </si>
  <si>
    <t>STT_13150_VuTrung</t>
  </si>
  <si>
    <t>STT_13153_VuThang</t>
  </si>
  <si>
    <t>STT_13156_VuCong</t>
  </si>
  <si>
    <t>STT_13159_VuHoa</t>
  </si>
  <si>
    <t>STT_13162_QuangMinh</t>
  </si>
  <si>
    <t>STT_13165_QuangTrung</t>
  </si>
  <si>
    <t>STT_13171_MinhQuang</t>
  </si>
  <si>
    <t>STT_13174_VuBinh</t>
  </si>
  <si>
    <t>STT_13177_MinhTan</t>
  </si>
  <si>
    <t>STT_13180_NamBinh</t>
  </si>
  <si>
    <t>STT_13183_BinhThanh</t>
  </si>
  <si>
    <t>STT_13186_BinhDinh</t>
  </si>
  <si>
    <t>STT_13189_HongTien</t>
  </si>
  <si>
    <t>STT_23194_DucTai</t>
  </si>
  <si>
    <t>STT_23197_DaKai</t>
  </si>
  <si>
    <t>STT_23200_SungNhon</t>
  </si>
  <si>
    <t>STT_23203_MePu</t>
  </si>
  <si>
    <t>STT_23206_NamChinh</t>
  </si>
  <si>
    <t>STT_23212_DucHanh</t>
  </si>
  <si>
    <t>STT_23215_DucTin</t>
  </si>
  <si>
    <t>STT_23218_VuHoa</t>
  </si>
  <si>
    <t>STT_23221_TanHa</t>
  </si>
  <si>
    <t>STT_23224_DongHa</t>
  </si>
  <si>
    <t>STT_23227_TraTan</t>
  </si>
  <si>
    <t>STT_28300_1</t>
  </si>
  <si>
    <t>STT_28306_5</t>
  </si>
  <si>
    <t>STT_28309_LongHung</t>
  </si>
  <si>
    <t>STT_28312_LongThuan</t>
  </si>
  <si>
    <t>STT_28315_LongChanh</t>
  </si>
  <si>
    <t>STT_28318_LongHoa</t>
  </si>
  <si>
    <t>STT_28708_BinhDong</t>
  </si>
  <si>
    <t>STT_28717_BinhXuan</t>
  </si>
  <si>
    <t>STT_28729_TanTrung</t>
  </si>
  <si>
    <t>STT_28901_HungKhanhTrungA</t>
  </si>
  <si>
    <t>STT_28906_ThanhTan</t>
  </si>
  <si>
    <t>STT_28909_ThanhNgai</t>
  </si>
  <si>
    <t>STT_28912_TanPhuTay</t>
  </si>
  <si>
    <t>STT_28915_PhuocMyTrung</t>
  </si>
  <si>
    <t>STT_28918_TanThanhBinh</t>
  </si>
  <si>
    <t>STT_28921_ThanhAn</t>
  </si>
  <si>
    <t>STT_28924_HoaLoc</t>
  </si>
  <si>
    <t>STT_28927_TanThanhTay</t>
  </si>
  <si>
    <t>STT_28933_TanBinh</t>
  </si>
  <si>
    <t>STT_28936_NhuanPhuTan</t>
  </si>
  <si>
    <t>STT_28948_KhanhThanhTan</t>
  </si>
  <si>
    <t>STT_29113_TanMy</t>
  </si>
  <si>
    <t>STT_29116_MyHoa</t>
  </si>
  <si>
    <t>STT_29119_TanXuan</t>
  </si>
  <si>
    <t>STT_29122_MyChanh</t>
  </si>
  <si>
    <t>STT_29125_BaoThanh</t>
  </si>
  <si>
    <t>STT_29128_AnPhuTrung</t>
  </si>
  <si>
    <t>STT_29131_MyThanh</t>
  </si>
  <si>
    <t>STT_29134_MyNhon</t>
  </si>
  <si>
    <t>STT_29137_PhuocNgai</t>
  </si>
  <si>
    <t>STT_29143_AnNgaiTrung</t>
  </si>
  <si>
    <t>STT_29146_PhuLe</t>
  </si>
  <si>
    <t>STT_29149_AnBinhTay</t>
  </si>
  <si>
    <t>STT_29152_BaoThuan</t>
  </si>
  <si>
    <t>STT_29155_TanHung</t>
  </si>
  <si>
    <t>STT_29158_AnNgaiTay</t>
  </si>
  <si>
    <t>STT_29161_AnHiep</t>
  </si>
  <si>
    <t>STT_29164_VinhHoa</t>
  </si>
  <si>
    <t>STT_29167_TanThuy</t>
  </si>
  <si>
    <t>STT_29170_VinhAn</t>
  </si>
  <si>
    <t>STT_29173_AnDuc</t>
  </si>
  <si>
    <t>STT_29176_AnHoaTay</t>
  </si>
  <si>
    <t>STT_29179_TiemTom</t>
  </si>
  <si>
    <t>STT_12691_DoLuong</t>
  </si>
  <si>
    <t>STT_12694_DongPhuong</t>
  </si>
  <si>
    <t>STT_12697_LienGiang</t>
  </si>
  <si>
    <t>STT_12700_AnChau</t>
  </si>
  <si>
    <t>STT_12703_DongSon</t>
  </si>
  <si>
    <t>STT_12706_DongCuong</t>
  </si>
  <si>
    <t>STT_12709_PhuLuong</t>
  </si>
  <si>
    <t>STT_12712_MeLinh</t>
  </si>
  <si>
    <t>STT_12715_LoGiang</t>
  </si>
  <si>
    <t>STT_12718_DongLa</t>
  </si>
  <si>
    <t>STT_12721_MinhTan</t>
  </si>
  <si>
    <t>STT_12724_DongXa</t>
  </si>
  <si>
    <t>STT_12727_ChuongDuong</t>
  </si>
  <si>
    <t>STT_12730_NguyenXa</t>
  </si>
  <si>
    <t>STT_12733_PhongChau</t>
  </si>
  <si>
    <t>STT_12736_HopTien</t>
  </si>
  <si>
    <t>STT_12739_HongViet</t>
  </si>
  <si>
    <t>STT_12745_HaGiang</t>
  </si>
  <si>
    <t>STT_12748_DongKinh</t>
  </si>
  <si>
    <t>STT_12751_DongHop</t>
  </si>
  <si>
    <t>STT_12754_ThangLong</t>
  </si>
  <si>
    <t>STT_12757_DongCac</t>
  </si>
  <si>
    <t>STT_12760_PhuChau</t>
  </si>
  <si>
    <t>STT_12763_LienHoa</t>
  </si>
  <si>
    <t>STT_12769_DongTan</t>
  </si>
  <si>
    <t>STT_12772_DongVinh</t>
  </si>
  <si>
    <t>STT_12775_DongDong</t>
  </si>
  <si>
    <t>STT_12778_HongBach</t>
  </si>
  <si>
    <t>STT_12784_TrongQuan</t>
  </si>
  <si>
    <t>STT_12790_HongGiang</t>
  </si>
  <si>
    <t>STT_12793_DongQuan</t>
  </si>
  <si>
    <t>STT_12796_DongQuang</t>
  </si>
  <si>
    <t>STT_12799_DongXuan</t>
  </si>
  <si>
    <t>STT_12802_DongA</t>
  </si>
  <si>
    <t>STT_12808_DongHoang</t>
  </si>
  <si>
    <t>STT_12811_DongDuong</t>
  </si>
  <si>
    <t>STT_12823_MinhPhu</t>
  </si>
  <si>
    <t>STT_26209_ThanhSon</t>
  </si>
  <si>
    <t>STT_26212_PhuTan</t>
  </si>
  <si>
    <t>STT_26215_PhuVinh</t>
  </si>
  <si>
    <t>STT_26218_PhuLoi</t>
  </si>
  <si>
    <t>STT_26221_PhuHoa</t>
  </si>
  <si>
    <t>STT_26224_NgocDinh</t>
  </si>
  <si>
    <t>STT_26227_LaNga</t>
  </si>
  <si>
    <t>STT_26230_GiaCanh</t>
  </si>
  <si>
    <t>STT_26233_PhuNgoc</t>
  </si>
  <si>
    <t>STT_26236_PhuCuong</t>
  </si>
  <si>
    <t>STT_26239_TucTrung</t>
  </si>
  <si>
    <t>STT_26242_PhuTuc</t>
  </si>
  <si>
    <t>STT_26245_SuoiNho</t>
  </si>
  <si>
    <t>STT_18355_XuanHoi</t>
  </si>
  <si>
    <t>STT_18358_DanTruong</t>
  </si>
  <si>
    <t>STT_18364_XuanPho</t>
  </si>
  <si>
    <t>STT_18367_XuanHai</t>
  </si>
  <si>
    <t>STT_18370_XuanGiang</t>
  </si>
  <si>
    <t>STT_18373_TienDien</t>
  </si>
  <si>
    <t>STT_18376_XuanYen</t>
  </si>
  <si>
    <t>STT_18379_XuanMy</t>
  </si>
  <si>
    <t>STT_18382_XuanThanh</t>
  </si>
  <si>
    <t>STT_18385_XuanVien</t>
  </si>
  <si>
    <t>STT_18388_XuanHong</t>
  </si>
  <si>
    <t>STT_18391_CoDam</t>
  </si>
  <si>
    <t>STT_18394_XuanLien</t>
  </si>
  <si>
    <t>STT_18397_XuanLinh</t>
  </si>
  <si>
    <t>STT_18400_XuanLam</t>
  </si>
  <si>
    <t>STT_18403_CuongGian</t>
  </si>
  <si>
    <t>STT_11458_HaiSon</t>
  </si>
  <si>
    <t>STT_11461_VanHuong</t>
  </si>
  <si>
    <t>STT_11465_MinhDuc</t>
  </si>
  <si>
    <t>STT_11467_BangLa</t>
  </si>
  <si>
    <t>STT_11737_HopDuc</t>
  </si>
  <si>
    <t>STT_04930_YenBinh</t>
  </si>
  <si>
    <t>STT_04936_TienXuan</t>
  </si>
  <si>
    <t>STT_09955_LienQuan</t>
  </si>
  <si>
    <t>STT_09958_DaiDong</t>
  </si>
  <si>
    <t>STT_09961_CamYen</t>
  </si>
  <si>
    <t>STT_09964_LaiThuong</t>
  </si>
  <si>
    <t>STT_09967_PhuKim</t>
  </si>
  <si>
    <t>STT_09970_HuongNgai</t>
  </si>
  <si>
    <t>STT_09973_CanhNau</t>
  </si>
  <si>
    <t>STT_09976_KimQuan</t>
  </si>
  <si>
    <t>STT_09979_DiNau</t>
  </si>
  <si>
    <t>STT_09982_BinhYen</t>
  </si>
  <si>
    <t>STT_09985_ChangSon</t>
  </si>
  <si>
    <t>STT_09988_ThachHoa</t>
  </si>
  <si>
    <t>STT_09991_CanKiem</t>
  </si>
  <si>
    <t>STT_09994_HuuBang</t>
  </si>
  <si>
    <t>STT_09997_PhungXa</t>
  </si>
  <si>
    <t>STT_10000_TanXa</t>
  </si>
  <si>
    <t>STT_10003_ThachXa</t>
  </si>
  <si>
    <t>STT_10006_BinhPhu</t>
  </si>
  <si>
    <t>STT_10009_HaBang</t>
  </si>
  <si>
    <t>STT_10012_DongTruc</t>
  </si>
  <si>
    <t>STT_28324_TanHoaDong</t>
  </si>
  <si>
    <t>STT_28327_ThanhTan</t>
  </si>
  <si>
    <t>STT_28330_ThanhMy</t>
  </si>
  <si>
    <t>STT_28333_ThanhHoa</t>
  </si>
  <si>
    <t>STT_28336_PhuMy</t>
  </si>
  <si>
    <t>STT_28339_TanHoaThanh</t>
  </si>
  <si>
    <t>STT_28342_HungThanh</t>
  </si>
  <si>
    <t>STT_28345_TanLap1</t>
  </si>
  <si>
    <t>STT_28348_TanHoaTay</t>
  </si>
  <si>
    <t>STT_28354_TanLap2</t>
  </si>
  <si>
    <t>STT_28357_PhuocLap</t>
  </si>
  <si>
    <t>STT_24718_DakMol</t>
  </si>
  <si>
    <t>STT_24719_DakHoa</t>
  </si>
  <si>
    <t>STT_24721_NamBinh</t>
  </si>
  <si>
    <t>STT_24722_ThuanHa</t>
  </si>
  <si>
    <t>STT_24724_ThuanHanh</t>
  </si>
  <si>
    <t>STT_24727_DakNDung</t>
  </si>
  <si>
    <t>STT_24728_NamNJang</t>
  </si>
  <si>
    <t>STT_24730_TruongXuan</t>
  </si>
  <si>
    <t>STT_04459_HoBon</t>
  </si>
  <si>
    <t>STT_04462_NamCo</t>
  </si>
  <si>
    <t>STT_04465_KhaoMang</t>
  </si>
  <si>
    <t>STT_04468_MoDe</t>
  </si>
  <si>
    <t>STT_04471_CheCuNha</t>
  </si>
  <si>
    <t>STT_04474_LaoChai</t>
  </si>
  <si>
    <t>STT_04477_KimNoi</t>
  </si>
  <si>
    <t>STT_04480_CaoPha</t>
  </si>
  <si>
    <t>STT_04483_LaPanTan</t>
  </si>
  <si>
    <t>STT_04486_DeSuPhinh</t>
  </si>
  <si>
    <t>STT_04489_CheTao</t>
  </si>
  <si>
    <t>STT_04492_PungLuong</t>
  </si>
  <si>
    <t>STT_04495_NamKhat</t>
  </si>
  <si>
    <t>STT_23641_KonPne</t>
  </si>
  <si>
    <t>STT_23644_DakRoong</t>
  </si>
  <si>
    <t>STT_23647_SonLang</t>
  </si>
  <si>
    <t>STT_23650_KRong</t>
  </si>
  <si>
    <t>STT_23653_SoPai</t>
  </si>
  <si>
    <t>STT_23656_LoKu</t>
  </si>
  <si>
    <t>STT_23659_Dong</t>
  </si>
  <si>
    <t>STT_23660_DakSMar</t>
  </si>
  <si>
    <t>STT_23662_NghiaAn</t>
  </si>
  <si>
    <t>STT_23665_ToTung</t>
  </si>
  <si>
    <t>STT_23668_KongLongKhong</t>
  </si>
  <si>
    <t>STT_23671_KongPla</t>
  </si>
  <si>
    <t>STT_23674_DakHLo</t>
  </si>
  <si>
    <t>STT_31267_ThoiThanh</t>
  </si>
  <si>
    <t>STT_31268_TanThanh</t>
  </si>
  <si>
    <t>STT_31270_XuanThang</t>
  </si>
  <si>
    <t>STT_31279_DongBinh</t>
  </si>
  <si>
    <t>STT_31282_DongThuan</t>
  </si>
  <si>
    <t>STT_31285_ThoiTan</t>
  </si>
  <si>
    <t>STT_31286_TruongThang</t>
  </si>
  <si>
    <t>STT_31288_DinhMon</t>
  </si>
  <si>
    <t>STT_31291_TruongThanh</t>
  </si>
  <si>
    <t>STT_31294_TruongXuan</t>
  </si>
  <si>
    <t>STT_31297_TruongXuanA</t>
  </si>
  <si>
    <t>STT_31298_TruongXuanB</t>
  </si>
  <si>
    <t>STT_26575_NgaiGiao</t>
  </si>
  <si>
    <t>STT_26578_BinhBa</t>
  </si>
  <si>
    <t>STT_26581_SuoiNghe</t>
  </si>
  <si>
    <t>STT_26584_XuanSon</t>
  </si>
  <si>
    <t>STT_26587_SonBinh</t>
  </si>
  <si>
    <t>STT_26590_BinhGia</t>
  </si>
  <si>
    <t>STT_26593_BinhTrung</t>
  </si>
  <si>
    <t>STT_26596_XaBang</t>
  </si>
  <si>
    <t>STT_26599_CuBi</t>
  </si>
  <si>
    <t>STT_26602_LangLon</t>
  </si>
  <si>
    <t>STT_26605_QuangThanh</t>
  </si>
  <si>
    <t>STT_26608_KimLong</t>
  </si>
  <si>
    <t>STT_26611_SuoiRao</t>
  </si>
  <si>
    <t>STT_26614_DaBac</t>
  </si>
  <si>
    <t>STT_26617_NghiaThanh</t>
  </si>
  <si>
    <t>STT_23860_IaDok</t>
  </si>
  <si>
    <t>STT_23863_IaKrel</t>
  </si>
  <si>
    <t>STT_23866_IaDin</t>
  </si>
  <si>
    <t>STT_23869_IaKla</t>
  </si>
  <si>
    <t>STT_23872_IaDom</t>
  </si>
  <si>
    <t>STT_23875_IaLang</t>
  </si>
  <si>
    <t>STT_23878_IaKrieng</t>
  </si>
  <si>
    <t>STT_23881_IaPnon</t>
  </si>
  <si>
    <t>STT_23884_IaNan</t>
  </si>
  <si>
    <t>STT_26908_11</t>
  </si>
  <si>
    <t>STT_26911_27</t>
  </si>
  <si>
    <t>STT_26914_26</t>
  </si>
  <si>
    <t>STT_26917_12</t>
  </si>
  <si>
    <t>STT_26920_25</t>
  </si>
  <si>
    <t>STT_26923_05</t>
  </si>
  <si>
    <t>STT_26926_07</t>
  </si>
  <si>
    <t>STT_26929_24</t>
  </si>
  <si>
    <t>STT_26932_06</t>
  </si>
  <si>
    <t>STT_26935_14</t>
  </si>
  <si>
    <t>STT_26938_15</t>
  </si>
  <si>
    <t>STT_26941_02</t>
  </si>
  <si>
    <t>STT_26944_01</t>
  </si>
  <si>
    <t>STT_26947_03</t>
  </si>
  <si>
    <t>STT_26950_17</t>
  </si>
  <si>
    <t>STT_26953_21</t>
  </si>
  <si>
    <t>STT_26956_22</t>
  </si>
  <si>
    <t>STT_26959_19</t>
  </si>
  <si>
    <t>STT_26962_28</t>
  </si>
  <si>
    <t>STT_30631_MyLuong</t>
  </si>
  <si>
    <t>STT_30634_KienAn</t>
  </si>
  <si>
    <t>STT_30637_MyHoiDong</t>
  </si>
  <si>
    <t>STT_30640_LongDienA</t>
  </si>
  <si>
    <t>STT_30643_TanMy</t>
  </si>
  <si>
    <t>STT_30646_LongDienB</t>
  </si>
  <si>
    <t>STT_30649_KienThanh</t>
  </si>
  <si>
    <t>STT_30652_MyHiep</t>
  </si>
  <si>
    <t>STT_30655_MyAn</t>
  </si>
  <si>
    <t>STT_30658_NhonMy</t>
  </si>
  <si>
    <t>STT_30661_LongGiang</t>
  </si>
  <si>
    <t>STT_30664_LongKien</t>
  </si>
  <si>
    <t>STT_30667_BinhPhuocXuan</t>
  </si>
  <si>
    <t>STT_30670_AnThanhTrung</t>
  </si>
  <si>
    <t>STT_30673_HoiAn</t>
  </si>
  <si>
    <t>STT_30676_HoaBinh</t>
  </si>
  <si>
    <t>STT_30679_HoaAn</t>
  </si>
  <si>
    <t>STT_00772_ThuongPhung</t>
  </si>
  <si>
    <t>STT_00775_PaiLung</t>
  </si>
  <si>
    <t>STT_00778_XinCai</t>
  </si>
  <si>
    <t>STT_00781_PaVi</t>
  </si>
  <si>
    <t>STT_00784_GiangChuPhin</t>
  </si>
  <si>
    <t>STT_00787_SungTra</t>
  </si>
  <si>
    <t>STT_00790_SungMang</t>
  </si>
  <si>
    <t>STT_00793_SonVi</t>
  </si>
  <si>
    <t>STT_00796_TaLung</t>
  </si>
  <si>
    <t>STT_00799_CanChuPhin</t>
  </si>
  <si>
    <t>STT_00802_LungPu</t>
  </si>
  <si>
    <t>STT_00805_LungChinh</t>
  </si>
  <si>
    <t>STT_00808_TatNga</t>
  </si>
  <si>
    <t>STT_00811_NamBan</t>
  </si>
  <si>
    <t>STT_00814_KhauVai</t>
  </si>
  <si>
    <t>STT_00815_NiemTong</t>
  </si>
  <si>
    <t>STT_00817_NiemSon</t>
  </si>
  <si>
    <t>STT_25819_CayTruongII</t>
  </si>
  <si>
    <t>STT_25822_LaiUyen</t>
  </si>
  <si>
    <t>STT_25825_TanHung</t>
  </si>
  <si>
    <t>STT_25828_LongNguyen</t>
  </si>
  <si>
    <t>STT_25831_HungHoa</t>
  </si>
  <si>
    <t>STT_25834_LaiHung</t>
  </si>
  <si>
    <t>STT_25966_LaiThieu</t>
  </si>
  <si>
    <t>STT_25969_BinhChuan</t>
  </si>
  <si>
    <t>STT_25972_ThuanGiao</t>
  </si>
  <si>
    <t>STT_25975_AnPhu</t>
  </si>
  <si>
    <t>STT_25978_HungDinh</t>
  </si>
  <si>
    <t>STT_25981_AnSon</t>
  </si>
  <si>
    <t>STT_25984_BinhNham</t>
  </si>
  <si>
    <t>STT_25987_BinhHoa</t>
  </si>
  <si>
    <t>STT_25990_VinhPhu</t>
  </si>
  <si>
    <t>STT_00643_TanTrieu</t>
  </si>
  <si>
    <t>STT_00646_ThanhLiet</t>
  </si>
  <si>
    <t>STT_00649_TaThanhOai</t>
  </si>
  <si>
    <t>STT_00652_HuuHoa</t>
  </si>
  <si>
    <t>STT_00655_TamHiep</t>
  </si>
  <si>
    <t>STT_00658_TuHiep</t>
  </si>
  <si>
    <t>STT_00661_YenMy</t>
  </si>
  <si>
    <t>STT_00664_VinhQuynh</t>
  </si>
  <si>
    <t>STT_00667_NguHiep</t>
  </si>
  <si>
    <t>STT_00670_DuyenHa</t>
  </si>
  <si>
    <t>STT_00673_NgocHoi</t>
  </si>
  <si>
    <t>STT_00676_VanPhuc</t>
  </si>
  <si>
    <t>STT_00679_Daiang</t>
  </si>
  <si>
    <t>STT_00682_LienNinh</t>
  </si>
  <si>
    <t>STT_00685_DongMy</t>
  </si>
  <si>
    <t>STT_08776_QuangYen</t>
  </si>
  <si>
    <t>STT_08779_BachLuu</t>
  </si>
  <si>
    <t>STT_08782_HaiLuu</t>
  </si>
  <si>
    <t>STT_08800_DongQue</t>
  </si>
  <si>
    <t>STT_08803_NhanDao</t>
  </si>
  <si>
    <t>STT_08806_DonNhan</t>
  </si>
  <si>
    <t>STT_08809_PhuongKhoan</t>
  </si>
  <si>
    <t>STT_08818_TanLap</t>
  </si>
  <si>
    <t>STT_08821_NhaoSon</t>
  </si>
  <si>
    <t>STT_08824_TamSon</t>
  </si>
  <si>
    <t>STT_08827_NhuThuy</t>
  </si>
  <si>
    <t>STT_08830_YenThach</t>
  </si>
  <si>
    <t>STT_08848_DongThinh</t>
  </si>
  <si>
    <t>STT_08851_TuYen</t>
  </si>
  <si>
    <t>STT_08854_DucBac</t>
  </si>
  <si>
    <t>STT_08860_CaoPhong</t>
  </si>
  <si>
    <t>STT_09322_PhuLam</t>
  </si>
  <si>
    <t>STT_09328_NoiDue</t>
  </si>
  <si>
    <t>STT_09334_LienBao</t>
  </si>
  <si>
    <t>STT_09337_HienVan</t>
  </si>
  <si>
    <t>STT_09340_HoanSon</t>
  </si>
  <si>
    <t>STT_09343_LacVe</t>
  </si>
  <si>
    <t>STT_09346_VietDoan</t>
  </si>
  <si>
    <t>STT_09349_PhatTich</t>
  </si>
  <si>
    <t>STT_09352_TanChi</t>
  </si>
  <si>
    <t>STT_09355_DaiDong</t>
  </si>
  <si>
    <t>STT_09358_TriPhuong</t>
  </si>
  <si>
    <t>STT_09361_MinhDao</t>
  </si>
  <si>
    <t>STT_09364_CanhHung</t>
  </si>
  <si>
    <t>STT_02020_BangLung</t>
  </si>
  <si>
    <t>STT_02023_XuanLac</t>
  </si>
  <si>
    <t>STT_02026_NamCuong</t>
  </si>
  <si>
    <t>STT_02029_DongLac</t>
  </si>
  <si>
    <t>STT_02035_BanThi</t>
  </si>
  <si>
    <t>STT_02038_QuangBach</t>
  </si>
  <si>
    <t>STT_02041_BangPhuc</t>
  </si>
  <si>
    <t>STT_02044_YenThinh</t>
  </si>
  <si>
    <t>STT_02047_YenThuong</t>
  </si>
  <si>
    <t>STT_02050_PhuongVien</t>
  </si>
  <si>
    <t>STT_02053_NgocPhai</t>
  </si>
  <si>
    <t>STT_02059_DongThang</t>
  </si>
  <si>
    <t>STT_02062_LuongBang</t>
  </si>
  <si>
    <t>STT_02065_BangLang</t>
  </si>
  <si>
    <t>STT_02068_DaiSao</t>
  </si>
  <si>
    <t>STT_02071_NghiaTa</t>
  </si>
  <si>
    <t>STT_02077_YenMy</t>
  </si>
  <si>
    <t>STT_02080_BinhTrung</t>
  </si>
  <si>
    <t>STT_02083_YenPhong</t>
  </si>
  <si>
    <t>STT_14092_XuanChau</t>
  </si>
  <si>
    <t>STT_14095_XuanHong</t>
  </si>
  <si>
    <t>STT_14098_XuanThanh</t>
  </si>
  <si>
    <t>STT_14101_XuanThuong</t>
  </si>
  <si>
    <t>STT_14104_XuanGiang</t>
  </si>
  <si>
    <t>STT_14110_XuanTan</t>
  </si>
  <si>
    <t>STT_14116_XuanNgoc</t>
  </si>
  <si>
    <t>STT_14122_TraLu</t>
  </si>
  <si>
    <t>STT_14125_ThoNghiep</t>
  </si>
  <si>
    <t>STT_14128_XuanPhu</t>
  </si>
  <si>
    <t>STT_14134_XuanVinh</t>
  </si>
  <si>
    <t>STT_14143_XuanNinh</t>
  </si>
  <si>
    <t>STT_14146_XuanPhuc</t>
  </si>
  <si>
    <t>STT_11161_UngHoe</t>
  </si>
  <si>
    <t>STT_11164_NghiaAn</t>
  </si>
  <si>
    <t>STT_11167_HongDuc</t>
  </si>
  <si>
    <t>STT_11173_AnDuc</t>
  </si>
  <si>
    <t>STT_11176_VanPhuc</t>
  </si>
  <si>
    <t>STT_11179_TanHuong</t>
  </si>
  <si>
    <t>STT_11185_VinhHoa</t>
  </si>
  <si>
    <t>STT_11188_DongXuyen</t>
  </si>
  <si>
    <t>STT_11197_TanPhong</t>
  </si>
  <si>
    <t>STT_11200_NinhHai</t>
  </si>
  <si>
    <t>STT_11203_DongTam</t>
  </si>
  <si>
    <t>STT_11206_TanQuang</t>
  </si>
  <si>
    <t>STT_11209_KienQuoc</t>
  </si>
  <si>
    <t>STT_11215_HongDu</t>
  </si>
  <si>
    <t>STT_11218_VanHoi</t>
  </si>
  <si>
    <t>STT_11224_HongPhong</t>
  </si>
  <si>
    <t>STT_11227_HiepLuc</t>
  </si>
  <si>
    <t>STT_11230_HongPhuc</t>
  </si>
  <si>
    <t>STT_11233_HungLong</t>
  </si>
  <si>
    <t>STT_05767_PhucLuong</t>
  </si>
  <si>
    <t>STT_05770_MinhTien</t>
  </si>
  <si>
    <t>STT_05773_YenLang</t>
  </si>
  <si>
    <t>STT_05776_DucLuong</t>
  </si>
  <si>
    <t>STT_05779_PhuCuong</t>
  </si>
  <si>
    <t>STT_05782_NaMao</t>
  </si>
  <si>
    <t>STT_05785_PhuLac</t>
  </si>
  <si>
    <t>STT_05788_TanLinh</t>
  </si>
  <si>
    <t>STT_05791_PhuThinh</t>
  </si>
  <si>
    <t>STT_05794_PhucLinh</t>
  </si>
  <si>
    <t>STT_05797_PhuXuyen</t>
  </si>
  <si>
    <t>STT_05800_BanNgoai</t>
  </si>
  <si>
    <t>STT_05803_TienHoi</t>
  </si>
  <si>
    <t>STT_05809_CuVan</t>
  </si>
  <si>
    <t>STT_05812_HaThuong</t>
  </si>
  <si>
    <t>STT_05815_LaBang</t>
  </si>
  <si>
    <t>STT_05818_HoangNong</t>
  </si>
  <si>
    <t>STT_05821_KhoiKy</t>
  </si>
  <si>
    <t>STT_05824_AnKhanh</t>
  </si>
  <si>
    <t>STT_05827_TanThai</t>
  </si>
  <si>
    <t>STT_05830_BinhThuan</t>
  </si>
  <si>
    <t>STT_05833_LucBa</t>
  </si>
  <si>
    <t>STT_05836_MyYen</t>
  </si>
  <si>
    <t>STT_05839_VanTho</t>
  </si>
  <si>
    <t>STT_05842_VanYen</t>
  </si>
  <si>
    <t>STT_05845_KyPhu</t>
  </si>
  <si>
    <t>STT_05848_CatNe</t>
  </si>
  <si>
    <t>STT_05851_QuanChu</t>
  </si>
  <si>
    <t>STT_13324_HoaMac</t>
  </si>
  <si>
    <t>STT_13327_MocBac</t>
  </si>
  <si>
    <t>STT_13330_ChauGiang</t>
  </si>
  <si>
    <t>STT_13333_BachThuong</t>
  </si>
  <si>
    <t>STT_13336_DuyMinh</t>
  </si>
  <si>
    <t>STT_13339_MocNam</t>
  </si>
  <si>
    <t>STT_13342_DuyHai</t>
  </si>
  <si>
    <t>STT_13345_ChuyenNgoai</t>
  </si>
  <si>
    <t>STT_13348_YenBac</t>
  </si>
  <si>
    <t>STT_13351_TracVan</t>
  </si>
  <si>
    <t>STT_13354_TienNoi</t>
  </si>
  <si>
    <t>STT_13357_HoangDong</t>
  </si>
  <si>
    <t>STT_13360_YenNam</t>
  </si>
  <si>
    <t>STT_13363_TienNgoai</t>
  </si>
  <si>
    <t>STT_13369_TienSon</t>
  </si>
  <si>
    <t>STT_20938_TraDon</t>
  </si>
  <si>
    <t>STT_20941_TraTap</t>
  </si>
  <si>
    <t>STT_20944_TraMai</t>
  </si>
  <si>
    <t>STT_20947_TraCang</t>
  </si>
  <si>
    <t>STT_20950_TraLinh</t>
  </si>
  <si>
    <t>STT_20953_TraNam</t>
  </si>
  <si>
    <t>STT_20956_TraDon</t>
  </si>
  <si>
    <t>STT_20959_TraVan</t>
  </si>
  <si>
    <t>STT_20962_TraVinh</t>
  </si>
  <si>
    <t>STT_16942_NghiaMai</t>
  </si>
  <si>
    <t>STT_16945_NghiaYen</t>
  </si>
  <si>
    <t>STT_16948_NghiaLac</t>
  </si>
  <si>
    <t>STT_16951_NghiaLam</t>
  </si>
  <si>
    <t>STT_16954_NghiaSon</t>
  </si>
  <si>
    <t>STT_16957_NghiaLoi</t>
  </si>
  <si>
    <t>STT_16960_NghiaBinh</t>
  </si>
  <si>
    <t>STT_16963_NghiaTho</t>
  </si>
  <si>
    <t>STT_16966_NghiaMinh</t>
  </si>
  <si>
    <t>STT_16969_NghiaPhu</t>
  </si>
  <si>
    <t>STT_16972_NghiaHung</t>
  </si>
  <si>
    <t>STT_16975_NghiaHong</t>
  </si>
  <si>
    <t>STT_16978_NghiaThinh</t>
  </si>
  <si>
    <t>STT_16981_NghiaTrung</t>
  </si>
  <si>
    <t>STT_16984_NghiaHoi</t>
  </si>
  <si>
    <t>STT_16987_NghiaThanh</t>
  </si>
  <si>
    <t>STT_16996_NghiaHieu</t>
  </si>
  <si>
    <t>STT_17020_NghiaDuc</t>
  </si>
  <si>
    <t>STT_17023_NghiaAn</t>
  </si>
  <si>
    <t>STT_17026_NghiaLong</t>
  </si>
  <si>
    <t>STT_17029_NghiaLoc</t>
  </si>
  <si>
    <t>STT_17032_NghiaKhanh</t>
  </si>
  <si>
    <t>STT_23232_PhuocLoc</t>
  </si>
  <si>
    <t>STT_23234_TanThien</t>
  </si>
  <si>
    <t>STT_23235_TanAn</t>
  </si>
  <si>
    <t>STT_23237_BinhTan</t>
  </si>
  <si>
    <t>STT_23245_TanHai</t>
  </si>
  <si>
    <t>STT_23246_TanTien</t>
  </si>
  <si>
    <t>STT_23248_TanBinh</t>
  </si>
  <si>
    <t>STT_23268_TanPhuoc</t>
  </si>
  <si>
    <t>STT_23284_DuyTan</t>
  </si>
  <si>
    <t>STT_23287_QuyetThang</t>
  </si>
  <si>
    <t>STT_23290_TruongChinh</t>
  </si>
  <si>
    <t>STT_23293_ThangLoi</t>
  </si>
  <si>
    <t>STT_23296_NgoMay</t>
  </si>
  <si>
    <t>STT_23299_ThongNhat</t>
  </si>
  <si>
    <t>STT_23302_LeLoi</t>
  </si>
  <si>
    <t>STT_23305_NguyenTrai</t>
  </si>
  <si>
    <t>STT_23308_TranHungDao</t>
  </si>
  <si>
    <t>STT_23311_DakCam</t>
  </si>
  <si>
    <t>STT_23314_Kroong</t>
  </si>
  <si>
    <t>STT_23317_NgokBay</t>
  </si>
  <si>
    <t>STT_23320_VinhQuang</t>
  </si>
  <si>
    <t>STT_23323_DakBla</t>
  </si>
  <si>
    <t>STT_23326_IaChim</t>
  </si>
  <si>
    <t>STT_23327_DakNang</t>
  </si>
  <si>
    <t>STT_23329_DoanKet</t>
  </si>
  <si>
    <t>STT_23332_ChuHreng</t>
  </si>
  <si>
    <t>STT_23335_DakRoWa</t>
  </si>
  <si>
    <t>STT_23338_HoaBinh</t>
  </si>
  <si>
    <t>STT_08440_HienQuan</t>
  </si>
  <si>
    <t>STT_08443_BacSon</t>
  </si>
  <si>
    <t>STT_08446_ThanhUyen</t>
  </si>
  <si>
    <t>STT_08461_LamSon</t>
  </si>
  <si>
    <t>STT_08467_VanXuan</t>
  </si>
  <si>
    <t>STT_08470_QuangHuc</t>
  </si>
  <si>
    <t>STT_08473_HuongNon</t>
  </si>
  <si>
    <t>STT_08476_TeLe</t>
  </si>
  <si>
    <t>STT_08479_ThoVan</t>
  </si>
  <si>
    <t>STT_08482_DiNau</t>
  </si>
  <si>
    <t>STT_08491_DanQuyen</t>
  </si>
  <si>
    <t>STT_03859_PhiengBan</t>
  </si>
  <si>
    <t>STT_03862_HangChu</t>
  </si>
  <si>
    <t>STT_03865_XimVang</t>
  </si>
  <si>
    <t>STT_03868_TaXua</t>
  </si>
  <si>
    <t>STT_03869_HangDong</t>
  </si>
  <si>
    <t>STT_03871_PacNga</t>
  </si>
  <si>
    <t>STT_03874_LangCheu</t>
  </si>
  <si>
    <t>STT_03877_ChimVan</t>
  </si>
  <si>
    <t>STT_03880_MuongKhoa</t>
  </si>
  <si>
    <t>STT_03883_SongPe</t>
  </si>
  <si>
    <t>STT_03886_HongNgai</t>
  </si>
  <si>
    <t>STT_03889_TaKhoa</t>
  </si>
  <si>
    <t>STT_03890_HuaNhan</t>
  </si>
  <si>
    <t>STT_03892_PhiengCon</t>
  </si>
  <si>
    <t>STT_03895_ChiengSai</t>
  </si>
  <si>
    <t>STT_21640_BongSon</t>
  </si>
  <si>
    <t>STT_21643_HoaiSon</t>
  </si>
  <si>
    <t>STT_21646_HoaiChauBac</t>
  </si>
  <si>
    <t>STT_21649_HoaiChau</t>
  </si>
  <si>
    <t>STT_21652_HoaiPhu</t>
  </si>
  <si>
    <t>STT_21655_TamQuanBac</t>
  </si>
  <si>
    <t>STT_21658_TamQuanNam</t>
  </si>
  <si>
    <t>STT_21661_HoaiHao</t>
  </si>
  <si>
    <t>STT_21664_HoaiThanhTay</t>
  </si>
  <si>
    <t>STT_21667_HoaiThanh</t>
  </si>
  <si>
    <t>STT_21670_HoaiHuong</t>
  </si>
  <si>
    <t>STT_21673_HoaiTan</t>
  </si>
  <si>
    <t>STT_21676_HoaiHai</t>
  </si>
  <si>
    <t>STT_21679_HoaiXuan</t>
  </si>
  <si>
    <t>STT_21682_HoaiMy</t>
  </si>
  <si>
    <t>STT_21685_HoaiDuc</t>
  </si>
  <si>
    <t>STT_24620_QuangHoa</t>
  </si>
  <si>
    <t>STT_24622_DakHa</t>
  </si>
  <si>
    <t>STT_24625_DakRMang</t>
  </si>
  <si>
    <t>STT_24631_QuangKhe</t>
  </si>
  <si>
    <t>STT_24634_DakPlao</t>
  </si>
  <si>
    <t>STT_24637_DakSom</t>
  </si>
  <si>
    <t>STT_25489_TanLap</t>
  </si>
  <si>
    <t>STT_25492_ThanhBac</t>
  </si>
  <si>
    <t>STT_25495_TanBinh</t>
  </si>
  <si>
    <t>STT_25498_ThanhBinh</t>
  </si>
  <si>
    <t>STT_25501_ThanhTay</t>
  </si>
  <si>
    <t>STT_25504_HoaHiep</t>
  </si>
  <si>
    <t>STT_25507_TanPhong</t>
  </si>
  <si>
    <t>STT_25510_MoCong</t>
  </si>
  <si>
    <t>STT_25513_TraVong</t>
  </si>
  <si>
    <t>STT_08056_DaiPham</t>
  </si>
  <si>
    <t>STT_08062_DanThuong</t>
  </si>
  <si>
    <t>STT_08065_HaLuong</t>
  </si>
  <si>
    <t>STT_08071_TuHiep</t>
  </si>
  <si>
    <t>STT_08080_HienLuong</t>
  </si>
  <si>
    <t>STT_08089_PhuongVien</t>
  </si>
  <si>
    <t>STT_08092_GiaDien</t>
  </si>
  <si>
    <t>STT_08095_AmHa</t>
  </si>
  <si>
    <t>STT_08104_HuongXa</t>
  </si>
  <si>
    <t>STT_08110_XuanAng</t>
  </si>
  <si>
    <t>STT_08113_YenKy</t>
  </si>
  <si>
    <t>STT_08119_MinhHac</t>
  </si>
  <si>
    <t>STT_08122_LangSon</t>
  </si>
  <si>
    <t>STT_08125_BangGia</t>
  </si>
  <si>
    <t>STT_08128_YenLuat</t>
  </si>
  <si>
    <t>STT_08131_VoTranh</t>
  </si>
  <si>
    <t>STT_08134_VanLang</t>
  </si>
  <si>
    <t>STT_08140_MinhCoi</t>
  </si>
  <si>
    <t>STT_08143_VinhChan</t>
  </si>
  <si>
    <t>STT_31081_AnThoi</t>
  </si>
  <si>
    <t>STT_31084_CuaCan</t>
  </si>
  <si>
    <t>STT_31087_GanhDau</t>
  </si>
  <si>
    <t>STT_31090_CuaDuong</t>
  </si>
  <si>
    <t>STT_31093_HamNinh</t>
  </si>
  <si>
    <t>STT_31096_DuongTo</t>
  </si>
  <si>
    <t>STT_31102_BaiThom</t>
  </si>
  <si>
    <t>STT_31105_ThoChau</t>
  </si>
  <si>
    <t>STT_25837_ChanhPhuHoa</t>
  </si>
  <si>
    <t>STT_25840_AnDien</t>
  </si>
  <si>
    <t>STT_25843_AnTay</t>
  </si>
  <si>
    <t>STT_25846_ThoiHoa</t>
  </si>
  <si>
    <t>STT_25849_HoaLoi</t>
  </si>
  <si>
    <t>STT_25852_TanDinh</t>
  </si>
  <si>
    <t>STT_25855_PhuAn</t>
  </si>
  <si>
    <t>STT_22330_VinhHai</t>
  </si>
  <si>
    <t>STT_22333_VinhPhuoc</t>
  </si>
  <si>
    <t>STT_22336_NgocHiep</t>
  </si>
  <si>
    <t>STT_22339_VinhTho</t>
  </si>
  <si>
    <t>STT_22342_XuongHuan</t>
  </si>
  <si>
    <t>STT_22345_VanThang</t>
  </si>
  <si>
    <t>STT_22348_VanThanh</t>
  </si>
  <si>
    <t>STT_22351_PhuongSai</t>
  </si>
  <si>
    <t>STT_22354_PhuongSon</t>
  </si>
  <si>
    <t>STT_22357_PhuocHai</t>
  </si>
  <si>
    <t>STT_22360_PhuocTan</t>
  </si>
  <si>
    <t>STT_22363_LocTho</t>
  </si>
  <si>
    <t>STT_22366_PhuocTien</t>
  </si>
  <si>
    <t>STT_22369_TanLap</t>
  </si>
  <si>
    <t>STT_22372_PhuocHoa</t>
  </si>
  <si>
    <t>STT_22375_VinhNguyen</t>
  </si>
  <si>
    <t>STT_22378_PhuocLong</t>
  </si>
  <si>
    <t>STT_22381_VinhTruong</t>
  </si>
  <si>
    <t>STT_22384_VinhLuong</t>
  </si>
  <si>
    <t>STT_22387_VinhPhuong</t>
  </si>
  <si>
    <t>STT_22390_VinhNgoc</t>
  </si>
  <si>
    <t>STT_22393_VinhThanh</t>
  </si>
  <si>
    <t>STT_22396_VinhTrung</t>
  </si>
  <si>
    <t>STT_22399_VinhHiep</t>
  </si>
  <si>
    <t>STT_22402_VinhThai</t>
  </si>
  <si>
    <t>STT_22405_PhuocDong</t>
  </si>
  <si>
    <t>STT_04501_TanDong</t>
  </si>
  <si>
    <t>STT_04504_BaoDap</t>
  </si>
  <si>
    <t>STT_04507_DaoThinh</t>
  </si>
  <si>
    <t>STT_04510_VietThanh</t>
  </si>
  <si>
    <t>STT_04513_HoaCuong</t>
  </si>
  <si>
    <t>STT_04516_MinhQuan</t>
  </si>
  <si>
    <t>STT_04519_QuyMong</t>
  </si>
  <si>
    <t>STT_04522_CuongThinh</t>
  </si>
  <si>
    <t>STT_04525_KienThanh</t>
  </si>
  <si>
    <t>STT_04528_NgaQuan</t>
  </si>
  <si>
    <t>STT_04531_YCan</t>
  </si>
  <si>
    <t>STT_04537_LuongThinh</t>
  </si>
  <si>
    <t>STT_04561_BaoHung</t>
  </si>
  <si>
    <t>STT_04564_VietCuong</t>
  </si>
  <si>
    <t>STT_04567_MinhQuan</t>
  </si>
  <si>
    <t>STT_04570_HongCa</t>
  </si>
  <si>
    <t>STT_04573_HungThinh</t>
  </si>
  <si>
    <t>STT_04576_HungKhanh</t>
  </si>
  <si>
    <t>STT_04579_VietHong</t>
  </si>
  <si>
    <t>STT_04582_VanHoi</t>
  </si>
  <si>
    <t>STT_07306_NhaNam</t>
  </si>
  <si>
    <t>STT_07309_TanTrung</t>
  </si>
  <si>
    <t>STT_07312_DaiHoa</t>
  </si>
  <si>
    <t>STT_07315_QuangTien</t>
  </si>
  <si>
    <t>STT_07318_PhucSon</t>
  </si>
  <si>
    <t>STT_07321_AnDuong</t>
  </si>
  <si>
    <t>STT_07324_PhucHoa</t>
  </si>
  <si>
    <t>STT_07327_LienSon</t>
  </si>
  <si>
    <t>STT_07330_HopDuc</t>
  </si>
  <si>
    <t>STT_07333_LamCot</t>
  </si>
  <si>
    <t>STT_07336_CaoXa</t>
  </si>
  <si>
    <t>STT_07339_CaoThuong</t>
  </si>
  <si>
    <t>STT_07342_VietNgoc</t>
  </si>
  <si>
    <t>STT_07345_SongVan</t>
  </si>
  <si>
    <t>STT_07348_NgocChau</t>
  </si>
  <si>
    <t>STT_07351_NgocVan</t>
  </si>
  <si>
    <t>STT_07354_VietLap</t>
  </si>
  <si>
    <t>STT_07357_LienChung</t>
  </si>
  <si>
    <t>STT_07360_NgocThien</t>
  </si>
  <si>
    <t>STT_07363_NgocLy</t>
  </si>
  <si>
    <t>STT_07366_QueNham</t>
  </si>
  <si>
    <t>STT_07195_DongTien</t>
  </si>
  <si>
    <t>STT_07198_ThanhLan</t>
  </si>
  <si>
    <t>STT_20440_GaRi</t>
  </si>
  <si>
    <t>STT_20443_AXan</t>
  </si>
  <si>
    <t>STT_20446_TrHy</t>
  </si>
  <si>
    <t>STT_20449_Lang</t>
  </si>
  <si>
    <t>STT_20452_ANong</t>
  </si>
  <si>
    <t>STT_20455_ATieng</t>
  </si>
  <si>
    <t>STT_20458_BhaLe</t>
  </si>
  <si>
    <t>STT_20461_AVuong</t>
  </si>
  <si>
    <t>STT_20464_Dang</t>
  </si>
  <si>
    <t>STT_29626_MyPhuoc</t>
  </si>
  <si>
    <t>STT_29629_AnPhuoc</t>
  </si>
  <si>
    <t>STT_29632_NhonPhu</t>
  </si>
  <si>
    <t>STT_29635_LongMy</t>
  </si>
  <si>
    <t>STT_29638_HoaTinh</t>
  </si>
  <si>
    <t>STT_29641_CaiNhum</t>
  </si>
  <si>
    <t>STT_29644_BinhPhuoc</t>
  </si>
  <si>
    <t>STT_29647_ChanhAn</t>
  </si>
  <si>
    <t>STT_29650_TanAnHoi</t>
  </si>
  <si>
    <t>STT_29653_TanLong</t>
  </si>
  <si>
    <t>STT_29656_TanLongHoi</t>
  </si>
  <si>
    <t>STT_05719_SangMoc</t>
  </si>
  <si>
    <t>STT_05722_NghinhTuong</t>
  </si>
  <si>
    <t>STT_05725_ThanXa</t>
  </si>
  <si>
    <t>STT_05728_VuChan</t>
  </si>
  <si>
    <t>STT_05731_ThuongNung</t>
  </si>
  <si>
    <t>STT_05734_PhuThuong</t>
  </si>
  <si>
    <t>STT_05737_CucDuong</t>
  </si>
  <si>
    <t>STT_05740_LaHien</t>
  </si>
  <si>
    <t>STT_05743_LauThuong</t>
  </si>
  <si>
    <t>STT_05746_TrangXa</t>
  </si>
  <si>
    <t>STT_05749_PhuongGiao</t>
  </si>
  <si>
    <t>STT_05752_LienMinh</t>
  </si>
  <si>
    <t>STT_05755_DanTien</t>
  </si>
  <si>
    <t>STT_05758_BinhLong</t>
  </si>
  <si>
    <t>STT_31369_DongThanh</t>
  </si>
  <si>
    <t>STT_31375_DongPhu</t>
  </si>
  <si>
    <t>STT_31378_PhuHuu</t>
  </si>
  <si>
    <t>STT_31379_PhuTan</t>
  </si>
  <si>
    <t>STT_31381_MaiDam</t>
  </si>
  <si>
    <t>STT_31384_DongPhuoc</t>
  </si>
  <si>
    <t>STT_31387_DongPhuocA</t>
  </si>
  <si>
    <t>STT_31472_TraLong</t>
  </si>
  <si>
    <t>STT_31473_BinhThanh</t>
  </si>
  <si>
    <t>STT_31474_LongBinh</t>
  </si>
  <si>
    <t>STT_31475_VinhTuong</t>
  </si>
  <si>
    <t>STT_31477_LongTri</t>
  </si>
  <si>
    <t>STT_31478_LongTriA</t>
  </si>
  <si>
    <t>STT_31480_LongPhu</t>
  </si>
  <si>
    <t>STT_31481_TanPhu</t>
  </si>
  <si>
    <t>STT_27667_BinhKhanh</t>
  </si>
  <si>
    <t>STT_27670_TamThonHiep</t>
  </si>
  <si>
    <t>STT_27673_AnThoiDong</t>
  </si>
  <si>
    <t>STT_27676_ThanhAn</t>
  </si>
  <si>
    <t>STT_27679_LongHoa</t>
  </si>
  <si>
    <t>STT_27682_LyNhon</t>
  </si>
  <si>
    <t>STT_32236_TanAnTay</t>
  </si>
  <si>
    <t>STT_32239_VienAnDong</t>
  </si>
  <si>
    <t>STT_32242_VienAn</t>
  </si>
  <si>
    <t>STT_32244_RachGoc</t>
  </si>
  <si>
    <t>STT_32245_TanAn</t>
  </si>
  <si>
    <t>STT_32248_DatMui</t>
  </si>
  <si>
    <t>STT_26623_PhuocThuan</t>
  </si>
  <si>
    <t>STT_26626_PhuocTan</t>
  </si>
  <si>
    <t>STT_26629_XuyenMoc</t>
  </si>
  <si>
    <t>STT_26632_BongTrang</t>
  </si>
  <si>
    <t>STT_26635_TanLam</t>
  </si>
  <si>
    <t>STT_26638_BauLam</t>
  </si>
  <si>
    <t>STT_26641_HoaBinh</t>
  </si>
  <si>
    <t>STT_26644_HoaHung</t>
  </si>
  <si>
    <t>STT_26647_HoaHiep</t>
  </si>
  <si>
    <t>STT_26650_HoaHoi</t>
  </si>
  <si>
    <t>STT_26653_BungRieng</t>
  </si>
  <si>
    <t>STT_26656_BinhChau</t>
  </si>
  <si>
    <t>STT_23407_DakNa</t>
  </si>
  <si>
    <t>STT_23410_MangRi</t>
  </si>
  <si>
    <t>STT_23413_NgocYeu</t>
  </si>
  <si>
    <t>STT_23416_DakSao</t>
  </si>
  <si>
    <t>STT_23417_DakRoOng</t>
  </si>
  <si>
    <t>STT_23419_DakToKan</t>
  </si>
  <si>
    <t>STT_23422_TuMoRong</t>
  </si>
  <si>
    <t>STT_23425_DakHa</t>
  </si>
  <si>
    <t>STT_23446_TeXang</t>
  </si>
  <si>
    <t>STT_23449_VanXuoi</t>
  </si>
  <si>
    <t>STT_26251_ThanhBinh</t>
  </si>
  <si>
    <t>STT_26254_CayGao</t>
  </si>
  <si>
    <t>STT_26257_BauHam</t>
  </si>
  <si>
    <t>STT_26260_SongThao</t>
  </si>
  <si>
    <t>STT_26263_SongTrau</t>
  </si>
  <si>
    <t>STT_26266_DongHoa</t>
  </si>
  <si>
    <t>STT_26269_BacSon</t>
  </si>
  <si>
    <t>STT_26272_HoNai3</t>
  </si>
  <si>
    <t>STT_26275_TayHoa</t>
  </si>
  <si>
    <t>STT_26278_BinhMinh</t>
  </si>
  <si>
    <t>STT_26281_TrungHoa</t>
  </si>
  <si>
    <t>STT_26284_Doi61</t>
  </si>
  <si>
    <t>STT_26287_HungThinh</t>
  </si>
  <si>
    <t>STT_26290_QuangTien</t>
  </si>
  <si>
    <t>STT_26293_GiangDien</t>
  </si>
  <si>
    <t>STT_26296_AnVien</t>
  </si>
  <si>
    <t>STT_12022_XuanQuan</t>
  </si>
  <si>
    <t>STT_12025_CuuCao</t>
  </si>
  <si>
    <t>STT_12028_PhungCong</t>
  </si>
  <si>
    <t>STT_12031_NghiaTru</t>
  </si>
  <si>
    <t>STT_12034_LongHung</t>
  </si>
  <si>
    <t>STT_12037_VinhKhuc</t>
  </si>
  <si>
    <t>STT_12040_LienNghia</t>
  </si>
  <si>
    <t>STT_12043_TanTien</t>
  </si>
  <si>
    <t>STT_12046_ThangLoi</t>
  </si>
  <si>
    <t>STT_12049_MeSo</t>
  </si>
  <si>
    <t>STT_04063_ChiengDong</t>
  </si>
  <si>
    <t>STT_04066_SapVat</t>
  </si>
  <si>
    <t>STT_04069_ChiengSang</t>
  </si>
  <si>
    <t>STT_04072_ChiengPan</t>
  </si>
  <si>
    <t>STT_04075_ViengLan</t>
  </si>
  <si>
    <t>STT_04078_ChiengHac</t>
  </si>
  <si>
    <t>STT_04081_MuongLum</t>
  </si>
  <si>
    <t>STT_04084_ChiengOn</t>
  </si>
  <si>
    <t>STT_04087_YenSon</t>
  </si>
  <si>
    <t>STT_04090_ChiengKhoi</t>
  </si>
  <si>
    <t>STT_04093_TuNang</t>
  </si>
  <si>
    <t>STT_04096_LongPhieng</t>
  </si>
  <si>
    <t>STT_04099_PhiengKhoai</t>
  </si>
  <si>
    <t>STT_04102_ChiengTuong</t>
  </si>
  <si>
    <t>STT_31642_SongPhung</t>
  </si>
  <si>
    <t>STT_31645_DaiNgai</t>
  </si>
  <si>
    <t>STT_31648_HauThanh</t>
  </si>
  <si>
    <t>STT_31651_LongDuc</t>
  </si>
  <si>
    <t>STT_31654_TruongKhanh</t>
  </si>
  <si>
    <t>STT_31657_PhuHuu</t>
  </si>
  <si>
    <t>STT_31660_TanHung</t>
  </si>
  <si>
    <t>STT_31663_ChauKhanh</t>
  </si>
  <si>
    <t>STT_31666_TanThanh</t>
  </si>
  <si>
    <t>STT_31669_LongPhu</t>
  </si>
  <si>
    <t>STT_09250_VietThong</t>
  </si>
  <si>
    <t>STT_09253_DaiXuan</t>
  </si>
  <si>
    <t>STT_09259_NhanHoa</t>
  </si>
  <si>
    <t>STT_09262_BangAn</t>
  </si>
  <si>
    <t>STT_09265_PhuongLieu</t>
  </si>
  <si>
    <t>STT_09268_QueTan</t>
  </si>
  <si>
    <t>STT_09274_PhuLuong</t>
  </si>
  <si>
    <t>STT_09277_PhuLang</t>
  </si>
  <si>
    <t>STT_09280_PhuongMao</t>
  </si>
  <si>
    <t>STT_09283_VietHung</t>
  </si>
  <si>
    <t>STT_09289_NgocXa</t>
  </si>
  <si>
    <t>STT_09292_ChauPhong</t>
  </si>
  <si>
    <t>STT_09295_BongLai</t>
  </si>
  <si>
    <t>STT_09298_CachBi</t>
  </si>
  <si>
    <t>STT_09301_DaoVien</t>
  </si>
  <si>
    <t>STT_09304_YenGia</t>
  </si>
  <si>
    <t>STT_09307_MoDao</t>
  </si>
  <si>
    <t>STT_09310_DucLong</t>
  </si>
  <si>
    <t>STT_09313_ChiLang</t>
  </si>
  <si>
    <t>STT_09316_HanQuang</t>
  </si>
  <si>
    <t>STT_20725_PhuocXuan</t>
  </si>
  <si>
    <t>STT_20728_PhuocHiep</t>
  </si>
  <si>
    <t>STT_20729_PhuocHoa</t>
  </si>
  <si>
    <t>STT_20731_PhuocDuc</t>
  </si>
  <si>
    <t>STT_20734_PhuocNang</t>
  </si>
  <si>
    <t>STT_20737_PhuocMy</t>
  </si>
  <si>
    <t>STT_20740_PhuocChanh</t>
  </si>
  <si>
    <t>STT_20743_PhuocCong</t>
  </si>
  <si>
    <t>STT_20746_PhuocKim</t>
  </si>
  <si>
    <t>STT_20749_PhuocLoc</t>
  </si>
  <si>
    <t>STT_20752_PhuocThanh</t>
  </si>
  <si>
    <t>STT_03394_ThenSin</t>
  </si>
  <si>
    <t>STT_03400_TaLeng</t>
  </si>
  <si>
    <t>STT_03405_GiangMa</t>
  </si>
  <si>
    <t>STT_03406_HoThau</t>
  </si>
  <si>
    <t>STT_03412_BinhLu</t>
  </si>
  <si>
    <t>STT_03413_SonBinh</t>
  </si>
  <si>
    <t>STT_03415_NungNang</t>
  </si>
  <si>
    <t>STT_03418_BanGiang</t>
  </si>
  <si>
    <t>STT_03421_BanHon</t>
  </si>
  <si>
    <t>STT_03424_BanBo</t>
  </si>
  <si>
    <t>STT_03427_NaTam</t>
  </si>
  <si>
    <t>STT_03430_KhunHa</t>
  </si>
  <si>
    <t>STT_04627_NTTranPhu</t>
  </si>
  <si>
    <t>STT_04630_TuLe</t>
  </si>
  <si>
    <t>STT_04633_NamBung</t>
  </si>
  <si>
    <t>STT_04636_GiaHoi</t>
  </si>
  <si>
    <t>STT_04639_SungDo</t>
  </si>
  <si>
    <t>STT_04642_NamMuoi</t>
  </si>
  <si>
    <t>STT_04645_AnLuong</t>
  </si>
  <si>
    <t>STT_04648_NamLanh</t>
  </si>
  <si>
    <t>STT_04651_SonLuong</t>
  </si>
  <si>
    <t>STT_04654_SuoiQuyen</t>
  </si>
  <si>
    <t>STT_04657_SuoiGiang</t>
  </si>
  <si>
    <t>STT_04666_NghiaSon</t>
  </si>
  <si>
    <t>STT_04669_SuoiBu</t>
  </si>
  <si>
    <t>STT_04672_SonThinh</t>
  </si>
  <si>
    <t>STT_04687_DaiLich</t>
  </si>
  <si>
    <t>STT_04690_DongKhe</t>
  </si>
  <si>
    <t>STT_04693_CatThinh</t>
  </si>
  <si>
    <t>STT_04696_TanThinh</t>
  </si>
  <si>
    <t>STT_04699_ChanThinh</t>
  </si>
  <si>
    <t>STT_04702_BinhThuan</t>
  </si>
  <si>
    <t>STT_04705_ThuongBangLa</t>
  </si>
  <si>
    <t>STT_04708_MinhAn</t>
  </si>
  <si>
    <t>STT_04711_NghiaTam</t>
  </si>
  <si>
    <t>STT_25309_HungPhuoc</t>
  </si>
  <si>
    <t>STT_25310_PhuocThien</t>
  </si>
  <si>
    <t>STT_25312_ThienHung</t>
  </si>
  <si>
    <t>STT_25315_ThanhHoa</t>
  </si>
  <si>
    <t>STT_25318_TanThanh</t>
  </si>
  <si>
    <t>STT_25321_TanTien</t>
  </si>
  <si>
    <t>STT_16780_ChauBinh</t>
  </si>
  <si>
    <t>STT_16783_ChauThuan</t>
  </si>
  <si>
    <t>STT_16786_ChauHoi</t>
  </si>
  <si>
    <t>STT_16789_ChauNga</t>
  </si>
  <si>
    <t>STT_16792_ChauTien</t>
  </si>
  <si>
    <t>STT_16795_ChauHanh</t>
  </si>
  <si>
    <t>STT_16798_ChauThang</t>
  </si>
  <si>
    <t>STT_16801_ChauPhong</t>
  </si>
  <si>
    <t>STT_16804_ChauBinh</t>
  </si>
  <si>
    <t>STT_16807_ChauHoan</t>
  </si>
  <si>
    <t>STT_16810_DienLam</t>
  </si>
  <si>
    <t>STT_32068_BienBach</t>
  </si>
  <si>
    <t>STT_32069_TanBang</t>
  </si>
  <si>
    <t>STT_32071_TriPhai</t>
  </si>
  <si>
    <t>STT_32072_TriLuc</t>
  </si>
  <si>
    <t>STT_32074_BienBachDong</t>
  </si>
  <si>
    <t>STT_32077_ThoiBinh</t>
  </si>
  <si>
    <t>STT_32080_TanPhu</t>
  </si>
  <si>
    <t>STT_32083_TanLocBac</t>
  </si>
  <si>
    <t>STT_32086_TanLoc</t>
  </si>
  <si>
    <t>STT_32089_TanLocDong</t>
  </si>
  <si>
    <t>STT_32092_HoThiKy</t>
  </si>
  <si>
    <t>STT_08293_MyLung</t>
  </si>
  <si>
    <t>STT_08296_MyLuong</t>
  </si>
  <si>
    <t>STT_08299_LuongSon</t>
  </si>
  <si>
    <t>STT_08302_XuanAn</t>
  </si>
  <si>
    <t>STT_08305_XuanVien</t>
  </si>
  <si>
    <t>STT_08308_XuanThuy</t>
  </si>
  <si>
    <t>STT_08311_TrungSon</t>
  </si>
  <si>
    <t>STT_08314_HungLong</t>
  </si>
  <si>
    <t>STT_08317_NgaHoang</t>
  </si>
  <si>
    <t>STT_08320_DongLac</t>
  </si>
  <si>
    <t>STT_08323_ThuongLong</t>
  </si>
  <si>
    <t>STT_08326_DongThinh</t>
  </si>
  <si>
    <t>STT_08329_PhucKhanh</t>
  </si>
  <si>
    <t>STT_08332_MinhHoa</t>
  </si>
  <si>
    <t>STT_08335_NgocLap</t>
  </si>
  <si>
    <t>STT_08338_NgocDong</t>
  </si>
  <si>
    <t>STT_30769_DongHo</t>
  </si>
  <si>
    <t>STT_30772_BinhSan</t>
  </si>
  <si>
    <t>STT_30775_PhaoDai</t>
  </si>
  <si>
    <t>STT_30778_MyDuc</t>
  </si>
  <si>
    <t>STT_30781_TienHai</t>
  </si>
  <si>
    <t>STT_30784_ThuanYen</t>
  </si>
  <si>
    <t>STT_09895_QuocOai</t>
  </si>
  <si>
    <t>STT_09898_SaiSon</t>
  </si>
  <si>
    <t>STT_09901_PhuongCach</t>
  </si>
  <si>
    <t>STT_09904_YenSon</t>
  </si>
  <si>
    <t>STT_09907_NgocLiep</t>
  </si>
  <si>
    <t>STT_09910_NgocMy</t>
  </si>
  <si>
    <t>STT_09913_LiepTuyet</t>
  </si>
  <si>
    <t>STT_09916_ThachThan</t>
  </si>
  <si>
    <t>STT_09919_DongQuang</t>
  </si>
  <si>
    <t>STT_09922_PhuCat</t>
  </si>
  <si>
    <t>STT_09925_TuyetNghia</t>
  </si>
  <si>
    <t>STT_09928_NghiaHuong</t>
  </si>
  <si>
    <t>STT_09931_CongHoa</t>
  </si>
  <si>
    <t>STT_09934_TanPhu</t>
  </si>
  <si>
    <t>STT_09937_DaiThanh</t>
  </si>
  <si>
    <t>STT_09940_PhuMan</t>
  </si>
  <si>
    <t>STT_09943_CanHuu</t>
  </si>
  <si>
    <t>STT_09946_TanHoa</t>
  </si>
  <si>
    <t>STT_09949_HoaThach</t>
  </si>
  <si>
    <t>STT_09952_DongYen</t>
  </si>
  <si>
    <t>STT_31757_HungLoi</t>
  </si>
  <si>
    <t>STT_31759_LamTan</t>
  </si>
  <si>
    <t>STT_31762_ThanhTan</t>
  </si>
  <si>
    <t>STT_31765_LamKiet</t>
  </si>
  <si>
    <t>STT_31768_TuanTuc</t>
  </si>
  <si>
    <t>STT_31771_VinhThanh</t>
  </si>
  <si>
    <t>STT_31774_ThanhTri</t>
  </si>
  <si>
    <t>STT_31777_VinhLoi</t>
  </si>
  <si>
    <t>STT_31780_ChauHung</t>
  </si>
  <si>
    <t>STT_22492_DaiLanh</t>
  </si>
  <si>
    <t>STT_22495_VanPhuoc</t>
  </si>
  <si>
    <t>STT_22498_VanLong</t>
  </si>
  <si>
    <t>STT_22501_VanBinh</t>
  </si>
  <si>
    <t>STT_22504_VanTho</t>
  </si>
  <si>
    <t>STT_22507_VanKhanh</t>
  </si>
  <si>
    <t>STT_22510_VanPhu</t>
  </si>
  <si>
    <t>STT_22513_VanLuong</t>
  </si>
  <si>
    <t>STT_22516_VanThang</t>
  </si>
  <si>
    <t>STT_22519_VanThanh</t>
  </si>
  <si>
    <t>STT_22522_XuanSon</t>
  </si>
  <si>
    <t>STT_22525_VanHung</t>
  </si>
  <si>
    <t>STT_23680_HaDong</t>
  </si>
  <si>
    <t>STT_23683_DakSomei</t>
  </si>
  <si>
    <t>STT_23684_DakKrong</t>
  </si>
  <si>
    <t>STT_23686_HaiYang</t>
  </si>
  <si>
    <t>STT_23689_KonGang</t>
  </si>
  <si>
    <t>STT_23692_HaBau</t>
  </si>
  <si>
    <t>STT_23695_NamYang</t>
  </si>
  <si>
    <t>STT_23698_KDang</t>
  </si>
  <si>
    <t>STT_23701_HNeng</t>
  </si>
  <si>
    <t>STT_23704_TanBinh</t>
  </si>
  <si>
    <t>STT_23707_Glar</t>
  </si>
  <si>
    <t>STT_23710_ADok</t>
  </si>
  <si>
    <t>STT_23713_Trang</t>
  </si>
  <si>
    <t>STT_23714_HNol</t>
  </si>
  <si>
    <t>STT_23716_IaPet</t>
  </si>
  <si>
    <t>STT_23719_IaBang</t>
  </si>
  <si>
    <t>STT_23008_PhanSon</t>
  </si>
  <si>
    <t>STT_23011_PhanLam</t>
  </si>
  <si>
    <t>STT_23014_BinhAn</t>
  </si>
  <si>
    <t>STT_23017_PhanDien</t>
  </si>
  <si>
    <t>STT_23020_HaiNinh</t>
  </si>
  <si>
    <t>STT_23023_SongLuy</t>
  </si>
  <si>
    <t>STT_23026_PhanTien</t>
  </si>
  <si>
    <t>STT_23029_SongBinh</t>
  </si>
  <si>
    <t>STT_23032_LuongSon</t>
  </si>
  <si>
    <t>STT_23035_PhanHoa</t>
  </si>
  <si>
    <t>STT_23038_PhanThanh</t>
  </si>
  <si>
    <t>STT_23041_HongThai</t>
  </si>
  <si>
    <t>STT_23044_PhanHiep</t>
  </si>
  <si>
    <t>STT_23047_BinhTan</t>
  </si>
  <si>
    <t>STT_23050_PhanRiThanh</t>
  </si>
  <si>
    <t>STT_23053_HoaThang</t>
  </si>
  <si>
    <t>STT_23056_HongPhong</t>
  </si>
  <si>
    <t>STT_22741_PhuocMy</t>
  </si>
  <si>
    <t>STT_22744_BaoAn</t>
  </si>
  <si>
    <t>STT_22747_PhuHa</t>
  </si>
  <si>
    <t>STT_22750_ThanhSon</t>
  </si>
  <si>
    <t>STT_22753_MyHuong</t>
  </si>
  <si>
    <t>STT_22756_TanTai</t>
  </si>
  <si>
    <t>STT_22759_KinhDinh</t>
  </si>
  <si>
    <t>STT_22762_DaoLong</t>
  </si>
  <si>
    <t>STT_22765_DaiSon</t>
  </si>
  <si>
    <t>STT_22768_DongHai</t>
  </si>
  <si>
    <t>STT_22771_MyDong</t>
  </si>
  <si>
    <t>STT_22774_ThanhHai</t>
  </si>
  <si>
    <t>STT_22777_VanHai</t>
  </si>
  <si>
    <t>STT_22779_MyBinh</t>
  </si>
  <si>
    <t>STT_22780_MyHai</t>
  </si>
  <si>
    <t>STT_29905_1</t>
  </si>
  <si>
    <t>STT_29908_4</t>
  </si>
  <si>
    <t>STT_29911_2</t>
  </si>
  <si>
    <t>STT_29914_TanKhanhDong</t>
  </si>
  <si>
    <t>STT_29917_TanQuyDong</t>
  </si>
  <si>
    <t>STT_29919_AnHoa</t>
  </si>
  <si>
    <t>STT_29920_TanQuyTay</t>
  </si>
  <si>
    <t>STT_29923_TanPhuDong</t>
  </si>
  <si>
    <t>STT_18760_KyBac</t>
  </si>
  <si>
    <t>STT_18763_KyPhu</t>
  </si>
  <si>
    <t>STT_18766_KyPhong</t>
  </si>
  <si>
    <t>STT_18769_KyTien</t>
  </si>
  <si>
    <t>STT_18772_KyGiang</t>
  </si>
  <si>
    <t>STT_18775_KyDong</t>
  </si>
  <si>
    <t>STT_18778_KyKhang</t>
  </si>
  <si>
    <t>STT_18784_KyVan</t>
  </si>
  <si>
    <t>STT_18787_KyTrung</t>
  </si>
  <si>
    <t>STT_18790_KyTho</t>
  </si>
  <si>
    <t>STT_18793_KyTay</t>
  </si>
  <si>
    <t>STT_18799_KyThuong</t>
  </si>
  <si>
    <t>STT_18802_KyHai</t>
  </si>
  <si>
    <t>STT_18805_KyThu</t>
  </si>
  <si>
    <t>STT_18811_KyChau</t>
  </si>
  <si>
    <t>STT_18814_KyTan</t>
  </si>
  <si>
    <t>STT_18838_LamHop</t>
  </si>
  <si>
    <t>STT_18844_KySon</t>
  </si>
  <si>
    <t>STT_18850_KyLac</t>
  </si>
  <si>
    <t>STT_22897_PhuocNam</t>
  </si>
  <si>
    <t>STT_22898_PhuocNinh</t>
  </si>
  <si>
    <t>STT_22900_NhiHa</t>
  </si>
  <si>
    <t>STT_22903_PhuocDinh</t>
  </si>
  <si>
    <t>STT_22906_PhuocMinh</t>
  </si>
  <si>
    <t>STT_22909_PhuocDiem</t>
  </si>
  <si>
    <t>STT_22910_CaNa</t>
  </si>
  <si>
    <t>STT_29419_MyLong</t>
  </si>
  <si>
    <t>STT_29422_MyLongBac</t>
  </si>
  <si>
    <t>STT_29425_MyLongNam</t>
  </si>
  <si>
    <t>STT_29428_MyHoa</t>
  </si>
  <si>
    <t>STT_29431_VinhKim</t>
  </si>
  <si>
    <t>STT_29434_KimHoa</t>
  </si>
  <si>
    <t>STT_29437_HiepHoa</t>
  </si>
  <si>
    <t>STT_29440_ThuanHoa</t>
  </si>
  <si>
    <t>STT_29443_LongSon</t>
  </si>
  <si>
    <t>STT_29446_NhiTruong</t>
  </si>
  <si>
    <t>STT_29449_TruongTho</t>
  </si>
  <si>
    <t>STT_29452_HiepMyDong</t>
  </si>
  <si>
    <t>STT_29455_HiepMyTay</t>
  </si>
  <si>
    <t>STT_29458_ThanhHoaSon</t>
  </si>
  <si>
    <t>STT_24214_IaLop</t>
  </si>
  <si>
    <t>STT_24215_IaJLoi</t>
  </si>
  <si>
    <t>STT_24217_EaRok</t>
  </si>
  <si>
    <t>STT_24220_YaToMot</t>
  </si>
  <si>
    <t>STT_24221_IaRVe</t>
  </si>
  <si>
    <t>STT_24223_EaLe</t>
  </si>
  <si>
    <t>STT_24226_CuKBang</t>
  </si>
  <si>
    <t>STT_24229_EaBung</t>
  </si>
  <si>
    <t>STT_24232_CuMLan</t>
  </si>
  <si>
    <t>STT_01861_NhanMon</t>
  </si>
  <si>
    <t>STT_01864_BocBo</t>
  </si>
  <si>
    <t>STT_01867_CongBang</t>
  </si>
  <si>
    <t>STT_01870_GiaoHieu</t>
  </si>
  <si>
    <t>STT_01873_XuanLa</t>
  </si>
  <si>
    <t>STT_01876_AnThang</t>
  </si>
  <si>
    <t>STT_01879_CoLinh</t>
  </si>
  <si>
    <t>STT_01882_NghienLoan</t>
  </si>
  <si>
    <t>STT_01885_CaoTan</t>
  </si>
  <si>
    <t>STT_21352_LongMai</t>
  </si>
  <si>
    <t>STT_21355_ThanhAn</t>
  </si>
  <si>
    <t>STT_21358_LongMon</t>
  </si>
  <si>
    <t>STT_21361_LongHiep</t>
  </si>
  <si>
    <t>STT_22786_PhuocHoa</t>
  </si>
  <si>
    <t>STT_22789_PhuocTan</t>
  </si>
  <si>
    <t>STT_22792_PhuocTien</t>
  </si>
  <si>
    <t>STT_22795_PhuocThang</t>
  </si>
  <si>
    <t>STT_22798_PhuocThanh</t>
  </si>
  <si>
    <t>STT_22801_PhuocDai</t>
  </si>
  <si>
    <t>STT_22804_PhuocChinh</t>
  </si>
  <si>
    <t>STT_22807_PhuocTrung</t>
  </si>
  <si>
    <t>STT_30853_TanHoi</t>
  </si>
  <si>
    <t>STT_30856_TanThanh</t>
  </si>
  <si>
    <t>STT_30859_TanHiepB</t>
  </si>
  <si>
    <t>STT_30860_TanHoa</t>
  </si>
  <si>
    <t>STT_30862_ThanhDongB</t>
  </si>
  <si>
    <t>STT_30865_ThanhDong</t>
  </si>
  <si>
    <t>STT_30868_TanHiepA</t>
  </si>
  <si>
    <t>STT_30871_TanAn</t>
  </si>
  <si>
    <t>STT_30874_ThanhDongA</t>
  </si>
  <si>
    <t>STT_30877_ThanhTri</t>
  </si>
  <si>
    <t>STT_23888_IaKly</t>
  </si>
  <si>
    <t>STT_23890_BinhGiao</t>
  </si>
  <si>
    <t>STT_23893_IaDrang</t>
  </si>
  <si>
    <t>STT_23896_ThangHung</t>
  </si>
  <si>
    <t>STT_23899_BauCan</t>
  </si>
  <si>
    <t>STT_23902_IaPhin</t>
  </si>
  <si>
    <t>STT_23905_IaBang</t>
  </si>
  <si>
    <t>STT_23908_IaTor</t>
  </si>
  <si>
    <t>STT_23911_IaBoong</t>
  </si>
  <si>
    <t>STT_23914_IaO</t>
  </si>
  <si>
    <t>STT_23917_IaPuch</t>
  </si>
  <si>
    <t>STT_23920_IaMe</t>
  </si>
  <si>
    <t>STT_23923_IaVe</t>
  </si>
  <si>
    <t>STT_23924_IaBang</t>
  </si>
  <si>
    <t>STT_23926_IaPia</t>
  </si>
  <si>
    <t>STT_23929_IaGa</t>
  </si>
  <si>
    <t>STT_23932_IaLau</t>
  </si>
  <si>
    <t>STT_23935_IaPior</t>
  </si>
  <si>
    <t>STT_23938_IaMo</t>
  </si>
  <si>
    <t>STT_32098_SongDoc</t>
  </si>
  <si>
    <t>STT_32101_KhanhBinhTayBac</t>
  </si>
  <si>
    <t>STT_32104_KhanhBinhTay</t>
  </si>
  <si>
    <t>STT_32107_TranHoi</t>
  </si>
  <si>
    <t>STT_32108_KhanhLoc</t>
  </si>
  <si>
    <t>STT_32110_KhanhBinh</t>
  </si>
  <si>
    <t>STT_32113_KhanhHung</t>
  </si>
  <si>
    <t>STT_32116_KhanhBinhDong</t>
  </si>
  <si>
    <t>STT_32119_KhanhHai</t>
  </si>
  <si>
    <t>STT_32122_LoiAn</t>
  </si>
  <si>
    <t>STT_32124_PhongDien</t>
  </si>
  <si>
    <t>STT_32125_PhongLac</t>
  </si>
  <si>
    <t>STT_17107_QuynhLoc</t>
  </si>
  <si>
    <t>STT_17110_QuynhThien</t>
  </si>
  <si>
    <t>STT_17113_QuynhLap</t>
  </si>
  <si>
    <t>STT_17116_QuynhTrang</t>
  </si>
  <si>
    <t>STT_17125_MaiHung</t>
  </si>
  <si>
    <t>STT_17128_QuynhDi</t>
  </si>
  <si>
    <t>STT_17131_QuynhXuan</t>
  </si>
  <si>
    <t>STT_17134_QuynhPhuong</t>
  </si>
  <si>
    <t>STT_17137_QuynhLien</t>
  </si>
  <si>
    <t>STT_31618_AnThanh1</t>
  </si>
  <si>
    <t>STT_31621_AnThanhTay</t>
  </si>
  <si>
    <t>STT_31624_AnThanhDong</t>
  </si>
  <si>
    <t>STT_31627_DaiAn1</t>
  </si>
  <si>
    <t>STT_31630_AnThanh2</t>
  </si>
  <si>
    <t>STT_31633_AnThanh3</t>
  </si>
  <si>
    <t>STT_31636_AnThanhNam</t>
  </si>
  <si>
    <t>STT_09457_VanNinh</t>
  </si>
  <si>
    <t>STT_09460_ThaiBao</t>
  </si>
  <si>
    <t>STT_09463_GiangSon</t>
  </si>
  <si>
    <t>STT_09466_CaoDuc</t>
  </si>
  <si>
    <t>STT_09469_DaiLai</t>
  </si>
  <si>
    <t>STT_09472_SongGiang</t>
  </si>
  <si>
    <t>STT_09475_BinhDuong</t>
  </si>
  <si>
    <t>STT_09478_LangNgam</t>
  </si>
  <si>
    <t>STT_09481_NhanThang</t>
  </si>
  <si>
    <t>STT_09484_XuanLai</t>
  </si>
  <si>
    <t>STT_09487_DongCuu</t>
  </si>
  <si>
    <t>STT_09490_DaiBai</t>
  </si>
  <si>
    <t>STT_09493_QuynhPhu</t>
  </si>
  <si>
    <t>STT_04792_TanHoa</t>
  </si>
  <si>
    <t>STT_04795_ThinhLang</t>
  </si>
  <si>
    <t>STT_04798_HuuNghi</t>
  </si>
  <si>
    <t>STT_04801_TanThinh</t>
  </si>
  <si>
    <t>STT_04804_DongTien</t>
  </si>
  <si>
    <t>STT_04807_PhuongLam</t>
  </si>
  <si>
    <t>STT_04813_YenMong</t>
  </si>
  <si>
    <t>STT_04816_QuynhLam</t>
  </si>
  <si>
    <t>STT_04819_DanChu</t>
  </si>
  <si>
    <t>STT_04825_HoaBinh</t>
  </si>
  <si>
    <t>STT_04828_ThongNhat</t>
  </si>
  <si>
    <t>STT_04894_KySon</t>
  </si>
  <si>
    <t>STT_04897_ThinhMinh</t>
  </si>
  <si>
    <t>STT_04903_HopThanh</t>
  </si>
  <si>
    <t>STT_04906_QuangTien</t>
  </si>
  <si>
    <t>STT_04912_MongHoa</t>
  </si>
  <si>
    <t>STT_04918_TrungMinh</t>
  </si>
  <si>
    <t>STT_04921_DocLap</t>
  </si>
  <si>
    <t>STT_22210_EaLam</t>
  </si>
  <si>
    <t>STT_22213_DucBinhTay</t>
  </si>
  <si>
    <t>STT_22216_EaBa</t>
  </si>
  <si>
    <t>STT_22219_SonGiang</t>
  </si>
  <si>
    <t>STT_22222_DucBinhDong</t>
  </si>
  <si>
    <t>STT_22225_EaBar</t>
  </si>
  <si>
    <t>STT_22228_EaBia</t>
  </si>
  <si>
    <t>STT_22231_EaTrol</t>
  </si>
  <si>
    <t>STT_22234_SongHinh</t>
  </si>
  <si>
    <t>STT_22237_Ealy</t>
  </si>
  <si>
    <t>STT_31673_TranDe</t>
  </si>
  <si>
    <t>STT_31675_LieuTu</t>
  </si>
  <si>
    <t>STT_31678_LichHoiThuong</t>
  </si>
  <si>
    <t>STT_31679_LichHoiThuong</t>
  </si>
  <si>
    <t>STT_31681_TrungBinh</t>
  </si>
  <si>
    <t>STT_31687_TaiVan</t>
  </si>
  <si>
    <t>STT_31696_VienAn</t>
  </si>
  <si>
    <t>STT_31699_ThanhThoiAn</t>
  </si>
  <si>
    <t>STT_31702_ThanhThoiThuan</t>
  </si>
  <si>
    <t>STT_31705_VienBinh</t>
  </si>
  <si>
    <t>STT_04378_LangThip</t>
  </si>
  <si>
    <t>STT_04381_LamGiang</t>
  </si>
  <si>
    <t>STT_04384_ChauQueThuong</t>
  </si>
  <si>
    <t>STT_04387_ChauQueHa</t>
  </si>
  <si>
    <t>STT_04390_AnBinh</t>
  </si>
  <si>
    <t>STT_04393_QuangMinh</t>
  </si>
  <si>
    <t>STT_04396_DongAn</t>
  </si>
  <si>
    <t>STT_04399_DongCuong</t>
  </si>
  <si>
    <t>STT_04402_PhongDuHa</t>
  </si>
  <si>
    <t>STT_04405_MauDong</t>
  </si>
  <si>
    <t>STT_04408_NgoiA</t>
  </si>
  <si>
    <t>STT_04411_XuanTam</t>
  </si>
  <si>
    <t>STT_04414_TanHop</t>
  </si>
  <si>
    <t>STT_04417_AnThinh</t>
  </si>
  <si>
    <t>STT_04420_YenThai</t>
  </si>
  <si>
    <t>STT_04423_PhongDuThuong</t>
  </si>
  <si>
    <t>STT_04426_YenHop</t>
  </si>
  <si>
    <t>STT_04429_DaiSon</t>
  </si>
  <si>
    <t>STT_04435_DaiPhac</t>
  </si>
  <si>
    <t>STT_04438_YenPhu</t>
  </si>
  <si>
    <t>STT_04441_XuanAi</t>
  </si>
  <si>
    <t>STT_04447_VienSon</t>
  </si>
  <si>
    <t>STT_04450_MoVang</t>
  </si>
  <si>
    <t>STT_04453_NaHau</t>
  </si>
  <si>
    <t>STT_05911_BanDat</t>
  </si>
  <si>
    <t>STT_05917_TanKhanh</t>
  </si>
  <si>
    <t>STT_05920_TanKim</t>
  </si>
  <si>
    <t>STT_05923_TanThanh</t>
  </si>
  <si>
    <t>STT_05926_DaoXa</t>
  </si>
  <si>
    <t>STT_05929_BaoLy</t>
  </si>
  <si>
    <t>STT_05932_ThuongDinh</t>
  </si>
  <si>
    <t>STT_05935_TanHoa</t>
  </si>
  <si>
    <t>STT_05938_NhaLong</t>
  </si>
  <si>
    <t>STT_05941_DiemThuy</t>
  </si>
  <si>
    <t>STT_05944_XuanPhuong</t>
  </si>
  <si>
    <t>STT_05947_TanDuc</t>
  </si>
  <si>
    <t>STT_05950_UcKy</t>
  </si>
  <si>
    <t>STT_05953_LuongPhu</t>
  </si>
  <si>
    <t>STT_05956_NgaMy</t>
  </si>
  <si>
    <t>STT_05959_KhaSon</t>
  </si>
  <si>
    <t>STT_05962_ThanhNinh</t>
  </si>
  <si>
    <t>STT_05965_DuongThanh</t>
  </si>
  <si>
    <t>STT_05968_HaChau</t>
  </si>
  <si>
    <t>STT_17509_MaThanh</t>
  </si>
  <si>
    <t>STT_17510_TienThanh</t>
  </si>
  <si>
    <t>STT_17512_LangThanh</t>
  </si>
  <si>
    <t>STT_17515_TanThanh</t>
  </si>
  <si>
    <t>STT_17518_DucThanh</t>
  </si>
  <si>
    <t>STT_17521_KimThanh</t>
  </si>
  <si>
    <t>STT_17524_HauThanh</t>
  </si>
  <si>
    <t>STT_17525_HungThanh</t>
  </si>
  <si>
    <t>STT_17527_DoThanh</t>
  </si>
  <si>
    <t>STT_17530_ThoThanh</t>
  </si>
  <si>
    <t>STT_17533_QuangThanh</t>
  </si>
  <si>
    <t>STT_17536_TayThanh</t>
  </si>
  <si>
    <t>STT_17539_PhucThanh</t>
  </si>
  <si>
    <t>STT_17542_HongThanh</t>
  </si>
  <si>
    <t>STT_17545_DongThanh</t>
  </si>
  <si>
    <t>STT_17548_PhuThanh</t>
  </si>
  <si>
    <t>STT_17551_HoaThanh</t>
  </si>
  <si>
    <t>STT_17554_TangThanh</t>
  </si>
  <si>
    <t>STT_17557_VanThanh</t>
  </si>
  <si>
    <t>STT_17560_ThinhThanh</t>
  </si>
  <si>
    <t>STT_17563_HopThanh</t>
  </si>
  <si>
    <t>STT_17566_XuanThanh</t>
  </si>
  <si>
    <t>STT_17569_BacThanh</t>
  </si>
  <si>
    <t>STT_17572_NhanThanh</t>
  </si>
  <si>
    <t>STT_17575_TrungThanh</t>
  </si>
  <si>
    <t>STT_17578_LongThanh</t>
  </si>
  <si>
    <t>STT_17581_MinhThanh</t>
  </si>
  <si>
    <t>STT_17584_NamThanh</t>
  </si>
  <si>
    <t>STT_17587_VinhThanh</t>
  </si>
  <si>
    <t>STT_17590_LyThanh</t>
  </si>
  <si>
    <t>STT_17593_KhanhThanh</t>
  </si>
  <si>
    <t>STT_17596_VienThanh</t>
  </si>
  <si>
    <t>STT_17599_DaiThanh</t>
  </si>
  <si>
    <t>STT_17602_LienThanh</t>
  </si>
  <si>
    <t>STT_17605_BaoThanh</t>
  </si>
  <si>
    <t>STT_17608_MyThanh</t>
  </si>
  <si>
    <t>STT_17611_CongThanh</t>
  </si>
  <si>
    <t>STT_17614_SonThanh</t>
  </si>
  <si>
    <t>STT_06811_ThanhSon</t>
  </si>
  <si>
    <t>STT_06814_BacSon</t>
  </si>
  <si>
    <t>STT_06817_QuangTrung</t>
  </si>
  <si>
    <t>STT_06820_TrungVuong</t>
  </si>
  <si>
    <t>STT_06823_NamKhe</t>
  </si>
  <si>
    <t>STT_06826_YenThanh</t>
  </si>
  <si>
    <t>STT_06829_ThuongYenCong</t>
  </si>
  <si>
    <t>STT_06832_PhuongDong</t>
  </si>
  <si>
    <t>STT_06835_PhuongNam</t>
  </si>
  <si>
    <t>STT_31120_AnHoa</t>
  </si>
  <si>
    <t>STT_31123_ThoiBinh</t>
  </si>
  <si>
    <t>STT_31126_AnNghiep</t>
  </si>
  <si>
    <t>STT_31129_AnCu</t>
  </si>
  <si>
    <t>STT_31135_TanAn</t>
  </si>
  <si>
    <t>STT_31141_AnPhu</t>
  </si>
  <si>
    <t>STT_31144_XuanKhanh</t>
  </si>
  <si>
    <t>STT_31147_HungLoi</t>
  </si>
  <si>
    <t>STT_31149_AnKhanh</t>
  </si>
  <si>
    <t>STT_31150_AnBinh</t>
  </si>
  <si>
    <t>STT_14872_ThanhSon</t>
  </si>
  <si>
    <t>STT_14875_TrungSon</t>
  </si>
  <si>
    <t>STT_14878_PhuThanh</t>
  </si>
  <si>
    <t>STT_14881_TrungThanh</t>
  </si>
  <si>
    <t>STT_14884_PhuLe</t>
  </si>
  <si>
    <t>STT_14887_PhuSon</t>
  </si>
  <si>
    <t>STT_14890_PhuXuan</t>
  </si>
  <si>
    <t>STT_14896_HienChung</t>
  </si>
  <si>
    <t>STT_14899_HienKiet</t>
  </si>
  <si>
    <t>STT_14902_NamTien</t>
  </si>
  <si>
    <t>STT_14908_ThienPhu</t>
  </si>
  <si>
    <t>STT_14911_PhuNghiem</t>
  </si>
  <si>
    <t>STT_14914_NamXuan</t>
  </si>
  <si>
    <t>STT_14917_NamDong</t>
  </si>
  <si>
    <t>STT_15775_ThieuNgoc</t>
  </si>
  <si>
    <t>STT_15778_ThieuVu</t>
  </si>
  <si>
    <t>STT_15781_ThieuPhuc</t>
  </si>
  <si>
    <t>STT_15784_ThieuTien</t>
  </si>
  <si>
    <t>STT_15787_ThieuCong</t>
  </si>
  <si>
    <t>STT_15793_ThieuLong</t>
  </si>
  <si>
    <t>STT_15796_ThieuGiang</t>
  </si>
  <si>
    <t>STT_15799_ThieuDuy</t>
  </si>
  <si>
    <t>STT_15802_ThieuNguyen</t>
  </si>
  <si>
    <t>STT_15805_ThieuHop</t>
  </si>
  <si>
    <t>STT_15808_ThieuThinh</t>
  </si>
  <si>
    <t>STT_15811_ThieuQuang</t>
  </si>
  <si>
    <t>STT_15814_ThieuThanh</t>
  </si>
  <si>
    <t>STT_15817_ThieuToan</t>
  </si>
  <si>
    <t>STT_15820_ThieuChinh</t>
  </si>
  <si>
    <t>STT_15823_ThieuHoa</t>
  </si>
  <si>
    <t>STT_15829_HauHien</t>
  </si>
  <si>
    <t>STT_15832_ThieuVien</t>
  </si>
  <si>
    <t>STT_15835_ThieuLy</t>
  </si>
  <si>
    <t>STT_15838_ThieuVan</t>
  </si>
  <si>
    <t>STT_15841_ThieuTrung</t>
  </si>
  <si>
    <t>STT_15847_TanChau</t>
  </si>
  <si>
    <t>STT_15853_ThieuGiao</t>
  </si>
  <si>
    <t>STT_30955_VinhHoaHungBac</t>
  </si>
  <si>
    <t>STT_30958_DinhHoa</t>
  </si>
  <si>
    <t>STT_30961_ThoiQuan</t>
  </si>
  <si>
    <t>STT_30964_DinhAn</t>
  </si>
  <si>
    <t>STT_30967_ThuyLieu</t>
  </si>
  <si>
    <t>STT_30970_VinhHoaHungNam</t>
  </si>
  <si>
    <t>STT_30973_VinhPhuocA</t>
  </si>
  <si>
    <t>STT_30976_VinhPhuocB</t>
  </si>
  <si>
    <t>STT_30979_VinhTuy</t>
  </si>
  <si>
    <t>STT_30982_VinhThang</t>
  </si>
  <si>
    <t>STT_26797_BinhChieu</t>
  </si>
  <si>
    <t>STT_26800_LinhTrung</t>
  </si>
  <si>
    <t>STT_26803_TamBinh</t>
  </si>
  <si>
    <t>STT_26806_TamPhu</t>
  </si>
  <si>
    <t>STT_26809_HiepBinhPhuoc</t>
  </si>
  <si>
    <t>STT_26812_HiepBinhChanh</t>
  </si>
  <si>
    <t>STT_26815_LinhChieu</t>
  </si>
  <si>
    <t>STT_26818_LinhTay</t>
  </si>
  <si>
    <t>STT_26821_LinhDong</t>
  </si>
  <si>
    <t>STT_26824_BinhTho</t>
  </si>
  <si>
    <t>STT_26827_TruongTho</t>
  </si>
  <si>
    <t>STT_26830_LongBinh</t>
  </si>
  <si>
    <t>STT_26833_LongThanhMy</t>
  </si>
  <si>
    <t>STT_26836_TanPhu</t>
  </si>
  <si>
    <t>STT_26839_HiepPhu</t>
  </si>
  <si>
    <t>STT_26842_TangNhonPhuA</t>
  </si>
  <si>
    <t>STT_26845_TangNhonPhuB</t>
  </si>
  <si>
    <t>STT_26848_PhuocLongB</t>
  </si>
  <si>
    <t>STT_26851_PhuocLongA</t>
  </si>
  <si>
    <t>STT_26854_TruongThanh</t>
  </si>
  <si>
    <t>STT_26857_LongPhuoc</t>
  </si>
  <si>
    <t>STT_26860_LongTruong</t>
  </si>
  <si>
    <t>STT_26863_PhuocBinh</t>
  </si>
  <si>
    <t>STT_26866_PhuHuu</t>
  </si>
  <si>
    <t>STT_27088_ThaoDien</t>
  </si>
  <si>
    <t>STT_27091_AnPhu</t>
  </si>
  <si>
    <t>STT_27094_AnKhanh</t>
  </si>
  <si>
    <t>STT_27097_BinhTrungDong</t>
  </si>
  <si>
    <t>STT_27100_BinhTrungTay</t>
  </si>
  <si>
    <t>STT_27109_CatLai</t>
  </si>
  <si>
    <t>STT_27112_ThanhMyLoi</t>
  </si>
  <si>
    <t>STT_27115_AnLoiDong</t>
  </si>
  <si>
    <t>STT_27118_ThuThiem</t>
  </si>
  <si>
    <t>STT_10444_DongTam</t>
  </si>
  <si>
    <t>STT_10447_ThuongLam</t>
  </si>
  <si>
    <t>STT_10450_TuyLai</t>
  </si>
  <si>
    <t>STT_10453_PhucLam</t>
  </si>
  <si>
    <t>STT_10456_MyThanh</t>
  </si>
  <si>
    <t>STT_10459_BotXuyen</t>
  </si>
  <si>
    <t>STT_10462_AnMy</t>
  </si>
  <si>
    <t>STT_10465_HongSon</t>
  </si>
  <si>
    <t>STT_10468_LeThanh</t>
  </si>
  <si>
    <t>STT_10471_XuyXa</t>
  </si>
  <si>
    <t>STT_10474_PhungXa</t>
  </si>
  <si>
    <t>STT_10477_PhuLuuTe</t>
  </si>
  <si>
    <t>STT_10480_DaiHung</t>
  </si>
  <si>
    <t>STT_10483_VanKim</t>
  </si>
  <si>
    <t>STT_10486_DocTin</t>
  </si>
  <si>
    <t>STT_10489_HuongSon</t>
  </si>
  <si>
    <t>STT_10492_HungTien</t>
  </si>
  <si>
    <t>STT_10495_AnTien</t>
  </si>
  <si>
    <t>STT_10498_HopTien</t>
  </si>
  <si>
    <t>STT_10501_HopThanh</t>
  </si>
  <si>
    <t>STT_10504_AnPhu</t>
  </si>
  <si>
    <t>STT_01099_NanXin</t>
  </si>
  <si>
    <t>STT_01102_BanDiu</t>
  </si>
  <si>
    <t>STT_01105_ChiCa</t>
  </si>
  <si>
    <t>STT_01108_XinMan</t>
  </si>
  <si>
    <t>STT_01114_ThenPhang</t>
  </si>
  <si>
    <t>STT_01117_TrungThinh</t>
  </si>
  <si>
    <t>STT_01120_PaVaySu</t>
  </si>
  <si>
    <t>STT_01123_CocRe</t>
  </si>
  <si>
    <t>STT_01126_ThuTa</t>
  </si>
  <si>
    <t>STT_01129_NanMa</t>
  </si>
  <si>
    <t>STT_01132_TaNhiu</t>
  </si>
  <si>
    <t>STT_01135_BanNgo</t>
  </si>
  <si>
    <t>STT_01138_CheLa</t>
  </si>
  <si>
    <t>STT_01141_NamDan</t>
  </si>
  <si>
    <t>STT_01144_QuangNguyen</t>
  </si>
  <si>
    <t>STT_01147_NaChi</t>
  </si>
  <si>
    <t>STT_01150_KhuonLung</t>
  </si>
  <si>
    <t>STT_25330_AnKhuong</t>
  </si>
  <si>
    <t>STT_25339_AnPhu</t>
  </si>
  <si>
    <t>STT_25342_TanLoi</t>
  </si>
  <si>
    <t>STT_25345_TanHung</t>
  </si>
  <si>
    <t>STT_25348_MinhDuc</t>
  </si>
  <si>
    <t>STT_25349_MinhTam</t>
  </si>
  <si>
    <t>STT_25351_PhuocAn</t>
  </si>
  <si>
    <t>STT_25354_ThanhBinh</t>
  </si>
  <si>
    <t>STT_25357_TanKhai</t>
  </si>
  <si>
    <t>STT_25360_DongNo</t>
  </si>
  <si>
    <t>STT_25361_TanHiep</t>
  </si>
  <si>
    <t>STT_25438_TanQuan</t>
  </si>
  <si>
    <t>STT_27469_TanThuanTay</t>
  </si>
  <si>
    <t>STT_27472_TanKieng</t>
  </si>
  <si>
    <t>STT_27475_TanHung</t>
  </si>
  <si>
    <t>STT_27478_BinhThuan</t>
  </si>
  <si>
    <t>STT_27481_TanQuy</t>
  </si>
  <si>
    <t>STT_27484_PhuThuan</t>
  </si>
  <si>
    <t>STT_27487_TanPhu</t>
  </si>
  <si>
    <t>STT_27490_TanPhong</t>
  </si>
  <si>
    <t>STT_27493_PhuMy</t>
  </si>
  <si>
    <t>STT_21292_SonHa</t>
  </si>
  <si>
    <t>STT_21295_SonThanh</t>
  </si>
  <si>
    <t>STT_21298_SonNham</t>
  </si>
  <si>
    <t>STT_21301_SonBao</t>
  </si>
  <si>
    <t>STT_21304_SonLinh</t>
  </si>
  <si>
    <t>STT_21307_SonGiang</t>
  </si>
  <si>
    <t>STT_21310_SonTrung</t>
  </si>
  <si>
    <t>STT_21313_SonThuong</t>
  </si>
  <si>
    <t>STT_21316_SonCao</t>
  </si>
  <si>
    <t>STT_21319_SonHai</t>
  </si>
  <si>
    <t>STT_21322_SonThuy</t>
  </si>
  <si>
    <t>STT_21325_SonKy</t>
  </si>
  <si>
    <t>STT_21328_SonBa</t>
  </si>
  <si>
    <t>STT_09370_TamSon</t>
  </si>
  <si>
    <t>STT_09373_HuongMac</t>
  </si>
  <si>
    <t>STT_09376_TuongGiang</t>
  </si>
  <si>
    <t>STT_09379_PhuKhe</t>
  </si>
  <si>
    <t>STT_09382_DongKy</t>
  </si>
  <si>
    <t>STT_09383_TrangHa</t>
  </si>
  <si>
    <t>STT_09385_DongNguyen</t>
  </si>
  <si>
    <t>STT_09388_ChauKhe</t>
  </si>
  <si>
    <t>STT_09391_TanHong</t>
  </si>
  <si>
    <t>STT_09394_DinhBang</t>
  </si>
  <si>
    <t>STT_09397_PhuChan</t>
  </si>
  <si>
    <t>STT_21442_PhoAn</t>
  </si>
  <si>
    <t>STT_21445_PhoPhong</t>
  </si>
  <si>
    <t>STT_21448_PhoThuan</t>
  </si>
  <si>
    <t>STT_21451_PhoVan</t>
  </si>
  <si>
    <t>STT_21454_PhoQuang</t>
  </si>
  <si>
    <t>STT_21457_PhoNhon</t>
  </si>
  <si>
    <t>STT_21460_PhoNinh</t>
  </si>
  <si>
    <t>STT_21463_PhoMinh</t>
  </si>
  <si>
    <t>STT_21466_PhoVinh</t>
  </si>
  <si>
    <t>STT_21469_PhoHoa</t>
  </si>
  <si>
    <t>STT_21472_PhoCuong</t>
  </si>
  <si>
    <t>STT_21475_PhoKhanh</t>
  </si>
  <si>
    <t>STT_21478_PhoThanh</t>
  </si>
  <si>
    <t>STT_21481_PhoChau</t>
  </si>
  <si>
    <t>STT_24259_QuangPhu</t>
  </si>
  <si>
    <t>STT_24262_QuangTien</t>
  </si>
  <si>
    <t>STT_24264_EaKueh</t>
  </si>
  <si>
    <t>STT_24265_EaKiet</t>
  </si>
  <si>
    <t>STT_24268_EaTar</t>
  </si>
  <si>
    <t>STT_24271_CuDlieMnong</t>
  </si>
  <si>
    <t>STT_24274_EaHdinh</t>
  </si>
  <si>
    <t>STT_24277_EaTul</t>
  </si>
  <si>
    <t>STT_24280_EaKPam</t>
  </si>
  <si>
    <t>STT_24283_EaMDRoh</t>
  </si>
  <si>
    <t>STT_24286_QuangHiep</t>
  </si>
  <si>
    <t>STT_24289_CuMgar</t>
  </si>
  <si>
    <t>STT_24292_EaDRong</t>
  </si>
  <si>
    <t>STT_24295_EaMnang</t>
  </si>
  <si>
    <t>STT_24298_CuSue</t>
  </si>
  <si>
    <t>STT_24301_CuorDang</t>
  </si>
  <si>
    <t>STT_02539_TrungYen</t>
  </si>
  <si>
    <t>STT_02542_MinhThanh</t>
  </si>
  <si>
    <t>STT_02545_TanTrao</t>
  </si>
  <si>
    <t>STT_02548_VinhLoi</t>
  </si>
  <si>
    <t>STT_02551_ThuongAm</t>
  </si>
  <si>
    <t>STT_02554_BinhYen</t>
  </si>
  <si>
    <t>STT_02557_LuongThien</t>
  </si>
  <si>
    <t>STT_02560_TuThinh</t>
  </si>
  <si>
    <t>STT_02563_CapTien</t>
  </si>
  <si>
    <t>STT_02566_HopThanh</t>
  </si>
  <si>
    <t>STT_02569_PhucUng</t>
  </si>
  <si>
    <t>STT_02572_DongTho</t>
  </si>
  <si>
    <t>STT_02575_KhangNhat</t>
  </si>
  <si>
    <t>STT_02578_HopHoa</t>
  </si>
  <si>
    <t>STT_02584_QuyetThang</t>
  </si>
  <si>
    <t>STT_02587_DongQuy</t>
  </si>
  <si>
    <t>STT_02590_TanThanh</t>
  </si>
  <si>
    <t>STT_02596_VanPhu</t>
  </si>
  <si>
    <t>STT_02599_ChiThiet</t>
  </si>
  <si>
    <t>STT_02602_DongLoi</t>
  </si>
  <si>
    <t>STT_02605_ThienKe</t>
  </si>
  <si>
    <t>STT_02608_HongSon</t>
  </si>
  <si>
    <t>STT_02611_PhuLuong</t>
  </si>
  <si>
    <t>STT_02614_NinhLai</t>
  </si>
  <si>
    <t>STT_02617_DaiPhu</t>
  </si>
  <si>
    <t>STT_02620_SonNam</t>
  </si>
  <si>
    <t>STT_02623_HaoPhu</t>
  </si>
  <si>
    <t>STT_02626_TamDa</t>
  </si>
  <si>
    <t>STT_02632_TruongSinh</t>
  </si>
  <si>
    <t>STT_28654_DongSon</t>
  </si>
  <si>
    <t>STT_28657_BinhPhu</t>
  </si>
  <si>
    <t>STT_28660_DongThanh</t>
  </si>
  <si>
    <t>STT_28663_ThanhCong</t>
  </si>
  <si>
    <t>STT_28666_BinhNhi</t>
  </si>
  <si>
    <t>STT_28669_YenLuong</t>
  </si>
  <si>
    <t>STT_28672_ThanhTri</t>
  </si>
  <si>
    <t>STT_28675_ThanhNhut</t>
  </si>
  <si>
    <t>STT_28678_LongVinh</t>
  </si>
  <si>
    <t>STT_28681_BinhTan</t>
  </si>
  <si>
    <t>STT_28684_VinhHuu</t>
  </si>
  <si>
    <t>STT_28687_LongBinh</t>
  </si>
  <si>
    <t>STT_10018_XuanMai</t>
  </si>
  <si>
    <t>STT_10021_PhungChau</t>
  </si>
  <si>
    <t>STT_10024_TienPhuong</t>
  </si>
  <si>
    <t>STT_10027_DongSon</t>
  </si>
  <si>
    <t>STT_10030_DongPhuongYen</t>
  </si>
  <si>
    <t>STT_10033_PhuNghia</t>
  </si>
  <si>
    <t>STT_10039_TruongYen</t>
  </si>
  <si>
    <t>STT_10042_NgocHoa</t>
  </si>
  <si>
    <t>STT_10045_ThuyXuanTien</t>
  </si>
  <si>
    <t>STT_10048_ThanhBinh</t>
  </si>
  <si>
    <t>STT_10051_TrungHoa</t>
  </si>
  <si>
    <t>STT_10054_DaiYen</t>
  </si>
  <si>
    <t>STT_10057_ThuyHuong</t>
  </si>
  <si>
    <t>STT_10060_TotDong</t>
  </si>
  <si>
    <t>STT_10063_LamDien</t>
  </si>
  <si>
    <t>STT_10066_TanTien</t>
  </si>
  <si>
    <t>STT_10069_NamPhuongTien</t>
  </si>
  <si>
    <t>STT_10072_HopDong</t>
  </si>
  <si>
    <t>STT_10075_HoangVanThu</t>
  </si>
  <si>
    <t>STT_10078_HoangDieu</t>
  </si>
  <si>
    <t>STT_10081_HuuVan</t>
  </si>
  <si>
    <t>STT_10084_QuangBi</t>
  </si>
  <si>
    <t>STT_10087_MyLuong</t>
  </si>
  <si>
    <t>STT_10090_ThuongVuc</t>
  </si>
  <si>
    <t>STT_10093_HongPhong</t>
  </si>
  <si>
    <t>STT_10096_DongPhu</t>
  </si>
  <si>
    <t>STT_10099_TranPhu</t>
  </si>
  <si>
    <t>STT_10102_VanVo</t>
  </si>
  <si>
    <t>STT_10105_DongLac</t>
  </si>
  <si>
    <t>STT_10108_HoaChinh</t>
  </si>
  <si>
    <t>STT_10111_PhuNamAn</t>
  </si>
  <si>
    <t>STT_32194_HamRong</t>
  </si>
  <si>
    <t>STT_32197_HiepTung</t>
  </si>
  <si>
    <t>STT_32200_DatMoi</t>
  </si>
  <si>
    <t>STT_32201_LamHai</t>
  </si>
  <si>
    <t>STT_32203_HangVinh</t>
  </si>
  <si>
    <t>STT_32206_TamGiang</t>
  </si>
  <si>
    <t>STT_32209_TamGiangDong</t>
  </si>
  <si>
    <t>STT_08344_TienLuong</t>
  </si>
  <si>
    <t>STT_08347_TuyLoc</t>
  </si>
  <si>
    <t>STT_08350_NgoXa</t>
  </si>
  <si>
    <t>STT_08353_MinhTan</t>
  </si>
  <si>
    <t>STT_08356_PhuongVi</t>
  </si>
  <si>
    <t>STT_08362_ThuyLieu</t>
  </si>
  <si>
    <t>STT_08374_TungKhe</t>
  </si>
  <si>
    <t>STT_08377_TamSon</t>
  </si>
  <si>
    <t>STT_08380_VanBan</t>
  </si>
  <si>
    <t>STT_08383_CapDan</t>
  </si>
  <si>
    <t>STT_08389_XuongThinh</t>
  </si>
  <si>
    <t>STT_08392_PhuKhe</t>
  </si>
  <si>
    <t>STT_08395_SonTinh</t>
  </si>
  <si>
    <t>STT_08398_YenTap</t>
  </si>
  <si>
    <t>STT_08401_HuongLung</t>
  </si>
  <si>
    <t>STT_08404_TaXa</t>
  </si>
  <si>
    <t>STT_08407_PhuLac</t>
  </si>
  <si>
    <t>STT_08413_ChuongXa</t>
  </si>
  <si>
    <t>STT_08416_HungViet</t>
  </si>
  <si>
    <t>STT_08419_VanKhuc</t>
  </si>
  <si>
    <t>STT_08422_YenDuong</t>
  </si>
  <si>
    <t>STT_08428_DieuLuong</t>
  </si>
  <si>
    <t>STT_08431_DongLuong</t>
  </si>
  <si>
    <t>STT_19432_LaoBao</t>
  </si>
  <si>
    <t>STT_19435_HuongLap</t>
  </si>
  <si>
    <t>STT_19438_HuongViet</t>
  </si>
  <si>
    <t>STT_19441_HuongPhung</t>
  </si>
  <si>
    <t>STT_19444_HuongSon</t>
  </si>
  <si>
    <t>STT_19447_HuongLinh</t>
  </si>
  <si>
    <t>STT_19450_TanHop</t>
  </si>
  <si>
    <t>STT_19453_HuongTan</t>
  </si>
  <si>
    <t>STT_19456_TanThanh</t>
  </si>
  <si>
    <t>STT_19459_TanLong</t>
  </si>
  <si>
    <t>STT_19462_TanLap</t>
  </si>
  <si>
    <t>STT_19465_TanLien</t>
  </si>
  <si>
    <t>STT_19468_Huc</t>
  </si>
  <si>
    <t>STT_19471_Thuan</t>
  </si>
  <si>
    <t>STT_19474_HuongLoc</t>
  </si>
  <si>
    <t>STT_19477_BaTang</t>
  </si>
  <si>
    <t>STT_19480_Thanh</t>
  </si>
  <si>
    <t>STT_19483_ADoi</t>
  </si>
  <si>
    <t>STT_19489_Lia</t>
  </si>
  <si>
    <t>STT_19492_Xy</t>
  </si>
  <si>
    <t>STT_29377_DaLoc</t>
  </si>
  <si>
    <t>STT_29380_MyChanh</t>
  </si>
  <si>
    <t>STT_29383_ThanhMy</t>
  </si>
  <si>
    <t>STT_29386_LuongHoaA</t>
  </si>
  <si>
    <t>STT_29389_LuongHoa</t>
  </si>
  <si>
    <t>STT_29392_SongLoc</t>
  </si>
  <si>
    <t>STT_29395_NguyetHoa</t>
  </si>
  <si>
    <t>STT_29398_HoaThuan</t>
  </si>
  <si>
    <t>STT_29401_HoaLoi</t>
  </si>
  <si>
    <t>STT_29404_PhuocHao</t>
  </si>
  <si>
    <t>STT_29407_HungMy</t>
  </si>
  <si>
    <t>STT_29410_HoaMinh</t>
  </si>
  <si>
    <t>STT_29413_LongHoa</t>
  </si>
  <si>
    <t>STT_27211_05</t>
  </si>
  <si>
    <t>STT_27214_14</t>
  </si>
  <si>
    <t>STT_27217_11</t>
  </si>
  <si>
    <t>STT_27220_03</t>
  </si>
  <si>
    <t>STT_27223_10</t>
  </si>
  <si>
    <t>STT_27226_13</t>
  </si>
  <si>
    <t>STT_27229_08</t>
  </si>
  <si>
    <t>STT_27232_09</t>
  </si>
  <si>
    <t>STT_27235_12</t>
  </si>
  <si>
    <t>STT_27238_07</t>
  </si>
  <si>
    <t>STT_27241_06</t>
  </si>
  <si>
    <t>STT_27244_04</t>
  </si>
  <si>
    <t>STT_27247_01</t>
  </si>
  <si>
    <t>STT_27250_02</t>
  </si>
  <si>
    <t>STT_27253_16</t>
  </si>
  <si>
    <t>STT_06898_QuangLam</t>
  </si>
  <si>
    <t>STT_06901_QuangAn</t>
  </si>
  <si>
    <t>STT_06904_TanBinh</t>
  </si>
  <si>
    <t>STT_06910_DucYen</t>
  </si>
  <si>
    <t>STT_06913_QuangTan</t>
  </si>
  <si>
    <t>STT_06916_DamHa</t>
  </si>
  <si>
    <t>STT_06917_TanLap</t>
  </si>
  <si>
    <t>STT_06919_DaiBinh</t>
  </si>
  <si>
    <t>STT_24856_DaLong</t>
  </si>
  <si>
    <t>STT_24859_DaMRong</t>
  </si>
  <si>
    <t>STT_24874_LiengSronh</t>
  </si>
  <si>
    <t>STT_24875_DaRsal</t>
  </si>
  <si>
    <t>STT_24877_RoMen</t>
  </si>
  <si>
    <t>STT_24886_PhiLieng</t>
  </si>
  <si>
    <t>STT_24889_DaKNang</t>
  </si>
  <si>
    <t>STT_25198_TanDong</t>
  </si>
  <si>
    <t>STT_25201_TanBinh</t>
  </si>
  <si>
    <t>STT_25204_TanXuan</t>
  </si>
  <si>
    <t>STT_25205_TanThien</t>
  </si>
  <si>
    <t>STT_25207_TanThanh</t>
  </si>
  <si>
    <t>STT_25210_TienThanh</t>
  </si>
  <si>
    <t>STT_25213_TienHung</t>
  </si>
  <si>
    <t>STT_09787_TrungChau</t>
  </si>
  <si>
    <t>STT_09790_ThoAn</t>
  </si>
  <si>
    <t>STT_09793_ThoXuan</t>
  </si>
  <si>
    <t>STT_09796_HongHa</t>
  </si>
  <si>
    <t>STT_09799_LienHong</t>
  </si>
  <si>
    <t>STT_09802_LienHa</t>
  </si>
  <si>
    <t>STT_09805_HaMo</t>
  </si>
  <si>
    <t>STT_09808_LienTrung</t>
  </si>
  <si>
    <t>STT_09811_PhuongDinh</t>
  </si>
  <si>
    <t>STT_09814_ThuongMo</t>
  </si>
  <si>
    <t>STT_09817_TanHoi</t>
  </si>
  <si>
    <t>STT_09820_TanLap</t>
  </si>
  <si>
    <t>STT_09823_DanPhuong</t>
  </si>
  <si>
    <t>STT_09826_DongThap</t>
  </si>
  <si>
    <t>STT_09829_SongPhuong</t>
  </si>
  <si>
    <t>STT_20110_LangCo</t>
  </si>
  <si>
    <t>STT_20113_VinhMy</t>
  </si>
  <si>
    <t>STT_20116_VinhHung</t>
  </si>
  <si>
    <t>STT_20122_GiangHai</t>
  </si>
  <si>
    <t>STT_20125_VinhHien</t>
  </si>
  <si>
    <t>STT_20128_LocBon</t>
  </si>
  <si>
    <t>STT_20131_LocSon</t>
  </si>
  <si>
    <t>STT_20134_LocBinh</t>
  </si>
  <si>
    <t>STT_20137_LocVinh</t>
  </si>
  <si>
    <t>STT_20140_LocAn</t>
  </si>
  <si>
    <t>STT_20143_LocDien</t>
  </si>
  <si>
    <t>STT_20146_LocThuy</t>
  </si>
  <si>
    <t>STT_20149_LocTri</t>
  </si>
  <si>
    <t>STT_20152_LocTien</t>
  </si>
  <si>
    <t>STT_20155_LocHoa</t>
  </si>
  <si>
    <t>STT_20158_XuanLoc</t>
  </si>
  <si>
    <t>STT_05269_QuyHoa</t>
  </si>
  <si>
    <t>STT_05272_MienDoi</t>
  </si>
  <si>
    <t>STT_05275_MyThanh</t>
  </si>
  <si>
    <t>STT_05278_TuanDao</t>
  </si>
  <si>
    <t>STT_05281_VanNghia</t>
  </si>
  <si>
    <t>STT_05284_VanSon</t>
  </si>
  <si>
    <t>STT_05287_TanLap</t>
  </si>
  <si>
    <t>STT_05290_NhanNghia</t>
  </si>
  <si>
    <t>STT_05293_ThuongCoc</t>
  </si>
  <si>
    <t>STT_05299_QuyetThang</t>
  </si>
  <si>
    <t>STT_05302_XuatHoa</t>
  </si>
  <si>
    <t>STT_05305_YenPhu</t>
  </si>
  <si>
    <t>STT_05308_BinhHem</t>
  </si>
  <si>
    <t>STT_05320_DinhCu</t>
  </si>
  <si>
    <t>STT_05323_ChiDao</t>
  </si>
  <si>
    <t>STT_05329_NgocSon</t>
  </si>
  <si>
    <t>STT_05332_HuongNhuong</t>
  </si>
  <si>
    <t>STT_05335_VuBinh</t>
  </si>
  <si>
    <t>STT_05338_TuDo</t>
  </si>
  <si>
    <t>STT_05341_YenNghiep</t>
  </si>
  <si>
    <t>STT_05344_TanMy</t>
  </si>
  <si>
    <t>STT_05347_AnNghia</t>
  </si>
  <si>
    <t>STT_05350_NgocLau</t>
  </si>
  <si>
    <t>STT_31444_ViTrung</t>
  </si>
  <si>
    <t>STT_31447_ViThuy</t>
  </si>
  <si>
    <t>STT_31450_ViThang</t>
  </si>
  <si>
    <t>STT_31453_VinhThuanTay</t>
  </si>
  <si>
    <t>STT_31456_VinhTrung</t>
  </si>
  <si>
    <t>STT_31459_VinhTuong</t>
  </si>
  <si>
    <t>STT_31462_ViDong</t>
  </si>
  <si>
    <t>STT_31465_ViThanh</t>
  </si>
  <si>
    <t>STT_31468_ViBinh</t>
  </si>
  <si>
    <t>STT_02434_LucHanh</t>
  </si>
  <si>
    <t>STT_02437_KienThiet</t>
  </si>
  <si>
    <t>STT_02440_TrungMinh</t>
  </si>
  <si>
    <t>STT_02443_ChieuYen</t>
  </si>
  <si>
    <t>STT_02446_TrungTruc</t>
  </si>
  <si>
    <t>STT_02449_XuanVan</t>
  </si>
  <si>
    <t>STT_02452_PhucNinh</t>
  </si>
  <si>
    <t>STT_02455_HungLoi</t>
  </si>
  <si>
    <t>STT_02458_TrungSon</t>
  </si>
  <si>
    <t>STT_02461_TanTien</t>
  </si>
  <si>
    <t>STT_02464_TuQuan</t>
  </si>
  <si>
    <t>STT_02467_DaoVien</t>
  </si>
  <si>
    <t>STT_02470_TanLong</t>
  </si>
  <si>
    <t>STT_02473_YenSon</t>
  </si>
  <si>
    <t>STT_02476_KimQuan</t>
  </si>
  <si>
    <t>STT_02479_LangQuan</t>
  </si>
  <si>
    <t>STT_02482_PhuThinh</t>
  </si>
  <si>
    <t>STT_02485_CongDa</t>
  </si>
  <si>
    <t>STT_02488_TrungMon</t>
  </si>
  <si>
    <t>STT_02491_ChanSon</t>
  </si>
  <si>
    <t>STT_02494_ThaiBinh</t>
  </si>
  <si>
    <t>STT_02500_TienBo</t>
  </si>
  <si>
    <t>STT_02506_MyBang</t>
  </si>
  <si>
    <t>STT_02518_HoangKhai</t>
  </si>
  <si>
    <t>STT_02527_NhuHan</t>
  </si>
  <si>
    <t>STT_02530_NhuKhe</t>
  </si>
  <si>
    <t>STT_02533_DoiBinh</t>
  </si>
  <si>
    <t>STT_20296_HoaLien</t>
  </si>
  <si>
    <t>STT_20299_HoaNinh</t>
  </si>
  <si>
    <t>STT_20302_HoaSon</t>
  </si>
  <si>
    <t>STT_20308_HoaNhon</t>
  </si>
  <si>
    <t>STT_20317_HoaPhu</t>
  </si>
  <si>
    <t>STT_20320_HoaPhong</t>
  </si>
  <si>
    <t>STT_20323_HoaChau</t>
  </si>
  <si>
    <t>STT_20326_HoaTien</t>
  </si>
  <si>
    <t>STT_20329_HoaPhuoc</t>
  </si>
  <si>
    <t>STT_20332_HoaKhuong</t>
  </si>
  <si>
    <t>STT_32047_KhanhHoa</t>
  </si>
  <si>
    <t>STT_32048_KhanhThuan</t>
  </si>
  <si>
    <t>STT_32050_KhanhTien</t>
  </si>
  <si>
    <t>STT_32053_NguyenPhich</t>
  </si>
  <si>
    <t>STT_32056_KhanhLam</t>
  </si>
  <si>
    <t>STT_32059_KhanhAn</t>
  </si>
  <si>
    <t>STT_32062_KhanhHoi</t>
  </si>
  <si>
    <t>STT_25366_ThuanLoi</t>
  </si>
  <si>
    <t>STT_25369_DongTam</t>
  </si>
  <si>
    <t>STT_25372_TanPhuoc</t>
  </si>
  <si>
    <t>STT_25375_TanHung</t>
  </si>
  <si>
    <t>STT_25378_TanLoi</t>
  </si>
  <si>
    <t>STT_25381_TanLap</t>
  </si>
  <si>
    <t>STT_25384_TanHoa</t>
  </si>
  <si>
    <t>STT_25387_ThuanPhu</t>
  </si>
  <si>
    <t>STT_25390_DongTien</t>
  </si>
  <si>
    <t>STT_25393_TanTien</t>
  </si>
  <si>
    <t>STT_00622_XuanPhuong</t>
  </si>
  <si>
    <t>STT_00623_PhuongCanh</t>
  </si>
  <si>
    <t>STT_00625_MyDinh1</t>
  </si>
  <si>
    <t>STT_00626_MyDinh2</t>
  </si>
  <si>
    <t>STT_00628_TayMo</t>
  </si>
  <si>
    <t>STT_00631_MeTri</t>
  </si>
  <si>
    <t>STT_00632_PhuDo</t>
  </si>
  <si>
    <t>STT_00634_DaiMo</t>
  </si>
  <si>
    <t>STT_00637_TrungVan</t>
  </si>
  <si>
    <t>STT_12283_NghiaDan</t>
  </si>
  <si>
    <t>STT_12286_ToanThang</t>
  </si>
  <si>
    <t>STT_12289_VinhXa</t>
  </si>
  <si>
    <t>STT_12292_PhamNguLao</t>
  </si>
  <si>
    <t>STT_12295_ThoVinh</t>
  </si>
  <si>
    <t>STT_12298_DongThanh</t>
  </si>
  <si>
    <t>STT_12301_SongMai</t>
  </si>
  <si>
    <t>STT_12304_ChinhNghia</t>
  </si>
  <si>
    <t>STT_12307_NhanLa</t>
  </si>
  <si>
    <t>STT_12310_PhuThinh</t>
  </si>
  <si>
    <t>STT_12313_MaiDong</t>
  </si>
  <si>
    <t>STT_12316_DucHop</t>
  </si>
  <si>
    <t>STT_12319_HungAn</t>
  </si>
  <si>
    <t>STT_12322_NgocThanh</t>
  </si>
  <si>
    <t>STT_12325_VuXa</t>
  </si>
  <si>
    <t>STT_12328_HiepCuong</t>
  </si>
  <si>
    <t>STT_21787_VinhSon</t>
  </si>
  <si>
    <t>STT_21790_VinhKim</t>
  </si>
  <si>
    <t>STT_21796_VinhHiep</t>
  </si>
  <si>
    <t>STT_21799_VinhHao</t>
  </si>
  <si>
    <t>STT_21801_VinhHoa</t>
  </si>
  <si>
    <t>STT_21802_VinhThinh</t>
  </si>
  <si>
    <t>STT_21804_VinhThuan</t>
  </si>
  <si>
    <t>STT_21805_VinhQuang</t>
  </si>
  <si>
    <t>STT_21811_BinhTan</t>
  </si>
  <si>
    <t>STT_21814_TayThuan</t>
  </si>
  <si>
    <t>STT_21817_BinhThuan</t>
  </si>
  <si>
    <t>STT_21820_TayGiang</t>
  </si>
  <si>
    <t>STT_21823_BinhThanh</t>
  </si>
  <si>
    <t>STT_21826_TayAn</t>
  </si>
  <si>
    <t>STT_21829_BinhHoa</t>
  </si>
  <si>
    <t>STT_21832_TayBinh</t>
  </si>
  <si>
    <t>STT_21835_BinhTuong</t>
  </si>
  <si>
    <t>STT_21838_TayVinh</t>
  </si>
  <si>
    <t>STT_21841_VinhAn</t>
  </si>
  <si>
    <t>STT_21844_TayXuan</t>
  </si>
  <si>
    <t>STT_21847_BinhNghi</t>
  </si>
  <si>
    <t>STT_21850_TayPhu</t>
  </si>
  <si>
    <t>STT_18316_AnPhu</t>
  </si>
  <si>
    <t>STT_18319_DucGiang</t>
  </si>
  <si>
    <t>STT_18322_DucLinh</t>
  </si>
  <si>
    <t>STT_18325_ThoDien</t>
  </si>
  <si>
    <t>STT_18328_DucHuong</t>
  </si>
  <si>
    <t>STT_18331_DucBong</t>
  </si>
  <si>
    <t>STT_18334_DucLien</t>
  </si>
  <si>
    <t>STT_18340_HuongMinh</t>
  </si>
  <si>
    <t>STT_18343_QuangTho</t>
  </si>
  <si>
    <t>STT_24046_ChuAThai</t>
  </si>
  <si>
    <t>STT_24048_AyunHa</t>
  </si>
  <si>
    <t>STT_24049_IaAke</t>
  </si>
  <si>
    <t>STT_24052_IaSol</t>
  </si>
  <si>
    <t>STT_24055_IaPiar</t>
  </si>
  <si>
    <t>STT_24058_IaPeng</t>
  </si>
  <si>
    <t>STT_24060_ChrohPonan</t>
  </si>
  <si>
    <t>STT_24061_IaHiao</t>
  </si>
  <si>
    <t>STT_24067_IaYeng</t>
  </si>
  <si>
    <t>STT_20668_NinhPhuoc</t>
  </si>
  <si>
    <t>STT_20669_PhuocNinh</t>
  </si>
  <si>
    <t>STT_20671_QueLoc</t>
  </si>
  <si>
    <t>STT_20672_SonVien</t>
  </si>
  <si>
    <t>STT_20692_QueLam</t>
  </si>
  <si>
    <t>STT_21178_TinhTra</t>
  </si>
  <si>
    <t>STT_21181_TinhPhong</t>
  </si>
  <si>
    <t>STT_21184_TinhHiep</t>
  </si>
  <si>
    <t>STT_21193_TinhBinh</t>
  </si>
  <si>
    <t>STT_21196_TinhDong</t>
  </si>
  <si>
    <t>STT_21205_TinhBac</t>
  </si>
  <si>
    <t>STT_21217_TinhSon</t>
  </si>
  <si>
    <t>STT_21220_TinhHa</t>
  </si>
  <si>
    <t>STT_21226_TinhGiang</t>
  </si>
  <si>
    <t>STT_21229_TinhMinh</t>
  </si>
  <si>
    <t>STT_28111_LongTrach</t>
  </si>
  <si>
    <t>STT_28114_LongKhe</t>
  </si>
  <si>
    <t>STT_28117_LongDinh</t>
  </si>
  <si>
    <t>STT_28120_PhuocVan</t>
  </si>
  <si>
    <t>STT_28123_LongHoa</t>
  </si>
  <si>
    <t>STT_28126_LongCang</t>
  </si>
  <si>
    <t>STT_28129_LongSon</t>
  </si>
  <si>
    <t>STT_28132_TanTrach</t>
  </si>
  <si>
    <t>STT_28135_MyLe</t>
  </si>
  <si>
    <t>STT_28138_TanLan</t>
  </si>
  <si>
    <t>STT_28141_PhuocTuy</t>
  </si>
  <si>
    <t>STT_28144_LongHuuDong</t>
  </si>
  <si>
    <t>STT_28147_TanAn</t>
  </si>
  <si>
    <t>STT_28150_PhuocDong</t>
  </si>
  <si>
    <t>STT_28153_LongHuuTay</t>
  </si>
  <si>
    <t>STT_28156_TanChanh</t>
  </si>
  <si>
    <t>STT_11686_HungDao</t>
  </si>
  <si>
    <t>STT_11689_AnhDung</t>
  </si>
  <si>
    <t>STT_11692_HaiThanh</t>
  </si>
  <si>
    <t>STT_11707_HoaNghia</t>
  </si>
  <si>
    <t>STT_11740_TanThanh</t>
  </si>
  <si>
    <t>STT_03286_MuongDang</t>
  </si>
  <si>
    <t>STT_03287_NgoiCay</t>
  </si>
  <si>
    <t>STT_03292_ngTo</t>
  </si>
  <si>
    <t>STT_03301_BungLao</t>
  </si>
  <si>
    <t>STT_03302_XuanLao</t>
  </si>
  <si>
    <t>STT_03307_ngNua</t>
  </si>
  <si>
    <t>STT_03310_ngCang</t>
  </si>
  <si>
    <t>STT_03312_NamLich</t>
  </si>
  <si>
    <t>STT_03313_MuongLan</t>
  </si>
  <si>
    <t>STT_14563_KhanhTien</t>
  </si>
  <si>
    <t>STT_14566_KhanhPhu</t>
  </si>
  <si>
    <t>STT_14569_KhanhHoa</t>
  </si>
  <si>
    <t>STT_14572_KhanhLoi</t>
  </si>
  <si>
    <t>STT_14575_KhanhAn</t>
  </si>
  <si>
    <t>STT_14578_KhanhCuong</t>
  </si>
  <si>
    <t>STT_14581_KhanhCu</t>
  </si>
  <si>
    <t>STT_14584_KhanhThien</t>
  </si>
  <si>
    <t>STT_14587_KhanhHai</t>
  </si>
  <si>
    <t>STT_14590_KhanhTrung</t>
  </si>
  <si>
    <t>STT_14593_KhanhMau</t>
  </si>
  <si>
    <t>STT_14596_KhanhVan</t>
  </si>
  <si>
    <t>STT_14599_KhanhHoi</t>
  </si>
  <si>
    <t>STT_14602_KhanhCong</t>
  </si>
  <si>
    <t>STT_14608_KhanhThanh</t>
  </si>
  <si>
    <t>STT_14611_KhanhNhac</t>
  </si>
  <si>
    <t>STT_14614_KhanhThuy</t>
  </si>
  <si>
    <t>STT_14617_KhanhHong</t>
  </si>
  <si>
    <t>STT_15190_VanDu</t>
  </si>
  <si>
    <t>STT_15196_ThachLam</t>
  </si>
  <si>
    <t>STT_15199_ThachQuang</t>
  </si>
  <si>
    <t>STT_15202_ThachTuong</t>
  </si>
  <si>
    <t>STT_15205_ThachCam</t>
  </si>
  <si>
    <t>STT_15208_ThachSon</t>
  </si>
  <si>
    <t>STT_15211_ThachBinh</t>
  </si>
  <si>
    <t>STT_15214_ThachDinh</t>
  </si>
  <si>
    <t>STT_15217_ThachDong</t>
  </si>
  <si>
    <t>STT_15220_ThachLong</t>
  </si>
  <si>
    <t>STT_15223_ThanhMy</t>
  </si>
  <si>
    <t>STT_15226_ThanhYen</t>
  </si>
  <si>
    <t>STT_15229_ThanhVinh</t>
  </si>
  <si>
    <t>STT_15232_ThanhMinh</t>
  </si>
  <si>
    <t>STT_15235_ThanhCong</t>
  </si>
  <si>
    <t>STT_15238_ThanhTan</t>
  </si>
  <si>
    <t>STT_15241_ThanhTruc</t>
  </si>
  <si>
    <t>STT_15247_ThanhTam</t>
  </si>
  <si>
    <t>STT_15250_ThanhAn</t>
  </si>
  <si>
    <t>STT_15253_ThanhTho</t>
  </si>
  <si>
    <t>STT_15256_ThanhTien</t>
  </si>
  <si>
    <t>STT_15259_ThanhLong</t>
  </si>
  <si>
    <t>STT_15265_ThanhHung</t>
  </si>
  <si>
    <t>STT_15268_NgocTrao</t>
  </si>
  <si>
    <t>STT_06997_DaiXuyen</t>
  </si>
  <si>
    <t>STT_07000_BinhDan</t>
  </si>
  <si>
    <t>STT_07003_VanYen</t>
  </si>
  <si>
    <t>STT_07006_MinhChau</t>
  </si>
  <si>
    <t>STT_07009_DoanKet</t>
  </si>
  <si>
    <t>STT_07012_HaLong</t>
  </si>
  <si>
    <t>STT_07015_DongXa</t>
  </si>
  <si>
    <t>STT_07018_BanSen</t>
  </si>
  <si>
    <t>STT_07021_ThangLoi</t>
  </si>
  <si>
    <t>STT_07024_QuanLan</t>
  </si>
  <si>
    <t>STT_07027_NgocVung</t>
  </si>
  <si>
    <t>STT_14812_BaDinh</t>
  </si>
  <si>
    <t>STT_14815_LamSon</t>
  </si>
  <si>
    <t>STT_14818_NgocTrao</t>
  </si>
  <si>
    <t>STT_14821_DongSon</t>
  </si>
  <si>
    <t>STT_14823_PhuSon</t>
  </si>
  <si>
    <t>STT_14824_QuangTrung</t>
  </si>
  <si>
    <t>STT_29515_LongToan</t>
  </si>
  <si>
    <t>STT_29516_2</t>
  </si>
  <si>
    <t>STT_29518_LongHuu</t>
  </si>
  <si>
    <t>STT_29524_DanThanh</t>
  </si>
  <si>
    <t>STT_29527_TruongLongHoa</t>
  </si>
  <si>
    <t>STT_29539_HiepThanh</t>
  </si>
  <si>
    <t>STT_09835_DucThuong</t>
  </si>
  <si>
    <t>STT_09838_MinhKhai</t>
  </si>
  <si>
    <t>STT_09841_DuongLieu</t>
  </si>
  <si>
    <t>STT_09844_DiTrach</t>
  </si>
  <si>
    <t>STT_09847_DucGiang</t>
  </si>
  <si>
    <t>STT_09850_CatQue</t>
  </si>
  <si>
    <t>STT_09853_KimChung</t>
  </si>
  <si>
    <t>STT_09856_YenSo</t>
  </si>
  <si>
    <t>STT_09859_SonDong</t>
  </si>
  <si>
    <t>STT_09862_VanCanh</t>
  </si>
  <si>
    <t>STT_09865_DacSo</t>
  </si>
  <si>
    <t>STT_09868_LaiYen</t>
  </si>
  <si>
    <t>STT_09871_TienYen</t>
  </si>
  <si>
    <t>STT_09874_SongPhuong</t>
  </si>
  <si>
    <t>STT_09877_AnKhanh</t>
  </si>
  <si>
    <t>STT_09880_AnThuong</t>
  </si>
  <si>
    <t>STT_09883_VanCon</t>
  </si>
  <si>
    <t>STT_09889_LaPhu</t>
  </si>
  <si>
    <t>STT_09892_DongLa</t>
  </si>
  <si>
    <t>STT_06652_HaPhong</t>
  </si>
  <si>
    <t>STT_06655_HaKhau</t>
  </si>
  <si>
    <t>STT_06658_CaoXanh</t>
  </si>
  <si>
    <t>STT_06661_GiengDay</t>
  </si>
  <si>
    <t>STT_06664_HaTu</t>
  </si>
  <si>
    <t>STT_06667_HaTrung</t>
  </si>
  <si>
    <t>STT_06670_HaLam</t>
  </si>
  <si>
    <t>STT_06673_BaiChay</t>
  </si>
  <si>
    <t>STT_06676_CaoThang</t>
  </si>
  <si>
    <t>STT_06679_HungThang</t>
  </si>
  <si>
    <t>STT_06682_YetKieu</t>
  </si>
  <si>
    <t>STT_06685_TranHungDao</t>
  </si>
  <si>
    <t>STT_06688_HongHai</t>
  </si>
  <si>
    <t>STT_06691_HongGai</t>
  </si>
  <si>
    <t>STT_06694_BachDang</t>
  </si>
  <si>
    <t>STT_06697_HongHa</t>
  </si>
  <si>
    <t>STT_06700_TuanChau</t>
  </si>
  <si>
    <t>STT_06703_VietHung</t>
  </si>
  <si>
    <t>STT_06706_DaiYen</t>
  </si>
  <si>
    <t>STT_07030_HoanhBo</t>
  </si>
  <si>
    <t>STT_07033_KyThuong</t>
  </si>
  <si>
    <t>STT_07036_DongSon</t>
  </si>
  <si>
    <t>STT_07039_TanDan</t>
  </si>
  <si>
    <t>STT_07042_DongLam</t>
  </si>
  <si>
    <t>STT_07045_HoaBinh</t>
  </si>
  <si>
    <t>STT_07048_VuOai</t>
  </si>
  <si>
    <t>STT_07051_DanChu</t>
  </si>
  <si>
    <t>STT_07054_QuangLa</t>
  </si>
  <si>
    <t>STT_07057_BangCa</t>
  </si>
  <si>
    <t>STT_07060_ThongNhat</t>
  </si>
  <si>
    <t>STT_07063_SonDuong</t>
  </si>
  <si>
    <t>STT_07066_LeLoi</t>
  </si>
  <si>
    <t>STT_23427_DakRoNga</t>
  </si>
  <si>
    <t>STT_23428_NgokTu</t>
  </si>
  <si>
    <t>STT_23430_DakTram</t>
  </si>
  <si>
    <t>STT_23431_VanLem</t>
  </si>
  <si>
    <t>STT_23434_KonDao</t>
  </si>
  <si>
    <t>STT_23437_TanCanh</t>
  </si>
  <si>
    <t>STT_23440_DienBinh</t>
  </si>
  <si>
    <t>STT_23443_PoKo</t>
  </si>
  <si>
    <t>STT_00823_ThangMo</t>
  </si>
  <si>
    <t>STT_00826_PhuLung</t>
  </si>
  <si>
    <t>STT_00829_SungTrang</t>
  </si>
  <si>
    <t>STT_00832_BachDich</t>
  </si>
  <si>
    <t>STT_00835_NaKhe</t>
  </si>
  <si>
    <t>STT_00838_SungThai</t>
  </si>
  <si>
    <t>STT_00841_HuuVinh</t>
  </si>
  <si>
    <t>STT_00844_LaoVaChai</t>
  </si>
  <si>
    <t>STT_00847_MauDue</t>
  </si>
  <si>
    <t>STT_00850_DongMinh</t>
  </si>
  <si>
    <t>STT_00853_MauLong</t>
  </si>
  <si>
    <t>STT_00856_NgamLa</t>
  </si>
  <si>
    <t>STT_00859_NgocLong</t>
  </si>
  <si>
    <t>STT_00862_DuongThuong</t>
  </si>
  <si>
    <t>STT_00865_LungHo</t>
  </si>
  <si>
    <t>STT_00868_DuTien</t>
  </si>
  <si>
    <t>STT_00871_DuGia</t>
  </si>
  <si>
    <t>STT_06187_CaoLoc</t>
  </si>
  <si>
    <t>STT_06190_BaoLam</t>
  </si>
  <si>
    <t>STT_06193_ThanhLoa</t>
  </si>
  <si>
    <t>STT_06196_CaoLau</t>
  </si>
  <si>
    <t>STT_06199_ThachDan</t>
  </si>
  <si>
    <t>STT_06202_XuatLe</t>
  </si>
  <si>
    <t>STT_06205_HongPhong</t>
  </si>
  <si>
    <t>STT_06208_ThuyHung</t>
  </si>
  <si>
    <t>STT_06211_LocYen</t>
  </si>
  <si>
    <t>STT_06214_PhuXa</t>
  </si>
  <si>
    <t>STT_06217_BinhTrung</t>
  </si>
  <si>
    <t>STT_06220_HaiYen</t>
  </si>
  <si>
    <t>STT_06223_HoaCu</t>
  </si>
  <si>
    <t>STT_06226_HopThanh</t>
  </si>
  <si>
    <t>STT_06232_CongSon</t>
  </si>
  <si>
    <t>STT_06235_GiaCat</t>
  </si>
  <si>
    <t>STT_06238_MauSon</t>
  </si>
  <si>
    <t>STT_06241_XuanLong</t>
  </si>
  <si>
    <t>STT_06244_TanLien</t>
  </si>
  <si>
    <t>STT_06247_YenTrach</t>
  </si>
  <si>
    <t>STT_06250_TanThanh</t>
  </si>
  <si>
    <t>STT_23797_Ayun</t>
  </si>
  <si>
    <t>STT_23798_DakJoTa</t>
  </si>
  <si>
    <t>STT_23799_DakTaLey</t>
  </si>
  <si>
    <t>STT_23800_Hra</t>
  </si>
  <si>
    <t>STT_23803_DakYa</t>
  </si>
  <si>
    <t>STT_23806_DakDjrang</t>
  </si>
  <si>
    <t>STT_23809_LoPang</t>
  </si>
  <si>
    <t>STT_23812_KonThup</t>
  </si>
  <si>
    <t>STT_23815_DeAr</t>
  </si>
  <si>
    <t>STT_23818_KonChieng</t>
  </si>
  <si>
    <t>STT_23821_DakTroi</t>
  </si>
  <si>
    <t>STT_26551_PhuocHiep</t>
  </si>
  <si>
    <t>STT_26554_PhuocNguyen</t>
  </si>
  <si>
    <t>STT_26557_LongToan</t>
  </si>
  <si>
    <t>STT_26558_LongTam</t>
  </si>
  <si>
    <t>STT_26560_PhuocTrung</t>
  </si>
  <si>
    <t>STT_26563_LongHuong</t>
  </si>
  <si>
    <t>STT_26566_KimDinh</t>
  </si>
  <si>
    <t>STT_26567_TanHung</t>
  </si>
  <si>
    <t>STT_26569_LongPhuoc</t>
  </si>
  <si>
    <t>STT_26572_HoaLong</t>
  </si>
  <si>
    <t>STT_25891_TanPhuocKhanh</t>
  </si>
  <si>
    <t>STT_25912_VinhTan</t>
  </si>
  <si>
    <t>STT_25915_HoiNghia</t>
  </si>
  <si>
    <t>STT_25920_TanHiep</t>
  </si>
  <si>
    <t>STT_25921_KhanhBinh</t>
  </si>
  <si>
    <t>STT_25924_PhuChanh</t>
  </si>
  <si>
    <t>STT_25930_BachDang</t>
  </si>
  <si>
    <t>STT_25933_TanVinhHiep</t>
  </si>
  <si>
    <t>STT_25936_ThanhPhuoc</t>
  </si>
  <si>
    <t>STT_25937_ThanhHoi</t>
  </si>
  <si>
    <t>STT_25939_ThaiHoa</t>
  </si>
  <si>
    <t>STT_03811_NamGion</t>
  </si>
  <si>
    <t>STT_03814_ChiengLao</t>
  </si>
  <si>
    <t>STT_03817_HuaTrai</t>
  </si>
  <si>
    <t>STT_03820_NgocChien</t>
  </si>
  <si>
    <t>STT_03823_MuongTrai</t>
  </si>
  <si>
    <t>STT_03826_NamPam</t>
  </si>
  <si>
    <t>STT_03829_ChiengMuon</t>
  </si>
  <si>
    <t>STT_03832_ChiengAn</t>
  </si>
  <si>
    <t>STT_03835_PiToong</t>
  </si>
  <si>
    <t>STT_03838_ChiengCong</t>
  </si>
  <si>
    <t>STT_03841_TaBu</t>
  </si>
  <si>
    <t>STT_03844_ChiengSan</t>
  </si>
  <si>
    <t>STT_03847_MuongBu</t>
  </si>
  <si>
    <t>STT_03850_ChiengHoa</t>
  </si>
  <si>
    <t>STT_03853_MuongChum</t>
  </si>
  <si>
    <t>STT_25519_TanHa</t>
  </si>
  <si>
    <t>STT_25522_TanDong</t>
  </si>
  <si>
    <t>STT_25525_TanHoi</t>
  </si>
  <si>
    <t>STT_25528_TanHoa</t>
  </si>
  <si>
    <t>STT_25531_SuoiNgo</t>
  </si>
  <si>
    <t>STT_25534_SuoiDay</t>
  </si>
  <si>
    <t>STT_25537_TanHiep</t>
  </si>
  <si>
    <t>STT_25540_ThanhDong</t>
  </si>
  <si>
    <t>STT_25543_TanThanh</t>
  </si>
  <si>
    <t>STT_25546_TanPhu</t>
  </si>
  <si>
    <t>STT_25549_TanHung</t>
  </si>
  <si>
    <t>STT_11917_CatHai</t>
  </si>
  <si>
    <t>STT_11920_NghiaLo</t>
  </si>
  <si>
    <t>STT_11923_DongBai</t>
  </si>
  <si>
    <t>STT_11926_HoangChau</t>
  </si>
  <si>
    <t>STT_11929_VanPhong</t>
  </si>
  <si>
    <t>STT_11932_PhuLong</t>
  </si>
  <si>
    <t>STT_11935_GiaLuan</t>
  </si>
  <si>
    <t>STT_11938_HienHao</t>
  </si>
  <si>
    <t>STT_11941_TranChau</t>
  </si>
  <si>
    <t>STT_11944_VietHai</t>
  </si>
  <si>
    <t>STT_11947_XuanDam</t>
  </si>
  <si>
    <t>STT_21997_CanhLien</t>
  </si>
  <si>
    <t>STT_22000_CanhHiep</t>
  </si>
  <si>
    <t>STT_22003_CanhVinh</t>
  </si>
  <si>
    <t>STT_22006_CanhHien</t>
  </si>
  <si>
    <t>STT_22009_CanhThuan</t>
  </si>
  <si>
    <t>STT_22012_CanhHoa</t>
  </si>
  <si>
    <t>STT_31189_HungPhu</t>
  </si>
  <si>
    <t>STT_31192_HungThanh</t>
  </si>
  <si>
    <t>STT_31195_BaLang</t>
  </si>
  <si>
    <t>STT_31198_ThuongThanh</t>
  </si>
  <si>
    <t>STT_31201_PhuThu</t>
  </si>
  <si>
    <t>STT_31204_TanPhu</t>
  </si>
  <si>
    <t>STT_16447_QuangTrach</t>
  </si>
  <si>
    <t>STT_16453_QuangDuc</t>
  </si>
  <si>
    <t>STT_16456_QuangDinh</t>
  </si>
  <si>
    <t>STT_16462_QuangNhan</t>
  </si>
  <si>
    <t>STT_16465_QuangNinh</t>
  </si>
  <si>
    <t>STT_16468_QuangBinh</t>
  </si>
  <si>
    <t>STT_16471_QuangHop</t>
  </si>
  <si>
    <t>STT_16474_QuangVan</t>
  </si>
  <si>
    <t>STT_16477_QuangLong</t>
  </si>
  <si>
    <t>STT_16480_QuangYen</t>
  </si>
  <si>
    <t>STT_16483_QuangHoa</t>
  </si>
  <si>
    <t>STT_16489_QuangKhe</t>
  </si>
  <si>
    <t>STT_16492_QuangTrung</t>
  </si>
  <si>
    <t>STT_16495_QuangChinh</t>
  </si>
  <si>
    <t>STT_16498_QuangNgoc</t>
  </si>
  <si>
    <t>STT_16501_QuangTruong</t>
  </si>
  <si>
    <t>STT_16510_QuangPhuc</t>
  </si>
  <si>
    <t>STT_16519_QuangGiao</t>
  </si>
  <si>
    <t>STT_16540_QuangHai</t>
  </si>
  <si>
    <t>STT_16543_QuangLuu</t>
  </si>
  <si>
    <t>STT_16546_QuangLoc</t>
  </si>
  <si>
    <t>STT_16549_TienTrang</t>
  </si>
  <si>
    <t>STT_16552_QuangNham</t>
  </si>
  <si>
    <t>STT_16555_QuangThach</t>
  </si>
  <si>
    <t>STT_16558_QuangThai</t>
  </si>
  <si>
    <t>STT_23503_DakPXi</t>
  </si>
  <si>
    <t>STT_23504_DakLong</t>
  </si>
  <si>
    <t>STT_23506_DakHRing</t>
  </si>
  <si>
    <t>STT_23509_DakUi</t>
  </si>
  <si>
    <t>STT_23510_DakNgok</t>
  </si>
  <si>
    <t>STT_23512_DakMar</t>
  </si>
  <si>
    <t>STT_23515_NgokWang</t>
  </si>
  <si>
    <t>STT_23518_NgokReo</t>
  </si>
  <si>
    <t>STT_23521_HaMon</t>
  </si>
  <si>
    <t>STT_23524_DakLa</t>
  </si>
  <si>
    <t>STT_26767_ThanhLoc</t>
  </si>
  <si>
    <t>STT_26770_HiepThanh</t>
  </si>
  <si>
    <t>STT_26773_ThoiAn</t>
  </si>
  <si>
    <t>STT_26776_TanChanhHiep</t>
  </si>
  <si>
    <t>STT_26779_AnPhuDong</t>
  </si>
  <si>
    <t>STT_26782_TanThoiHiep</t>
  </si>
  <si>
    <t>STT_26785_TrungMyTay</t>
  </si>
  <si>
    <t>STT_26787_TanHungThuan</t>
  </si>
  <si>
    <t>STT_26788_DongHungThuan</t>
  </si>
  <si>
    <t>STT_26791_TanThoiNhat</t>
  </si>
  <si>
    <t>STT_23530_RoKoi</t>
  </si>
  <si>
    <t>STT_23533_SaNhon</t>
  </si>
  <si>
    <t>STT_23534_HoMoong</t>
  </si>
  <si>
    <t>STT_23536_MoRai</t>
  </si>
  <si>
    <t>STT_23539_SaSon</t>
  </si>
  <si>
    <t>STT_23542_SaNghia</t>
  </si>
  <si>
    <t>STT_23545_SaBinh</t>
  </si>
  <si>
    <t>STT_23548_YaXier</t>
  </si>
  <si>
    <t>STT_23551_YaTang</t>
  </si>
  <si>
    <t>STT_23554_Yaly</t>
  </si>
  <si>
    <t>STT_32214_PhuThuan</t>
  </si>
  <si>
    <t>STT_32215_PhuMy</t>
  </si>
  <si>
    <t>STT_32218_PhuTan</t>
  </si>
  <si>
    <t>STT_32221_TanHai</t>
  </si>
  <si>
    <t>STT_32224_VietThang</t>
  </si>
  <si>
    <t>STT_32227_TanHungTay</t>
  </si>
  <si>
    <t>STT_32228_RachCheo</t>
  </si>
  <si>
    <t>STT_32230_NguyenVietKhai</t>
  </si>
  <si>
    <t>STT_02842_LungCai</t>
  </si>
  <si>
    <t>STT_02848_LungPhinh</t>
  </si>
  <si>
    <t>STT_02851_TaVanChu</t>
  </si>
  <si>
    <t>STT_02854_TaCuTy</t>
  </si>
  <si>
    <t>STT_02857_ThaiGiangPho</t>
  </si>
  <si>
    <t>STT_02863_HoangThuPho</t>
  </si>
  <si>
    <t>STT_02866_BanPho</t>
  </si>
  <si>
    <t>STT_02869_BanLien</t>
  </si>
  <si>
    <t>STT_02872_TaChai</t>
  </si>
  <si>
    <t>STT_02875_NaHoi</t>
  </si>
  <si>
    <t>STT_02878_CocLy</t>
  </si>
  <si>
    <t>STT_02881_NamMon</t>
  </si>
  <si>
    <t>STT_02884_NamDet</t>
  </si>
  <si>
    <t>STT_02887_NamKhanh</t>
  </si>
  <si>
    <t>STT_02890_BaoNhai</t>
  </si>
  <si>
    <t>STT_02893_NamLuc</t>
  </si>
  <si>
    <t>STT_02896_CocLau</t>
  </si>
  <si>
    <t>STT_02899_BanCai</t>
  </si>
  <si>
    <t>STT_24739_DakBukSo</t>
  </si>
  <si>
    <t>STT_24740_QuangTam</t>
  </si>
  <si>
    <t>STT_24742_DakRTih</t>
  </si>
  <si>
    <t>STT_24746_DakNgo</t>
  </si>
  <si>
    <t>STT_24748_QuangTan</t>
  </si>
  <si>
    <t>STT_19558_MoO</t>
  </si>
  <si>
    <t>STT_19561_HuongHiep</t>
  </si>
  <si>
    <t>STT_19564_DaKrong</t>
  </si>
  <si>
    <t>STT_19567_TrieuNguyen</t>
  </si>
  <si>
    <t>STT_19570_BaLong</t>
  </si>
  <si>
    <t>STT_19576_BaNang</t>
  </si>
  <si>
    <t>STT_19579_TaLong</t>
  </si>
  <si>
    <t>STT_19582_HucNghi</t>
  </si>
  <si>
    <t>STT_19585_AVao</t>
  </si>
  <si>
    <t>STT_19588_TaRut</t>
  </si>
  <si>
    <t>STT_19591_ABung</t>
  </si>
  <si>
    <t>STT_19594_ANgo</t>
  </si>
  <si>
    <t>STT_06466_ChiLang</t>
  </si>
  <si>
    <t>STT_06469_VanAn</t>
  </si>
  <si>
    <t>STT_06472_VanThuy</t>
  </si>
  <si>
    <t>STT_06475_GiaLoc</t>
  </si>
  <si>
    <t>STT_06478_BacThuy</t>
  </si>
  <si>
    <t>STT_06481_ChienThang</t>
  </si>
  <si>
    <t>STT_06484_MaiSao</t>
  </si>
  <si>
    <t>STT_06487_BangHuu</t>
  </si>
  <si>
    <t>STT_06490_ThuongCuong</t>
  </si>
  <si>
    <t>STT_06493_BangMac</t>
  </si>
  <si>
    <t>STT_06496_NhanLy</t>
  </si>
  <si>
    <t>STT_06499_LamSon</t>
  </si>
  <si>
    <t>STT_06502_LienSon</t>
  </si>
  <si>
    <t>STT_06505_VanLinh</t>
  </si>
  <si>
    <t>STT_06508_HoaBinh</t>
  </si>
  <si>
    <t>STT_06514_HuuKien</t>
  </si>
  <si>
    <t>STT_06517_QuanSon</t>
  </si>
  <si>
    <t>STT_06520_YTich</t>
  </si>
  <si>
    <t>STT_06523_ChiLang</t>
  </si>
  <si>
    <t>STT_24184_EaHleo</t>
  </si>
  <si>
    <t>STT_24187_EaSol</t>
  </si>
  <si>
    <t>STT_24190_EaRal</t>
  </si>
  <si>
    <t>STT_24193_EaWy</t>
  </si>
  <si>
    <t>STT_24194_CuAMung</t>
  </si>
  <si>
    <t>STT_24196_CuMot</t>
  </si>
  <si>
    <t>STT_24199_EaHiao</t>
  </si>
  <si>
    <t>STT_24202_EaKhal</t>
  </si>
  <si>
    <t>STT_24205_DlieYang</t>
  </si>
  <si>
    <t>STT_24207_EaTir</t>
  </si>
  <si>
    <t>STT_24208_EaNam</t>
  </si>
  <si>
    <t>STT_01156_VinhTuy</t>
  </si>
  <si>
    <t>STT_01159_TanLap</t>
  </si>
  <si>
    <t>STT_01162_TanThanh</t>
  </si>
  <si>
    <t>STT_01165_DongTien</t>
  </si>
  <si>
    <t>STT_01168_DongTam</t>
  </si>
  <si>
    <t>STT_01171_TanQuang</t>
  </si>
  <si>
    <t>STT_01174_ThuongBinh</t>
  </si>
  <si>
    <t>STT_01177_HuuSan</t>
  </si>
  <si>
    <t>STT_01180_KimNgoc</t>
  </si>
  <si>
    <t>STT_01183_VietVinh</t>
  </si>
  <si>
    <t>STT_01186_BangHanh</t>
  </si>
  <si>
    <t>STT_01189_QuangMinh</t>
  </si>
  <si>
    <t>STT_01192_LienHiep</t>
  </si>
  <si>
    <t>STT_01195_VoDiem</t>
  </si>
  <si>
    <t>STT_01198_VietHong</t>
  </si>
  <si>
    <t>STT_01201_HungAn</t>
  </si>
  <si>
    <t>STT_01204_DucXuan</t>
  </si>
  <si>
    <t>STT_01207_TienKieu</t>
  </si>
  <si>
    <t>STT_01210_VinhHao</t>
  </si>
  <si>
    <t>STT_01213_VinhPhuc</t>
  </si>
  <si>
    <t>STT_01216_DongYen</t>
  </si>
  <si>
    <t>STT_01219_DongThanh</t>
  </si>
  <si>
    <t>STT_08563_SonHung</t>
  </si>
  <si>
    <t>STT_08572_DichQua</t>
  </si>
  <si>
    <t>STT_08575_GiapLai</t>
  </si>
  <si>
    <t>STT_08581_ThucLuyen</t>
  </si>
  <si>
    <t>STT_08584_VoMieu</t>
  </si>
  <si>
    <t>STT_08587_ThachKhoan</t>
  </si>
  <si>
    <t>STT_08602_CuThang</t>
  </si>
  <si>
    <t>STT_08605_TatThang</t>
  </si>
  <si>
    <t>STT_08611_VanMieu</t>
  </si>
  <si>
    <t>STT_08614_CuDong</t>
  </si>
  <si>
    <t>STT_08623_ThangSon</t>
  </si>
  <si>
    <t>STT_08629_TanMinh</t>
  </si>
  <si>
    <t>STT_08632_HuongCan</t>
  </si>
  <si>
    <t>STT_08635_KhaCuu</t>
  </si>
  <si>
    <t>STT_08638_DongCuu</t>
  </si>
  <si>
    <t>STT_08641_TanLap</t>
  </si>
  <si>
    <t>STT_08644_YenLang</t>
  </si>
  <si>
    <t>STT_08647_YenLuong</t>
  </si>
  <si>
    <t>STT_08650_ThuongCuu</t>
  </si>
  <si>
    <t>STT_08653_LuongNha</t>
  </si>
  <si>
    <t>STT_08656_YenSon</t>
  </si>
  <si>
    <t>STT_08659_TinhNhue</t>
  </si>
  <si>
    <t>STT_30211_TanDuong</t>
  </si>
  <si>
    <t>STT_30214_HoaThanh</t>
  </si>
  <si>
    <t>STT_30217_LongHau</t>
  </si>
  <si>
    <t>STT_30220_TanPhuoc</t>
  </si>
  <si>
    <t>STT_30223_HoaLong</t>
  </si>
  <si>
    <t>STT_30226_TanThanh</t>
  </si>
  <si>
    <t>STT_30229_LongThang</t>
  </si>
  <si>
    <t>STT_30232_VinhThoi</t>
  </si>
  <si>
    <t>STT_30235_TanHoa</t>
  </si>
  <si>
    <t>STT_30238_DinhHoa</t>
  </si>
  <si>
    <t>STT_30241_PhongHoa</t>
  </si>
  <si>
    <t>STT_16093_NgaSon</t>
  </si>
  <si>
    <t>STT_16096_BaDinh</t>
  </si>
  <si>
    <t>STT_16099_NgaVinh</t>
  </si>
  <si>
    <t>STT_16102_NgaVan</t>
  </si>
  <si>
    <t>STT_16105_NgaThien</t>
  </si>
  <si>
    <t>STT_16108_NgaTien</t>
  </si>
  <si>
    <t>STT_16114_NgaPhuong</t>
  </si>
  <si>
    <t>STT_16117_NgaTrung</t>
  </si>
  <si>
    <t>STT_16120_NgaBach</t>
  </si>
  <si>
    <t>STT_16123_NgaThanh</t>
  </si>
  <si>
    <t>STT_16132_NgaYen</t>
  </si>
  <si>
    <t>STT_16135_NgaGiap</t>
  </si>
  <si>
    <t>STT_16138_NgaHai</t>
  </si>
  <si>
    <t>STT_16141_NgaThanh</t>
  </si>
  <si>
    <t>STT_16147_NgaPhu</t>
  </si>
  <si>
    <t>STT_16150_NgaDien</t>
  </si>
  <si>
    <t>STT_16153_NgaTan</t>
  </si>
  <si>
    <t>STT_16156_NgaThuy</t>
  </si>
  <si>
    <t>STT_16159_NgaLien</t>
  </si>
  <si>
    <t>STT_16162_NgaThai</t>
  </si>
  <si>
    <t>STT_16165_NgaThach</t>
  </si>
  <si>
    <t>STT_16168_NgaThang</t>
  </si>
  <si>
    <t>STT_16171_NgaTruong</t>
  </si>
  <si>
    <t>STT_28441_MyThanhBac</t>
  </si>
  <si>
    <t>STT_28444_PhuCuong</t>
  </si>
  <si>
    <t>STT_28456_MyThanhNam</t>
  </si>
  <si>
    <t>STT_28465_PhuNhuan</t>
  </si>
  <si>
    <t>STT_28471_BinhPhu</t>
  </si>
  <si>
    <t>STT_28489_CamSon</t>
  </si>
  <si>
    <t>STT_28492_PhuAn</t>
  </si>
  <si>
    <t>STT_28495_MyLong</t>
  </si>
  <si>
    <t>STT_28498_LongTien</t>
  </si>
  <si>
    <t>STT_28501_HiepDuc</t>
  </si>
  <si>
    <t>STT_28504_LongTrung</t>
  </si>
  <si>
    <t>STT_28507_HoiXuan</t>
  </si>
  <si>
    <t>STT_28510_TanPhong</t>
  </si>
  <si>
    <t>STT_28513_TamBinh</t>
  </si>
  <si>
    <t>STT_28516_NguHiep</t>
  </si>
  <si>
    <t>STT_11008_ThongNhat</t>
  </si>
  <si>
    <t>STT_11020_YetKieu</t>
  </si>
  <si>
    <t>STT_11029_GiaTan</t>
  </si>
  <si>
    <t>STT_11032_TanTien</t>
  </si>
  <si>
    <t>STT_11035_GiaKhanh</t>
  </si>
  <si>
    <t>STT_11038_GiaLuong</t>
  </si>
  <si>
    <t>STT_11041_LeLoi</t>
  </si>
  <si>
    <t>STT_11044_ToanThang</t>
  </si>
  <si>
    <t>STT_11047_HoangDieu</t>
  </si>
  <si>
    <t>STT_11050_HongHung</t>
  </si>
  <si>
    <t>STT_11053_PhamTran</t>
  </si>
  <si>
    <t>STT_11056_DoanThuong</t>
  </si>
  <si>
    <t>STT_11059_ThongKenh</t>
  </si>
  <si>
    <t>STT_11062_QuangMinh</t>
  </si>
  <si>
    <t>STT_11065_DongQuang</t>
  </si>
  <si>
    <t>STT_11068_NhatTan</t>
  </si>
  <si>
    <t>STT_11071_DucXuong</t>
  </si>
  <si>
    <t>STT_22737_SongTuTay</t>
  </si>
  <si>
    <t>STT_22739_SinhTon</t>
  </si>
  <si>
    <t>STT_13288_LuongKhanhThien</t>
  </si>
  <si>
    <t>STT_13291_LeHongPhong</t>
  </si>
  <si>
    <t>STT_13294_MinhKhai</t>
  </si>
  <si>
    <t>STT_13297_HaiBaTrung</t>
  </si>
  <si>
    <t>STT_13300_TranHungDao</t>
  </si>
  <si>
    <t>STT_13303_LamHa</t>
  </si>
  <si>
    <t>STT_13306_PhuVan</t>
  </si>
  <si>
    <t>STT_13309_LiemChinh</t>
  </si>
  <si>
    <t>STT_13312_LiemChung</t>
  </si>
  <si>
    <t>STT_13315_ThanhChau</t>
  </si>
  <si>
    <t>STT_13318_ChauSon</t>
  </si>
  <si>
    <t>STT_13366_TienTan</t>
  </si>
  <si>
    <t>STT_13372_TienHiep</t>
  </si>
  <si>
    <t>STT_13381_TienHai</t>
  </si>
  <si>
    <t>STT_13426_KimBinh</t>
  </si>
  <si>
    <t>STT_13444_LiemTuyen</t>
  </si>
  <si>
    <t>STT_13447_LiemTiet</t>
  </si>
  <si>
    <t>STT_13459_ThanhTuyen</t>
  </si>
  <si>
    <t>STT_13507_DinhXa</t>
  </si>
  <si>
    <t>STT_13513_TrinhXa</t>
  </si>
  <si>
    <t>STT_21367_HanhThuan</t>
  </si>
  <si>
    <t>STT_21370_HanhDung</t>
  </si>
  <si>
    <t>STT_21373_HanhTrung</t>
  </si>
  <si>
    <t>STT_21376_HanhNhan</t>
  </si>
  <si>
    <t>STT_21379_HanhDuc</t>
  </si>
  <si>
    <t>STT_21382_HanhMinh</t>
  </si>
  <si>
    <t>STT_21385_HanhPhuoc</t>
  </si>
  <si>
    <t>STT_21388_HanhThien</t>
  </si>
  <si>
    <t>STT_21391_HanhThinh</t>
  </si>
  <si>
    <t>STT_21394_HanhTinTay</t>
  </si>
  <si>
    <t>STT_21397_HanhTinDong</t>
  </si>
  <si>
    <t>STT_22813_LamSon</t>
  </si>
  <si>
    <t>STT_22816_LuongSon</t>
  </si>
  <si>
    <t>STT_22819_QuangSon</t>
  </si>
  <si>
    <t>STT_22822_MySon</t>
  </si>
  <si>
    <t>STT_22825_HoaSon</t>
  </si>
  <si>
    <t>STT_22828_MaNoi</t>
  </si>
  <si>
    <t>STT_22831_NhonSon</t>
  </si>
  <si>
    <t>STT_24238_EaHuar</t>
  </si>
  <si>
    <t>STT_24241_EaWer</t>
  </si>
  <si>
    <t>STT_24244_TanHoa</t>
  </si>
  <si>
    <t>STT_24247_CuorKNia</t>
  </si>
  <si>
    <t>STT_24250_EaBar</t>
  </si>
  <si>
    <t>STT_24253_EaNuol</t>
  </si>
  <si>
    <t>STT_31169_TraAn</t>
  </si>
  <si>
    <t>STT_31171_TraNoc</t>
  </si>
  <si>
    <t>STT_31174_ThoiAnDong</t>
  </si>
  <si>
    <t>STT_31177_AnThoi</t>
  </si>
  <si>
    <t>STT_31178_BuiHuuNghia</t>
  </si>
  <si>
    <t>STT_31180_LongHoa</t>
  </si>
  <si>
    <t>STT_31183_LongTuyen</t>
  </si>
  <si>
    <t>STT_06865_HaLau</t>
  </si>
  <si>
    <t>STT_06868_DaiDuc</t>
  </si>
  <si>
    <t>STT_06871_PhongDu</t>
  </si>
  <si>
    <t>STT_06874_DienXa</t>
  </si>
  <si>
    <t>STT_06877_DongNgu</t>
  </si>
  <si>
    <t>STT_06880_YenThan</t>
  </si>
  <si>
    <t>STT_06883_DongHai</t>
  </si>
  <si>
    <t>STT_06886_HaiLang</t>
  </si>
  <si>
    <t>STT_06889_TienLang</t>
  </si>
  <si>
    <t>STT_06892_DongRui</t>
  </si>
  <si>
    <t>STT_29866_1</t>
  </si>
  <si>
    <t>STT_29869_2</t>
  </si>
  <si>
    <t>STT_29872_4</t>
  </si>
  <si>
    <t>STT_29875_3</t>
  </si>
  <si>
    <t>STT_29878_6</t>
  </si>
  <si>
    <t>STT_29881_MyNgai</t>
  </si>
  <si>
    <t>STT_29884_MyTan</t>
  </si>
  <si>
    <t>STT_29887_MyTra</t>
  </si>
  <si>
    <t>STT_29888_MyPhu</t>
  </si>
  <si>
    <t>STT_29890_TanThuanTay</t>
  </si>
  <si>
    <t>STT_29892_HoaThuan</t>
  </si>
  <si>
    <t>STT_29893_HoaAn</t>
  </si>
  <si>
    <t>STT_29896_TanThuanDong</t>
  </si>
  <si>
    <t>STT_29899_TinhThoi</t>
  </si>
  <si>
    <t>STT_08156_VanLinh</t>
  </si>
  <si>
    <t>STT_08158_DongLinh</t>
  </si>
  <si>
    <t>STT_08161_DaiAn</t>
  </si>
  <si>
    <t>STT_08164_HanhCu</t>
  </si>
  <si>
    <t>STT_08170_DongXuan</t>
  </si>
  <si>
    <t>STT_08173_QuangYen</t>
  </si>
  <si>
    <t>STT_08179_NinhDan</t>
  </si>
  <si>
    <t>STT_08194_VoLao</t>
  </si>
  <si>
    <t>STT_08197_KhaiXuan</t>
  </si>
  <si>
    <t>STT_08200_ManLan</t>
  </si>
  <si>
    <t>STT_08203_HoangCuong</t>
  </si>
  <si>
    <t>STT_08206_ChiTien</t>
  </si>
  <si>
    <t>STT_08209_DongThanh</t>
  </si>
  <si>
    <t>STT_08215_SonCuong</t>
  </si>
  <si>
    <t>STT_08218_ThanhHa</t>
  </si>
  <si>
    <t>STT_08221_DoSon</t>
  </si>
  <si>
    <t>STT_08224_DoXuyen</t>
  </si>
  <si>
    <t>STT_08227_LuongLo</t>
  </si>
  <si>
    <t>STT_03387_TanPhong</t>
  </si>
  <si>
    <t>STT_03388_QuyetTien</t>
  </si>
  <si>
    <t>STT_03389_DoanKet</t>
  </si>
  <si>
    <t>STT_03403_SungPhai</t>
  </si>
  <si>
    <t>STT_03408_DongPhong</t>
  </si>
  <si>
    <t>STT_03409_SanThang</t>
  </si>
  <si>
    <t>STT_29344_CauQuan</t>
  </si>
  <si>
    <t>STT_29347_PhuCan</t>
  </si>
  <si>
    <t>STT_29350_HieuTu</t>
  </si>
  <si>
    <t>STT_29353_HieuTrung</t>
  </si>
  <si>
    <t>STT_29356_LongThoi</t>
  </si>
  <si>
    <t>STT_29359_HungHoa</t>
  </si>
  <si>
    <t>STT_29362_TanHung</t>
  </si>
  <si>
    <t>STT_29365_TapNgai</t>
  </si>
  <si>
    <t>STT_29368_NgaiHung</t>
  </si>
  <si>
    <t>STT_29371_TanHoa</t>
  </si>
  <si>
    <t>STT_00094_NhatTan</t>
  </si>
  <si>
    <t>STT_00097_TuLien</t>
  </si>
  <si>
    <t>STT_00100_QuangAn</t>
  </si>
  <si>
    <t>STT_00103_XuanLa</t>
  </si>
  <si>
    <t>STT_00106_YenPhu</t>
  </si>
  <si>
    <t>STT_00109_Buoi</t>
  </si>
  <si>
    <t>STT_00112_ThuyKhue</t>
  </si>
  <si>
    <t>STT_00877_BatDaiSon</t>
  </si>
  <si>
    <t>STT_00880_NghiaThuan</t>
  </si>
  <si>
    <t>STT_00883_CanTy</t>
  </si>
  <si>
    <t>STT_00886_CaoMaPo</t>
  </si>
  <si>
    <t>STT_00889_ThanhVan</t>
  </si>
  <si>
    <t>STT_00892_TungVai</t>
  </si>
  <si>
    <t>STT_00895_DongHa</t>
  </si>
  <si>
    <t>STT_00898_QuanBa</t>
  </si>
  <si>
    <t>STT_00901_LungTam</t>
  </si>
  <si>
    <t>STT_00904_QuyetTien</t>
  </si>
  <si>
    <t>STT_00907_TaVan</t>
  </si>
  <si>
    <t>STT_00910_ThaiAn</t>
  </si>
  <si>
    <t>STT_27760_HungDienA</t>
  </si>
  <si>
    <t>STT_27763_KhanhHung</t>
  </si>
  <si>
    <t>STT_27766_ThaiTri</t>
  </si>
  <si>
    <t>STT_27769_VinhTri</t>
  </si>
  <si>
    <t>STT_27772_ThaiBinhTrung</t>
  </si>
  <si>
    <t>STT_27775_VinhBinh</t>
  </si>
  <si>
    <t>STT_27778_VinhThuan</t>
  </si>
  <si>
    <t>STT_27781_TuyenBinh</t>
  </si>
  <si>
    <t>STT_27784_TuyenBinhTay</t>
  </si>
  <si>
    <t>STT_24643_DakWil</t>
  </si>
  <si>
    <t>STT_24646_EaPo</t>
  </si>
  <si>
    <t>STT_24649_NamDong</t>
  </si>
  <si>
    <t>STT_24652_DakDRong</t>
  </si>
  <si>
    <t>STT_24655_TamThang</t>
  </si>
  <si>
    <t>STT_24658_CuKnia</t>
  </si>
  <si>
    <t>STT_24661_TrucSon</t>
  </si>
  <si>
    <t>STT_27439_BinhHungHoaA</t>
  </si>
  <si>
    <t>STT_27442_BinhHungHoaB</t>
  </si>
  <si>
    <t>STT_27445_BinhTriDong</t>
  </si>
  <si>
    <t>STT_27448_BinhTriDongA</t>
  </si>
  <si>
    <t>STT_27451_BinhTriDongB</t>
  </si>
  <si>
    <t>STT_27454_TanTao</t>
  </si>
  <si>
    <t>STT_27457_TanTaoA</t>
  </si>
  <si>
    <t>STT_27460_AnLac</t>
  </si>
  <si>
    <t>STT_27463_AnLacA</t>
  </si>
  <si>
    <t>STT_31321_III</t>
  </si>
  <si>
    <t>STT_31324_IV</t>
  </si>
  <si>
    <t>STT_31327_V</t>
  </si>
  <si>
    <t>STT_31330_VII</t>
  </si>
  <si>
    <t>STT_31333_ViTan</t>
  </si>
  <si>
    <t>STT_31336_HoaLuu</t>
  </si>
  <si>
    <t>STT_31338_TanTien</t>
  </si>
  <si>
    <t>STT_31339_HoaTien</t>
  </si>
  <si>
    <t>STT_19204_TruongSon</t>
  </si>
  <si>
    <t>STT_19207_LuongNinh</t>
  </si>
  <si>
    <t>STT_19210_VinhNinh</t>
  </si>
  <si>
    <t>STT_19213_VoNinh</t>
  </si>
  <si>
    <t>STT_19216_HaiNinh</t>
  </si>
  <si>
    <t>STT_19219_HamNinh</t>
  </si>
  <si>
    <t>STT_19222_DuyNinh</t>
  </si>
  <si>
    <t>STT_19225_GiaNinh</t>
  </si>
  <si>
    <t>STT_19228_TruongXuan</t>
  </si>
  <si>
    <t>STT_19231_HienNinh</t>
  </si>
  <si>
    <t>STT_19234_TanNinh</t>
  </si>
  <si>
    <t>STT_19237_XuanNinh</t>
  </si>
  <si>
    <t>STT_19240_AnNinh</t>
  </si>
  <si>
    <t>STT_19243_VanNinh</t>
  </si>
  <si>
    <t>STT_01291_DucHanh</t>
  </si>
  <si>
    <t>STT_01294_LyBon</t>
  </si>
  <si>
    <t>STT_01296_NamCao</t>
  </si>
  <si>
    <t>STT_01297_NamQuang</t>
  </si>
  <si>
    <t>STT_01300_VinhQuang</t>
  </si>
  <si>
    <t>STT_01303_QuangLam</t>
  </si>
  <si>
    <t>STT_01304_ThachLam</t>
  </si>
  <si>
    <t>STT_01309_VinhPhong</t>
  </si>
  <si>
    <t>STT_01312_MongAn</t>
  </si>
  <si>
    <t>STT_01315_ThaiHoc</t>
  </si>
  <si>
    <t>STT_01316_ThaiSon</t>
  </si>
  <si>
    <t>STT_01318_YenTho</t>
  </si>
  <si>
    <t>STT_31484_ThuanHoa</t>
  </si>
  <si>
    <t>STT_31486_VinhThuanDong</t>
  </si>
  <si>
    <t>STT_31489_VinhVien</t>
  </si>
  <si>
    <t>STT_31490_VinhVienA</t>
  </si>
  <si>
    <t>STT_31492_LuongTam</t>
  </si>
  <si>
    <t>STT_31493_LuongNghia</t>
  </si>
  <si>
    <t>STT_31495_XaPhien</t>
  </si>
  <si>
    <t>STT_03724_PhongLai</t>
  </si>
  <si>
    <t>STT_03727_Muonge</t>
  </si>
  <si>
    <t>STT_03730_ChiengPha</t>
  </si>
  <si>
    <t>STT_03733_ChiengLa</t>
  </si>
  <si>
    <t>STT_03736_ChiengNgam</t>
  </si>
  <si>
    <t>STT_03739_LiepTe</t>
  </si>
  <si>
    <t>STT_03742_eTong</t>
  </si>
  <si>
    <t>STT_03745_PhongLap</t>
  </si>
  <si>
    <t>STT_03748_PhongLang</t>
  </si>
  <si>
    <t>STT_03751_ChiengLy</t>
  </si>
  <si>
    <t>STT_03754_NoongLay</t>
  </si>
  <si>
    <t>STT_03757_MuongKhieng</t>
  </si>
  <si>
    <t>STT_03760_MuongBam</t>
  </si>
  <si>
    <t>STT_03763_LongHe</t>
  </si>
  <si>
    <t>STT_03766_ChiengBom</t>
  </si>
  <si>
    <t>STT_03769_ThomMon</t>
  </si>
  <si>
    <t>STT_03772_TongLanh</t>
  </si>
  <si>
    <t>STT_03775_TongCo</t>
  </si>
  <si>
    <t>STT_03778_BoMuoi</t>
  </si>
  <si>
    <t>STT_03781_CoMa</t>
  </si>
  <si>
    <t>STT_03784_PungTra</t>
  </si>
  <si>
    <t>STT_03787_ChiengPac</t>
  </si>
  <si>
    <t>STT_03790_NamLau</t>
  </si>
  <si>
    <t>STT_03793_BonPhang</t>
  </si>
  <si>
    <t>STT_03796_CoTong</t>
  </si>
  <si>
    <t>STT_03799_MuoiNoi</t>
  </si>
  <si>
    <t>STT_03802_PaLong</t>
  </si>
  <si>
    <t>STT_03805_BanLam</t>
  </si>
  <si>
    <t>STT_04252_YenNinh</t>
  </si>
  <si>
    <t>STT_04255_MinhTan</t>
  </si>
  <si>
    <t>STT_04258_NguyenThaiHoc</t>
  </si>
  <si>
    <t>STT_04261_DongTam</t>
  </si>
  <si>
    <t>STT_04264_NguyenPhuc</t>
  </si>
  <si>
    <t>STT_04267_HongHa</t>
  </si>
  <si>
    <t>STT_04270_MinhBao</t>
  </si>
  <si>
    <t>STT_04273_NamCuong</t>
  </si>
  <si>
    <t>STT_04276_TuyLoc</t>
  </si>
  <si>
    <t>STT_04279_TanThinh</t>
  </si>
  <si>
    <t>STT_04540_AuLau</t>
  </si>
  <si>
    <t>STT_04543_GioiPhien</t>
  </si>
  <si>
    <t>STT_04546_HopMinh</t>
  </si>
  <si>
    <t>STT_04558_VanPhu</t>
  </si>
  <si>
    <t>STT_21690_AnHaoTay</t>
  </si>
  <si>
    <t>STT_21691_AnHaoDong</t>
  </si>
  <si>
    <t>STT_21694_AnSon</t>
  </si>
  <si>
    <t>STT_21697_AnMy</t>
  </si>
  <si>
    <t>STT_21700_DakMang</t>
  </si>
  <si>
    <t>STT_21703_AnTin</t>
  </si>
  <si>
    <t>STT_21706_AnThanh</t>
  </si>
  <si>
    <t>STT_21709_AnPhong</t>
  </si>
  <si>
    <t>STT_21712_AnDuc</t>
  </si>
  <si>
    <t>STT_21715_AnHuu</t>
  </si>
  <si>
    <t>STT_21718_BokToi</t>
  </si>
  <si>
    <t>STT_21721_AnTuongTay</t>
  </si>
  <si>
    <t>STT_21724_AnTuongDong</t>
  </si>
  <si>
    <t>STT_21727_AnNghia</t>
  </si>
  <si>
    <t>STT_02686_AMuSung</t>
  </si>
  <si>
    <t>STT_02689_NamChac</t>
  </si>
  <si>
    <t>STT_02692_ALu</t>
  </si>
  <si>
    <t>STT_02695_TrinhTuong</t>
  </si>
  <si>
    <t>STT_02701_YTy</t>
  </si>
  <si>
    <t>STT_02704_CocMy</t>
  </si>
  <si>
    <t>STT_02707_DenSang</t>
  </si>
  <si>
    <t>STT_02710_BanVuoc</t>
  </si>
  <si>
    <t>STT_02713_SangMaSao</t>
  </si>
  <si>
    <t>STT_02716_BanQua</t>
  </si>
  <si>
    <t>STT_02719_MuongVi</t>
  </si>
  <si>
    <t>STT_02722_DenThang</t>
  </si>
  <si>
    <t>STT_02725_BanXeo</t>
  </si>
  <si>
    <t>STT_02728_MuongHum</t>
  </si>
  <si>
    <t>STT_02731_TrungLengHo</t>
  </si>
  <si>
    <t>STT_02734_QuangKim</t>
  </si>
  <si>
    <t>STT_02737_PaCheo</t>
  </si>
  <si>
    <t>STT_02740_NamPung</t>
  </si>
  <si>
    <t>STT_02743_PhinNgan</t>
  </si>
  <si>
    <t>STT_02749_TongSanh</t>
  </si>
  <si>
    <t>STT_06127_TrungKhanh</t>
  </si>
  <si>
    <t>STT_06133_BacLa</t>
  </si>
  <si>
    <t>STT_06136_ThuyHung</t>
  </si>
  <si>
    <t>STT_06139_BacHung</t>
  </si>
  <si>
    <t>STT_06142_TanTac</t>
  </si>
  <si>
    <t>STT_06148_ThanhLong</t>
  </si>
  <si>
    <t>STT_06151_HoiHoan</t>
  </si>
  <si>
    <t>STT_06154_BacViet</t>
  </si>
  <si>
    <t>STT_06157_HoangViet</t>
  </si>
  <si>
    <t>STT_06160_GiaMien</t>
  </si>
  <si>
    <t>STT_06163_ThanhHoa</t>
  </si>
  <si>
    <t>STT_06166_TanThanh</t>
  </si>
  <si>
    <t>STT_06172_TanMy</t>
  </si>
  <si>
    <t>STT_06175_HongThai</t>
  </si>
  <si>
    <t>STT_06178_HoangVanThu</t>
  </si>
  <si>
    <t>STT_06181_NhacKy</t>
  </si>
  <si>
    <t>STT_30907_ThanhHung</t>
  </si>
  <si>
    <t>STT_30910_ThanhPhuoc</t>
  </si>
  <si>
    <t>STT_30913_ThanhLoc</t>
  </si>
  <si>
    <t>STT_30916_ThanhHoa</t>
  </si>
  <si>
    <t>STT_30917_ThanhBinh</t>
  </si>
  <si>
    <t>STT_30919_BanThach</t>
  </si>
  <si>
    <t>STT_30922_BanTanDinh</t>
  </si>
  <si>
    <t>STT_30925_NgocThanh</t>
  </si>
  <si>
    <t>STT_30928_NgocChuc</t>
  </si>
  <si>
    <t>STT_30931_NgocThuan</t>
  </si>
  <si>
    <t>STT_30934_HoaHung</t>
  </si>
  <si>
    <t>STT_30937_HoaLoi</t>
  </si>
  <si>
    <t>STT_30940_HoaAn</t>
  </si>
  <si>
    <t>STT_30943_LongThanh</t>
  </si>
  <si>
    <t>STT_30946_VinhThanh</t>
  </si>
  <si>
    <t>STT_30947_VinhPhu</t>
  </si>
  <si>
    <t>STT_30949_HoaThuan</t>
  </si>
  <si>
    <t>STT_30950_NgocHoa</t>
  </si>
  <si>
    <t>STT_10753_LaiVu</t>
  </si>
  <si>
    <t>STT_10756_CongHoa</t>
  </si>
  <si>
    <t>STT_10759_ThuongVu</t>
  </si>
  <si>
    <t>STT_10762_CoDung</t>
  </si>
  <si>
    <t>STT_10768_TuanViet</t>
  </si>
  <si>
    <t>STT_10771_KimXuyen</t>
  </si>
  <si>
    <t>STT_10774_PhucThanhA</t>
  </si>
  <si>
    <t>STT_10777_NguPhuc</t>
  </si>
  <si>
    <t>STT_10780_KimAnh</t>
  </si>
  <si>
    <t>STT_10783_KimLien</t>
  </si>
  <si>
    <t>STT_10786_KimTan</t>
  </si>
  <si>
    <t>STT_10792_KimDinh</t>
  </si>
  <si>
    <t>STT_10798_BinhDan</t>
  </si>
  <si>
    <t>STT_10801_TamKy</t>
  </si>
  <si>
    <t>STT_10804_DongCam</t>
  </si>
  <si>
    <t>STT_10807_LienHoa</t>
  </si>
  <si>
    <t>STT_10810_DaiDuc</t>
  </si>
  <si>
    <t>STT_25057_LocBao</t>
  </si>
  <si>
    <t>STT_25060_LocLam</t>
  </si>
  <si>
    <t>STT_25063_LocPhu</t>
  </si>
  <si>
    <t>STT_25066_LocBac</t>
  </si>
  <si>
    <t>STT_25069_BLa</t>
  </si>
  <si>
    <t>STT_25072_LocNgai</t>
  </si>
  <si>
    <t>STT_25075_LocQuang</t>
  </si>
  <si>
    <t>STT_25078_LocTan</t>
  </si>
  <si>
    <t>STT_25081_LocDuc</t>
  </si>
  <si>
    <t>STT_25084_LocAn</t>
  </si>
  <si>
    <t>STT_25087_TanLac</t>
  </si>
  <si>
    <t>STT_25090_LocThanh</t>
  </si>
  <si>
    <t>STT_25093_LocNam</t>
  </si>
  <si>
    <t>STT_04006_SongKhua</t>
  </si>
  <si>
    <t>STT_04009_LienHoa</t>
  </si>
  <si>
    <t>STT_04018_ToMua</t>
  </si>
  <si>
    <t>STT_04021_MuongTe</t>
  </si>
  <si>
    <t>STT_04036_ChiengKhoa</t>
  </si>
  <si>
    <t>STT_04039_MuongMen</t>
  </si>
  <si>
    <t>STT_04042_QuangMinh</t>
  </si>
  <si>
    <t>STT_04048_VanHo</t>
  </si>
  <si>
    <t>STT_04051_LongLuong</t>
  </si>
  <si>
    <t>STT_04054_ChiengYen</t>
  </si>
  <si>
    <t>STT_04056_ChiengXuan</t>
  </si>
  <si>
    <t>STT_04057_XuanNha</t>
  </si>
  <si>
    <t>STT_04058_TanXuan</t>
  </si>
  <si>
    <t>STT_24847_DaChais</t>
  </si>
  <si>
    <t>STT_24848_DaNhim</t>
  </si>
  <si>
    <t>STT_24850_DungKNo</t>
  </si>
  <si>
    <t>STT_24862_Lat</t>
  </si>
  <si>
    <t>STT_24865_DaSar</t>
  </si>
  <si>
    <t>STT_00985_GiapTrung</t>
  </si>
  <si>
    <t>STT_00988_YenDinh</t>
  </si>
  <si>
    <t>STT_00991_YenPhu</t>
  </si>
  <si>
    <t>STT_00994_MinhNgoc</t>
  </si>
  <si>
    <t>STT_00997_YenPhong</t>
  </si>
  <si>
    <t>STT_01000_LacNong</t>
  </si>
  <si>
    <t>STT_01003_PhuNam</t>
  </si>
  <si>
    <t>STT_01006_YenCuong</t>
  </si>
  <si>
    <t>STT_01009_ThuongTan</t>
  </si>
  <si>
    <t>STT_01012_DuongAm</t>
  </si>
  <si>
    <t>STT_01015_DuongHong</t>
  </si>
  <si>
    <t>STT_01018_PhiengLuong</t>
  </si>
  <si>
    <t>STT_03982_NTMocChau</t>
  </si>
  <si>
    <t>STT_03985_ChiengSon</t>
  </si>
  <si>
    <t>STT_03988_TanHop</t>
  </si>
  <si>
    <t>STT_03991_QuiHuong</t>
  </si>
  <si>
    <t>STT_03997_TanLap</t>
  </si>
  <si>
    <t>STT_04000_NaMuong</t>
  </si>
  <si>
    <t>STT_04003_TaLai</t>
  </si>
  <si>
    <t>STT_04012_ChiengHac</t>
  </si>
  <si>
    <t>STT_04015_HuaPang</t>
  </si>
  <si>
    <t>STT_04024_ChiengKhua</t>
  </si>
  <si>
    <t>STT_04027_MuongSang</t>
  </si>
  <si>
    <t>STT_04030_DongSang</t>
  </si>
  <si>
    <t>STT_04033_PhiengLuong</t>
  </si>
  <si>
    <t>STT_04045_LongSap</t>
  </si>
  <si>
    <t>STT_06973_ThanhSon</t>
  </si>
  <si>
    <t>STT_06976_ThanhLam</t>
  </si>
  <si>
    <t>STT_06979_DapThanh</t>
  </si>
  <si>
    <t>STT_06982_NamSon</t>
  </si>
  <si>
    <t>STT_06985_LuongMong</t>
  </si>
  <si>
    <t>STT_06988_DonDac</t>
  </si>
  <si>
    <t>STT_06991_MinhCam</t>
  </si>
  <si>
    <t>STT_00691_TranPhu</t>
  </si>
  <si>
    <t>STT_00692_NgocHa</t>
  </si>
  <si>
    <t>STT_00694_NguyenTrai</t>
  </si>
  <si>
    <t>STT_00697_MinhKhai</t>
  </si>
  <si>
    <t>STT_00700_NgocDuong</t>
  </si>
  <si>
    <t>STT_00946_PhuongDo</t>
  </si>
  <si>
    <t>STT_00949_PhuongThien</t>
  </si>
  <si>
    <t>STT_15403_YenLam</t>
  </si>
  <si>
    <t>STT_15406_YenTam</t>
  </si>
  <si>
    <t>STT_15409_YenPhu</t>
  </si>
  <si>
    <t>STT_15412_QuyLoc</t>
  </si>
  <si>
    <t>STT_15415_YenTho</t>
  </si>
  <si>
    <t>STT_15418_YenTrung</t>
  </si>
  <si>
    <t>STT_15421_YenTruong</t>
  </si>
  <si>
    <t>STT_15427_YenPhong</t>
  </si>
  <si>
    <t>STT_15430_YenThai</t>
  </si>
  <si>
    <t>STT_15433_YenHung</t>
  </si>
  <si>
    <t>STT_15436_YenThinh</t>
  </si>
  <si>
    <t>STT_15439_YenNinh</t>
  </si>
  <si>
    <t>STT_15442_YenLac</t>
  </si>
  <si>
    <t>STT_15445_DinhTang</t>
  </si>
  <si>
    <t>STT_15448_DinhHoa</t>
  </si>
  <si>
    <t>STT_15451_DinhThanh</t>
  </si>
  <si>
    <t>STT_15454_DinhCong</t>
  </si>
  <si>
    <t>STT_15457_DinhTan</t>
  </si>
  <si>
    <t>STT_15460_DinhTien</t>
  </si>
  <si>
    <t>STT_15463_DinhLong</t>
  </si>
  <si>
    <t>STT_15466_DinhLien</t>
  </si>
  <si>
    <t>STT_15469_QuanLao</t>
  </si>
  <si>
    <t>STT_15472_DinhHung</t>
  </si>
  <si>
    <t>STT_15475_DinhHai</t>
  </si>
  <si>
    <t>STT_15478_DinhBinh</t>
  </si>
  <si>
    <t>STT_02227_SinhLong</t>
  </si>
  <si>
    <t>STT_02230_ThuongGiap</t>
  </si>
  <si>
    <t>STT_02239_ThuongNong</t>
  </si>
  <si>
    <t>STT_02245_ConLon</t>
  </si>
  <si>
    <t>STT_02248_YenHoa</t>
  </si>
  <si>
    <t>STT_02254_HongThai</t>
  </si>
  <si>
    <t>STT_02260_DaVi</t>
  </si>
  <si>
    <t>STT_02263_KhauTinh</t>
  </si>
  <si>
    <t>STT_02275_SonPhu</t>
  </si>
  <si>
    <t>STT_02281_NangKha</t>
  </si>
  <si>
    <t>STT_02284_ThanhTuong</t>
  </si>
  <si>
    <t>STT_22018_8</t>
  </si>
  <si>
    <t>STT_22021_2</t>
  </si>
  <si>
    <t>STT_22024_9</t>
  </si>
  <si>
    <t>STT_22027_3</t>
  </si>
  <si>
    <t>STT_22030_4</t>
  </si>
  <si>
    <t>STT_22033_5</t>
  </si>
  <si>
    <t>STT_22036_7</t>
  </si>
  <si>
    <t>STT_22039_6</t>
  </si>
  <si>
    <t>STT_22040_PhuThanh</t>
  </si>
  <si>
    <t>STT_22041_PhuDong</t>
  </si>
  <si>
    <t>STT_22042_HoaKien</t>
  </si>
  <si>
    <t>STT_22045_BinhKien</t>
  </si>
  <si>
    <t>STT_22048_BinhNgoc</t>
  </si>
  <si>
    <t>STT_22162_AnPhu</t>
  </si>
  <si>
    <t>STT_22240_PhuLam</t>
  </si>
  <si>
    <t>STT_30340_KhanhAn</t>
  </si>
  <si>
    <t>STT_30341_LongBinh</t>
  </si>
  <si>
    <t>STT_30343_KhanhBinh</t>
  </si>
  <si>
    <t>STT_30346_QuocThai</t>
  </si>
  <si>
    <t>STT_30349_NhonHoi</t>
  </si>
  <si>
    <t>STT_30352_PhuHuu</t>
  </si>
  <si>
    <t>STT_30355_PhuHoi</t>
  </si>
  <si>
    <t>STT_30358_PhuocHung</t>
  </si>
  <si>
    <t>STT_30361_VinhLoc</t>
  </si>
  <si>
    <t>STT_30364_VinhHau</t>
  </si>
  <si>
    <t>STT_30367_VinhTruong</t>
  </si>
  <si>
    <t>STT_30370_VinhHoiDong</t>
  </si>
  <si>
    <t>STT_30373_DaPhuoc</t>
  </si>
  <si>
    <t>STT_32002_4</t>
  </si>
  <si>
    <t>STT_32005_1</t>
  </si>
  <si>
    <t>STT_32008_5</t>
  </si>
  <si>
    <t>STT_32011_2</t>
  </si>
  <si>
    <t>STT_32014_8</t>
  </si>
  <si>
    <t>STT_32017_6</t>
  </si>
  <si>
    <t>STT_32020_7</t>
  </si>
  <si>
    <t>STT_32022_TanXuyen</t>
  </si>
  <si>
    <t>STT_32023_AnXuyen</t>
  </si>
  <si>
    <t>STT_32025_TanThanh</t>
  </si>
  <si>
    <t>STT_32026_TanThanh</t>
  </si>
  <si>
    <t>STT_32029_TacVan</t>
  </si>
  <si>
    <t>STT_32032_LyVanLam</t>
  </si>
  <si>
    <t>STT_32035_DinhBinh</t>
  </si>
  <si>
    <t>STT_32038_HoaThanh</t>
  </si>
  <si>
    <t>STT_32041_HoaTan</t>
  </si>
  <si>
    <t>STT_05392_ChiNe</t>
  </si>
  <si>
    <t>STT_05395_PhuNghia</t>
  </si>
  <si>
    <t>STT_05398_PhuThanh</t>
  </si>
  <si>
    <t>STT_05404_HungThi</t>
  </si>
  <si>
    <t>STT_05413_KhoanDu</t>
  </si>
  <si>
    <t>STT_05419_DongTam</t>
  </si>
  <si>
    <t>STT_05422_YenBong</t>
  </si>
  <si>
    <t>STT_05425_ThongNhat</t>
  </si>
  <si>
    <t>STT_05428_AnBinh</t>
  </si>
  <si>
    <t>STT_23560_DienHong</t>
  </si>
  <si>
    <t>STT_23563_IaKring</t>
  </si>
  <si>
    <t>STT_23566_HoiThuong</t>
  </si>
  <si>
    <t>STT_23569_HoiPhu</t>
  </si>
  <si>
    <t>STT_23570_PhuDong</t>
  </si>
  <si>
    <t>STT_23572_HoaLu</t>
  </si>
  <si>
    <t>STT_23575_TaySon</t>
  </si>
  <si>
    <t>STT_23578_ThongNhat</t>
  </si>
  <si>
    <t>STT_23579_DongDa</t>
  </si>
  <si>
    <t>STT_23581_TraBa</t>
  </si>
  <si>
    <t>STT_23582_ThangLoi</t>
  </si>
  <si>
    <t>STT_23584_YenThe</t>
  </si>
  <si>
    <t>STT_23586_ChiLang</t>
  </si>
  <si>
    <t>STT_23590_BienHo</t>
  </si>
  <si>
    <t>STT_23593_TanSon</t>
  </si>
  <si>
    <t>STT_23596_TraDa</t>
  </si>
  <si>
    <t>STT_23599_ChuA</t>
  </si>
  <si>
    <t>STT_23602_AnPhu</t>
  </si>
  <si>
    <t>STT_23605_DienPhu</t>
  </si>
  <si>
    <t>STT_23608_IaKenh</t>
  </si>
  <si>
    <t>STT_23611_Gao</t>
  </si>
  <si>
    <t>STT_15499_ThoXuan</t>
  </si>
  <si>
    <t>STT_15502_BacLuong</t>
  </si>
  <si>
    <t>STT_15505_NamGiang</t>
  </si>
  <si>
    <t>STT_15508_XuanPhong</t>
  </si>
  <si>
    <t>STT_15511_ThoLoc</t>
  </si>
  <si>
    <t>STT_15514_XuanTruong</t>
  </si>
  <si>
    <t>STT_15517_XuanHoa</t>
  </si>
  <si>
    <t>STT_15520_ThoHai</t>
  </si>
  <si>
    <t>STT_15523_TayHo</t>
  </si>
  <si>
    <t>STT_15526_XuanGiang</t>
  </si>
  <si>
    <t>STT_15532_XuanSinh</t>
  </si>
  <si>
    <t>STT_15535_XuanHung</t>
  </si>
  <si>
    <t>STT_15538_ThoDien</t>
  </si>
  <si>
    <t>STT_15541_ThoLam</t>
  </si>
  <si>
    <t>STT_15544_ThoXuong</t>
  </si>
  <si>
    <t>STT_15547_XuanBai</t>
  </si>
  <si>
    <t>STT_15550_XuanPhu</t>
  </si>
  <si>
    <t>STT_15553_SaoVang</t>
  </si>
  <si>
    <t>STT_15556_LamSon</t>
  </si>
  <si>
    <t>STT_15559_XuanThien</t>
  </si>
  <si>
    <t>STT_15565_ThuanMinh</t>
  </si>
  <si>
    <t>STT_15568_ThoLap</t>
  </si>
  <si>
    <t>STT_15571_QuangPhu</t>
  </si>
  <si>
    <t>STT_15574_XuanTin</t>
  </si>
  <si>
    <t>STT_15577_PhuXuan</t>
  </si>
  <si>
    <t>STT_15583_XuanLai</t>
  </si>
  <si>
    <t>STT_15586_XuanLap</t>
  </si>
  <si>
    <t>STT_15592_XuanMinh</t>
  </si>
  <si>
    <t>STT_15598_TruongXuan</t>
  </si>
  <si>
    <t>STT_32130_ThanhPhu</t>
  </si>
  <si>
    <t>STT_32131_LuongTheTran</t>
  </si>
  <si>
    <t>STT_32134_PhuHung</t>
  </si>
  <si>
    <t>STT_32137_TanHung</t>
  </si>
  <si>
    <t>STT_32140_HungMy</t>
  </si>
  <si>
    <t>STT_32141_HoaMy</t>
  </si>
  <si>
    <t>STT_32142_DongHung</t>
  </si>
  <si>
    <t>STT_32143_DongThoi</t>
  </si>
  <si>
    <t>STT_32146_TanHungDong</t>
  </si>
  <si>
    <t>STT_32149_TranThoi</t>
  </si>
  <si>
    <t>STT_22846_VinhHai</t>
  </si>
  <si>
    <t>STT_22852_PhuongHai</t>
  </si>
  <si>
    <t>STT_22855_TanHai</t>
  </si>
  <si>
    <t>STT_22858_XuanHai</t>
  </si>
  <si>
    <t>STT_22861_HoHai</t>
  </si>
  <si>
    <t>STT_22864_TriHai</t>
  </si>
  <si>
    <t>STT_22867_NhonHai</t>
  </si>
  <si>
    <t>STT_22868_ThanhHai</t>
  </si>
  <si>
    <t>STT_23113_MyThanh</t>
  </si>
  <si>
    <t>STT_23116_HamCan</t>
  </si>
  <si>
    <t>STT_23119_MuongMan</t>
  </si>
  <si>
    <t>STT_23122_HamThanh</t>
  </si>
  <si>
    <t>STT_23125_HamKiem</t>
  </si>
  <si>
    <t>STT_23128_HamCuong</t>
  </si>
  <si>
    <t>STT_23131_HamMy</t>
  </si>
  <si>
    <t>STT_23134_TanLap</t>
  </si>
  <si>
    <t>STT_23137_HamMinh</t>
  </si>
  <si>
    <t>STT_23140_ThuanQui</t>
  </si>
  <si>
    <t>STT_23143_TanThuan</t>
  </si>
  <si>
    <t>STT_23146_TanThanh</t>
  </si>
  <si>
    <t>STT_22246_HoaHiepBac</t>
  </si>
  <si>
    <t>STT_22258_HoaVinh</t>
  </si>
  <si>
    <t>STT_22261_HoaHiepTrung</t>
  </si>
  <si>
    <t>STT_22267_HoaTanDong</t>
  </si>
  <si>
    <t>STT_22279_HoaXuanTay</t>
  </si>
  <si>
    <t>STT_22282_HoaHiepNam</t>
  </si>
  <si>
    <t>STT_22291_HoaXuanDong</t>
  </si>
  <si>
    <t>STT_22297_HoaTam</t>
  </si>
  <si>
    <t>STT_22300_HoaXuanNam</t>
  </si>
  <si>
    <t>STT_20338_PhuocHoa</t>
  </si>
  <si>
    <t>STT_20341_AnMy</t>
  </si>
  <si>
    <t>STT_20344_HoaHuong</t>
  </si>
  <si>
    <t>STT_20347_AnXuan</t>
  </si>
  <si>
    <t>STT_20350_AnSon</t>
  </si>
  <si>
    <t>STT_20353_TruongXuan</t>
  </si>
  <si>
    <t>STT_20356_AnPhu</t>
  </si>
  <si>
    <t>STT_20359_TamThanh</t>
  </si>
  <si>
    <t>STT_20362_TamThang</t>
  </si>
  <si>
    <t>STT_20371_TamPhu</t>
  </si>
  <si>
    <t>STT_20375_HoaThuan</t>
  </si>
  <si>
    <t>STT_20389_TamNgoc</t>
  </si>
  <si>
    <t>STT_24871_DinhVan</t>
  </si>
  <si>
    <t>STT_24880_PhuSon</t>
  </si>
  <si>
    <t>STT_24883_PhiTo</t>
  </si>
  <si>
    <t>STT_24892_MeLinh</t>
  </si>
  <si>
    <t>STT_24895_DaDon</t>
  </si>
  <si>
    <t>STT_24898_PhucTho</t>
  </si>
  <si>
    <t>STT_24901_DongThanh</t>
  </si>
  <si>
    <t>STT_24904_GiaLam</t>
  </si>
  <si>
    <t>STT_24907_TanThanh</t>
  </si>
  <si>
    <t>STT_24910_TanVan</t>
  </si>
  <si>
    <t>STT_24913_HoaiDuc</t>
  </si>
  <si>
    <t>STT_24916_TanHa</t>
  </si>
  <si>
    <t>STT_24919_LienHa</t>
  </si>
  <si>
    <t>STT_24922_DanPhuong</t>
  </si>
  <si>
    <t>STT_24925_NamHa</t>
  </si>
  <si>
    <t>STT_29929_TanHoCo</t>
  </si>
  <si>
    <t>STT_29932_ThongBinh</t>
  </si>
  <si>
    <t>STT_29935_BinhPhu</t>
  </si>
  <si>
    <t>STT_29938_TanThanhA</t>
  </si>
  <si>
    <t>STT_29941_TanThanhB</t>
  </si>
  <si>
    <t>STT_29944_TanPhuoc</t>
  </si>
  <si>
    <t>STT_29947_TanCongChi</t>
  </si>
  <si>
    <t>STT_29950_AnPhuoc</t>
  </si>
  <si>
    <t>STT_19627_TrieuAn</t>
  </si>
  <si>
    <t>STT_19630_TrieuVan</t>
  </si>
  <si>
    <t>STT_19633_TrieuPhuoc</t>
  </si>
  <si>
    <t>STT_19636_TrieuDo</t>
  </si>
  <si>
    <t>STT_19639_TrieuTrach</t>
  </si>
  <si>
    <t>STT_19642_TrieuThuan</t>
  </si>
  <si>
    <t>STT_19645_TrieuDai</t>
  </si>
  <si>
    <t>STT_19648_TrieuHoa</t>
  </si>
  <si>
    <t>STT_19651_TrieuLang</t>
  </si>
  <si>
    <t>STT_19654_TrieuSon</t>
  </si>
  <si>
    <t>STT_19657_TrieuLong</t>
  </si>
  <si>
    <t>STT_19660_TrieuTai</t>
  </si>
  <si>
    <t>STT_19666_TrieuTrung</t>
  </si>
  <si>
    <t>STT_19669_TrieuAi</t>
  </si>
  <si>
    <t>STT_19672_TrieuThuong</t>
  </si>
  <si>
    <t>STT_19675_TrieuGiang</t>
  </si>
  <si>
    <t>STT_19678_TrieuThanh</t>
  </si>
  <si>
    <t>STT_28757_PhuTan</t>
  </si>
  <si>
    <t>STT_28759_8</t>
  </si>
  <si>
    <t>STT_28762_6</t>
  </si>
  <si>
    <t>STT_28765_4</t>
  </si>
  <si>
    <t>STT_28768_5</t>
  </si>
  <si>
    <t>STT_28777_AnHoi</t>
  </si>
  <si>
    <t>STT_28780_7</t>
  </si>
  <si>
    <t>STT_28783_SonDong</t>
  </si>
  <si>
    <t>STT_28786_PhuHung</t>
  </si>
  <si>
    <t>STT_28789_BinhPhu</t>
  </si>
  <si>
    <t>STT_28792_MyThanhAn</t>
  </si>
  <si>
    <t>STT_28795_NhonThanh</t>
  </si>
  <si>
    <t>STT_28798_PhuNhuan</t>
  </si>
  <si>
    <t>STT_19249_KienGiang</t>
  </si>
  <si>
    <t>STT_19252_HongThuy</t>
  </si>
  <si>
    <t>STT_19255_NguThuyBac</t>
  </si>
  <si>
    <t>STT_19258_HoaThuy</t>
  </si>
  <si>
    <t>STT_19261_ThanhThuy</t>
  </si>
  <si>
    <t>STT_19264_AnThuy</t>
  </si>
  <si>
    <t>STT_19267_PhongThuy</t>
  </si>
  <si>
    <t>STT_19270_CamThuy</t>
  </si>
  <si>
    <t>STT_19273_NganThuy</t>
  </si>
  <si>
    <t>STT_19276_SonThuy</t>
  </si>
  <si>
    <t>STT_19279_LocThuy</t>
  </si>
  <si>
    <t>STT_19285_LienThuy</t>
  </si>
  <si>
    <t>STT_19288_HungThuy</t>
  </si>
  <si>
    <t>STT_19291_DuongThuy</t>
  </si>
  <si>
    <t>STT_19294_TanThuy</t>
  </si>
  <si>
    <t>STT_19297_PhuThuy</t>
  </si>
  <si>
    <t>STT_19300_XuanThuy</t>
  </si>
  <si>
    <t>STT_19303_MyThuy</t>
  </si>
  <si>
    <t>STT_19306_NguThuy</t>
  </si>
  <si>
    <t>STT_19309_MaiThuy</t>
  </si>
  <si>
    <t>STT_19312_SenThuy</t>
  </si>
  <si>
    <t>STT_19315_ThaiThuy</t>
  </si>
  <si>
    <t>STT_19318_KimThuy</t>
  </si>
  <si>
    <t>STT_19321_TruongThuy</t>
  </si>
  <si>
    <t>STT_19327_LamThuy</t>
  </si>
  <si>
    <t>STT_27646_PhuocKien</t>
  </si>
  <si>
    <t>STT_27649_PhuocLoc</t>
  </si>
  <si>
    <t>STT_27652_NhonDuc</t>
  </si>
  <si>
    <t>STT_27655_PhuXuan</t>
  </si>
  <si>
    <t>STT_27658_LongThoi</t>
  </si>
  <si>
    <t>STT_27661_HiepPhuoc</t>
  </si>
  <si>
    <t>STT_31846_NinhQuoi</t>
  </si>
  <si>
    <t>STT_31849_NinhQuoiA</t>
  </si>
  <si>
    <t>STT_31852_NinhHoa</t>
  </si>
  <si>
    <t>STT_31855_LocNinh</t>
  </si>
  <si>
    <t>STT_31858_VinhLoc</t>
  </si>
  <si>
    <t>STT_31861_VinhLocA</t>
  </si>
  <si>
    <t>STT_31863_NinhThanhLoiA</t>
  </si>
  <si>
    <t>STT_31864_NinhThanhLoi</t>
  </si>
  <si>
    <t>STT_04303_YenThe</t>
  </si>
  <si>
    <t>STT_04306_TanPhuong</t>
  </si>
  <si>
    <t>STT_04309_LamThuong</t>
  </si>
  <si>
    <t>STT_04312_KhanhThien</t>
  </si>
  <si>
    <t>STT_04315_MinhChuan</t>
  </si>
  <si>
    <t>STT_04321_KhaiTrung</t>
  </si>
  <si>
    <t>STT_04324_MuongLai</t>
  </si>
  <si>
    <t>STT_04327_AnLac</t>
  </si>
  <si>
    <t>STT_04330_MinhXuan</t>
  </si>
  <si>
    <t>STT_04333_ToMau</t>
  </si>
  <si>
    <t>STT_04336_TanLinh</t>
  </si>
  <si>
    <t>STT_04339_YenThang</t>
  </si>
  <si>
    <t>STT_04342_KhanhHoa</t>
  </si>
  <si>
    <t>STT_04345_VinhLac</t>
  </si>
  <si>
    <t>STT_04348_LieuDo</t>
  </si>
  <si>
    <t>STT_04351_DongQuan</t>
  </si>
  <si>
    <t>STT_04354_TanLap</t>
  </si>
  <si>
    <t>STT_04357_MinhTien</t>
  </si>
  <si>
    <t>STT_04360_TrucLau</t>
  </si>
  <si>
    <t>STT_04363_PhucLoi</t>
  </si>
  <si>
    <t>STT_04366_PhanThanh</t>
  </si>
  <si>
    <t>STT_04369_AnPhu</t>
  </si>
  <si>
    <t>STT_04372_TrungTam</t>
  </si>
  <si>
    <t>STT_31690_DaiTam</t>
  </si>
  <si>
    <t>STT_31693_ThamDon</t>
  </si>
  <si>
    <t>STT_31708_ThanhPhu</t>
  </si>
  <si>
    <t>STT_31711_NgocDong</t>
  </si>
  <si>
    <t>STT_31714_ThanhQuoi</t>
  </si>
  <si>
    <t>STT_31717_HoaTu1</t>
  </si>
  <si>
    <t>STT_31720_GiaHoa1</t>
  </si>
  <si>
    <t>STT_31723_NgocTo</t>
  </si>
  <si>
    <t>STT_31726_GiaHoa2</t>
  </si>
  <si>
    <t>STT_31729_HoaTuII</t>
  </si>
  <si>
    <t>STT_25861_AnLinh</t>
  </si>
  <si>
    <t>STT_25864_PhuocSang</t>
  </si>
  <si>
    <t>STT_25865_AnThai</t>
  </si>
  <si>
    <t>STT_25867_AnLong</t>
  </si>
  <si>
    <t>STT_25870_AnBinh</t>
  </si>
  <si>
    <t>STT_25873_TanHiep</t>
  </si>
  <si>
    <t>STT_25876_TamLap</t>
  </si>
  <si>
    <t>STT_25879_TanLong</t>
  </si>
  <si>
    <t>STT_25882_VinhHoa</t>
  </si>
  <si>
    <t>STT_25885_PhuocHoa</t>
  </si>
  <si>
    <t>STT_27688_2</t>
  </si>
  <si>
    <t>STT_27691_4</t>
  </si>
  <si>
    <t>STT_27692_TanKhanh</t>
  </si>
  <si>
    <t>STT_27694_1</t>
  </si>
  <si>
    <t>STT_27697_3</t>
  </si>
  <si>
    <t>STT_27698_7</t>
  </si>
  <si>
    <t>STT_27700_6</t>
  </si>
  <si>
    <t>STT_27703_HuongThoPhu</t>
  </si>
  <si>
    <t>STT_27706_NhonThanhTrung</t>
  </si>
  <si>
    <t>STT_27709_LoiBinhNhon</t>
  </si>
  <si>
    <t>STT_27712_BinhTam</t>
  </si>
  <si>
    <t>STT_27715_KhanhHau</t>
  </si>
  <si>
    <t>STT_27718_AnVinhNgai</t>
  </si>
  <si>
    <t>STT_22114_ChiThanh</t>
  </si>
  <si>
    <t>STT_22120_AnNinhTay</t>
  </si>
  <si>
    <t>STT_22123_AnNinhDong</t>
  </si>
  <si>
    <t>STT_22126_AnThach</t>
  </si>
  <si>
    <t>STT_22129_AnDinh</t>
  </si>
  <si>
    <t>STT_22132_AnNghiep</t>
  </si>
  <si>
    <t>STT_22138_AnCu</t>
  </si>
  <si>
    <t>STT_22141_AnXuan</t>
  </si>
  <si>
    <t>STT_22144_AnLinh</t>
  </si>
  <si>
    <t>STT_22147_AnHoaHai</t>
  </si>
  <si>
    <t>STT_22150_AnHiep</t>
  </si>
  <si>
    <t>STT_22153_AnMy</t>
  </si>
  <si>
    <t>STT_22156_AnChan</t>
  </si>
  <si>
    <t>STT_22159_AnTho</t>
  </si>
  <si>
    <t>STT_25744_PhuLoi</t>
  </si>
  <si>
    <t>STT_25747_PhuCuong</t>
  </si>
  <si>
    <t>STT_25750_PhuHoa</t>
  </si>
  <si>
    <t>STT_25753_PhuTho</t>
  </si>
  <si>
    <t>STT_25756_ChanhNghia</t>
  </si>
  <si>
    <t>STT_25759_DinhHoa</t>
  </si>
  <si>
    <t>STT_25760_HoaPhu</t>
  </si>
  <si>
    <t>STT_25762_PhuMy</t>
  </si>
  <si>
    <t>STT_25763_PhuTan</t>
  </si>
  <si>
    <t>STT_25765_TanAn</t>
  </si>
  <si>
    <t>STT_25768_HiepAn</t>
  </si>
  <si>
    <t>STT_25771_TuongBinhHiep</t>
  </si>
  <si>
    <t>STT_25774_ChanhMy</t>
  </si>
  <si>
    <t>STT_31975_LongDienDong</t>
  </si>
  <si>
    <t>STT_31978_LongDienDongA</t>
  </si>
  <si>
    <t>STT_31981_LongDien</t>
  </si>
  <si>
    <t>STT_31984_LongDienTay</t>
  </si>
  <si>
    <t>STT_31985_DienHai</t>
  </si>
  <si>
    <t>STT_31987_AnTrach</t>
  </si>
  <si>
    <t>STT_31988_AnTrachA</t>
  </si>
  <si>
    <t>STT_31990_AnPhuc</t>
  </si>
  <si>
    <t>STT_31993_DinhThanh</t>
  </si>
  <si>
    <t>STT_31996_DinhThanhA</t>
  </si>
  <si>
    <t>STT_03901_SuoiTo</t>
  </si>
  <si>
    <t>STT_03904_MuongThai</t>
  </si>
  <si>
    <t>STT_03907_MuongCoi</t>
  </si>
  <si>
    <t>STT_03910_QuangHuy</t>
  </si>
  <si>
    <t>STT_03913_HuyBac</t>
  </si>
  <si>
    <t>STT_03916_HuyThuong</t>
  </si>
  <si>
    <t>STT_03919_TanLang</t>
  </si>
  <si>
    <t>STT_03922_GiaPhu</t>
  </si>
  <si>
    <t>STT_03925_TuongPhu</t>
  </si>
  <si>
    <t>STT_03928_HuyHa</t>
  </si>
  <si>
    <t>STT_03931_HuyTan</t>
  </si>
  <si>
    <t>STT_03934_MuongLang</t>
  </si>
  <si>
    <t>STT_03937_SuoiBau</t>
  </si>
  <si>
    <t>STT_03940_HuyTuong</t>
  </si>
  <si>
    <t>STT_03943_MuongDo</t>
  </si>
  <si>
    <t>STT_03946_SapXa</t>
  </si>
  <si>
    <t>STT_03949_TuongThuong</t>
  </si>
  <si>
    <t>STT_03952_TuongTien</t>
  </si>
  <si>
    <t>STT_03955_TuongPhong</t>
  </si>
  <si>
    <t>STT_03958_TuongHa</t>
  </si>
  <si>
    <t>STT_03961_KimBon</t>
  </si>
  <si>
    <t>STT_03964_MuongBang</t>
  </si>
  <si>
    <t>STT_03967_DaDo</t>
  </si>
  <si>
    <t>STT_03970_TanPhong</t>
  </si>
  <si>
    <t>STT_03973_NamPhong</t>
  </si>
  <si>
    <t>STT_03976_BacPhong</t>
  </si>
  <si>
    <t>STT_22168_PhuocTan</t>
  </si>
  <si>
    <t>STT_22171_SonHoi</t>
  </si>
  <si>
    <t>STT_22174_SonDinh</t>
  </si>
  <si>
    <t>STT_22177_SonLong</t>
  </si>
  <si>
    <t>STT_22180_CaLui</t>
  </si>
  <si>
    <t>STT_22183_SonPhuoc</t>
  </si>
  <si>
    <t>STT_22186_SonXuan</t>
  </si>
  <si>
    <t>STT_22189_SonNguyen</t>
  </si>
  <si>
    <t>STT_22192_EachaRang</t>
  </si>
  <si>
    <t>STT_22195_KrongPa</t>
  </si>
  <si>
    <t>STT_22198_SuoiBac</t>
  </si>
  <si>
    <t>STT_22201_SonHa</t>
  </si>
  <si>
    <t>STT_22204_SuoiTrai</t>
  </si>
  <si>
    <t>STT_27166_13</t>
  </si>
  <si>
    <t>STT_27169_14</t>
  </si>
  <si>
    <t>STT_27172_12</t>
  </si>
  <si>
    <t>STT_27175_11</t>
  </si>
  <si>
    <t>STT_27178_10</t>
  </si>
  <si>
    <t>STT_27181_09</t>
  </si>
  <si>
    <t>STT_27184_01</t>
  </si>
  <si>
    <t>STT_27187_08</t>
  </si>
  <si>
    <t>STT_27190_02</t>
  </si>
  <si>
    <t>STT_27193_04</t>
  </si>
  <si>
    <t>STT_27196_07</t>
  </si>
  <si>
    <t>STT_27199_05</t>
  </si>
  <si>
    <t>STT_27202_06</t>
  </si>
  <si>
    <t>STT_03002_SaPa</t>
  </si>
  <si>
    <t>STT_03003_OQuyHo</t>
  </si>
  <si>
    <t>STT_03004_NguChiSon</t>
  </si>
  <si>
    <t>STT_03006_PhanSiPang</t>
  </si>
  <si>
    <t>STT_03010_TrungChai</t>
  </si>
  <si>
    <t>STT_03013_TaPhin</t>
  </si>
  <si>
    <t>STT_03016_HamRong</t>
  </si>
  <si>
    <t>STT_03019_HoangLien</t>
  </si>
  <si>
    <t>STT_03022_ThanhBinh</t>
  </si>
  <si>
    <t>STT_03028_CauMay</t>
  </si>
  <si>
    <t>STT_03037_MuongHoa</t>
  </si>
  <si>
    <t>STT_03040_TaVan</t>
  </si>
  <si>
    <t>STT_03043_MuongBo</t>
  </si>
  <si>
    <t>STT_03046_BanHo</t>
  </si>
  <si>
    <t>STT_03052_LienMinh</t>
  </si>
  <si>
    <t>STT_19333_1</t>
  </si>
  <si>
    <t>STT_19336_DongLe</t>
  </si>
  <si>
    <t>STT_19339_DongThanh</t>
  </si>
  <si>
    <t>STT_19342_2</t>
  </si>
  <si>
    <t>STT_19345_4</t>
  </si>
  <si>
    <t>STT_19348_5</t>
  </si>
  <si>
    <t>STT_19351_DongLuong</t>
  </si>
  <si>
    <t>STT_19354_3</t>
  </si>
  <si>
    <t>STT_01939_ThuongAn</t>
  </si>
  <si>
    <t>STT_01942_BangVan</t>
  </si>
  <si>
    <t>STT_01945_CocDan</t>
  </si>
  <si>
    <t>STT_01948_TrungHoa</t>
  </si>
  <si>
    <t>STT_01951_DucVan</t>
  </si>
  <si>
    <t>STT_01954_VanTung</t>
  </si>
  <si>
    <t>STT_01957_ThuongQuan</t>
  </si>
  <si>
    <t>STT_01960_HiepLuc</t>
  </si>
  <si>
    <t>STT_01963_ThuanMang</t>
  </si>
  <si>
    <t>STT_20266_NaiHienDong</t>
  </si>
  <si>
    <t>STT_20269_ManThai</t>
  </si>
  <si>
    <t>STT_20272_AnHaiBac</t>
  </si>
  <si>
    <t>STT_20275_PhuocMy</t>
  </si>
  <si>
    <t>STT_20278_AnHaiTay</t>
  </si>
  <si>
    <t>STT_20281_AnHaiDong</t>
  </si>
  <si>
    <t>STT_29824_XuanHiep</t>
  </si>
  <si>
    <t>STT_29827_NhonBinh</t>
  </si>
  <si>
    <t>STT_29830_HoaBinh</t>
  </si>
  <si>
    <t>STT_29833_ThoiHoa</t>
  </si>
  <si>
    <t>STT_29836_TraCon</t>
  </si>
  <si>
    <t>STT_29839_TanMy</t>
  </si>
  <si>
    <t>STT_29842_HuuThanh</t>
  </si>
  <si>
    <t>STT_29845_VinhXuan</t>
  </si>
  <si>
    <t>STT_29848_ThuanThoi</t>
  </si>
  <si>
    <t>STT_29851_PhuThanh</t>
  </si>
  <si>
    <t>STT_29854_ThienMy</t>
  </si>
  <si>
    <t>STT_29857_LucSyThanh</t>
  </si>
  <si>
    <t>STT_29860_TichThien</t>
  </si>
  <si>
    <t>STT_23395_BoY</t>
  </si>
  <si>
    <t>STT_23398_SaLoong</t>
  </si>
  <si>
    <t>STT_23377_PleiKan</t>
  </si>
  <si>
    <t>STT_23380_DakAng</t>
  </si>
  <si>
    <t>STT_23383_DakDuc</t>
  </si>
  <si>
    <t>STT_23386_DakNong</t>
  </si>
  <si>
    <t>STT_23389_DakXu</t>
  </si>
  <si>
    <t>STT_07525_Chu</t>
  </si>
  <si>
    <t>STT_07528_CamSon</t>
  </si>
  <si>
    <t>STT_07531_TanSon</t>
  </si>
  <si>
    <t>STT_07534_PhongMinh</t>
  </si>
  <si>
    <t>STT_07537_PhongVan</t>
  </si>
  <si>
    <t>STT_07540_XaLy</t>
  </si>
  <si>
    <t>STT_07543_HoDap</t>
  </si>
  <si>
    <t>STT_07546_SonHai</t>
  </si>
  <si>
    <t>STT_07549_ThanhHai</t>
  </si>
  <si>
    <t>STT_07552_KienLao</t>
  </si>
  <si>
    <t>STT_07555_BienSon</t>
  </si>
  <si>
    <t>STT_07558_KienThanh</t>
  </si>
  <si>
    <t>STT_07561_HongGiang</t>
  </si>
  <si>
    <t>STT_07564_KimSon</t>
  </si>
  <si>
    <t>STT_07570_GiapSon</t>
  </si>
  <si>
    <t>STT_07573_BienDong</t>
  </si>
  <si>
    <t>STT_07576_QuySon</t>
  </si>
  <si>
    <t>STT_07579_TruHuu</t>
  </si>
  <si>
    <t>STT_07582_PhiDien</t>
  </si>
  <si>
    <t>STT_07588_TanQuang</t>
  </si>
  <si>
    <t>STT_07591_DongCoc</t>
  </si>
  <si>
    <t>STT_07594_TanLap</t>
  </si>
  <si>
    <t>STT_07597_PhuNhuan</t>
  </si>
  <si>
    <t>STT_07600_MyAn</t>
  </si>
  <si>
    <t>STT_07603_NamDuong</t>
  </si>
  <si>
    <t>STT_07606_TanMoc</t>
  </si>
  <si>
    <t>STT_07609_DeoGia</t>
  </si>
  <si>
    <t>STT_07612_PhuongSon</t>
  </si>
  <si>
    <t>STT_22306_HoaQuangNam</t>
  </si>
  <si>
    <t>STT_22309_HoaHoi</t>
  </si>
  <si>
    <t>STT_22312_HoaTri</t>
  </si>
  <si>
    <t>STT_22315_HoaAn</t>
  </si>
  <si>
    <t>STT_22318_HoaDinhDong</t>
  </si>
  <si>
    <t>STT_22319_PhuHoa</t>
  </si>
  <si>
    <t>STT_22321_HoaDinhTay</t>
  </si>
  <si>
    <t>STT_22324_HoaThang</t>
  </si>
  <si>
    <t>STT_27304_09</t>
  </si>
  <si>
    <t>STT_27307_03</t>
  </si>
  <si>
    <t>STT_27310_12</t>
  </si>
  <si>
    <t>STT_27313_02</t>
  </si>
  <si>
    <t>STT_27316_08</t>
  </si>
  <si>
    <t>STT_27322_07</t>
  </si>
  <si>
    <t>STT_27325_01</t>
  </si>
  <si>
    <t>STT_27328_11</t>
  </si>
  <si>
    <t>STT_27331_14</t>
  </si>
  <si>
    <t>STT_27334_05</t>
  </si>
  <si>
    <t>STT_27337_06</t>
  </si>
  <si>
    <t>STT_27340_10</t>
  </si>
  <si>
    <t>STT_27343_13</t>
  </si>
  <si>
    <t>STT_25711_DonThuan</t>
  </si>
  <si>
    <t>STT_25714_HungThuan</t>
  </si>
  <si>
    <t>STT_25717_LocHung</t>
  </si>
  <si>
    <t>STT_25720_GiaLoc</t>
  </si>
  <si>
    <t>STT_25723_GiaBinh</t>
  </si>
  <si>
    <t>STT_25729_PhuocBinh</t>
  </si>
  <si>
    <t>STT_25732_AnTinh</t>
  </si>
  <si>
    <t>STT_25735_AnHoa</t>
  </si>
  <si>
    <t>STT_25738_PhuocChi</t>
  </si>
  <si>
    <t>STT_19966_ThuyThanh</t>
  </si>
  <si>
    <t>STT_19969_ThuyDuong</t>
  </si>
  <si>
    <t>STT_19972_ThuyPhuong</t>
  </si>
  <si>
    <t>STT_19975_ThuyChau</t>
  </si>
  <si>
    <t>STT_19978_ThuyLuong</t>
  </si>
  <si>
    <t>STT_19984_ThuyTan</t>
  </si>
  <si>
    <t>STT_19987_ThuyPhu</t>
  </si>
  <si>
    <t>STT_19990_PhuSon</t>
  </si>
  <si>
    <t>STT_19993_DuongHoa</t>
  </si>
  <si>
    <t>STT_22250_SonThanhDong</t>
  </si>
  <si>
    <t>STT_22252_HoaBinh1</t>
  </si>
  <si>
    <t>STT_22255_PhuThu</t>
  </si>
  <si>
    <t>STT_22264_HoaPhong</t>
  </si>
  <si>
    <t>STT_22270_HoaPhu</t>
  </si>
  <si>
    <t>STT_22273_HoaTanTay</t>
  </si>
  <si>
    <t>STT_22276_HoaDong</t>
  </si>
  <si>
    <t>STT_22285_HoaMyDong</t>
  </si>
  <si>
    <t>STT_22288_HoaMyTay</t>
  </si>
  <si>
    <t>STT_22294_HoaThinh</t>
  </si>
  <si>
    <t>STT_20698_Laee</t>
  </si>
  <si>
    <t>STT_20699_ChoChun</t>
  </si>
  <si>
    <t>STT_20701_Zuoich</t>
  </si>
  <si>
    <t>STT_20702_TaPoo</t>
  </si>
  <si>
    <t>STT_20704_LaDee</t>
  </si>
  <si>
    <t>STT_20705_DacToi</t>
  </si>
  <si>
    <t>STT_20707_ChaVal</t>
  </si>
  <si>
    <t>STT_20710_TaBhinh</t>
  </si>
  <si>
    <t>STT_20713_CaDy</t>
  </si>
  <si>
    <t>STT_20716_DacPre</t>
  </si>
  <si>
    <t>STT_20719_DacPring</t>
  </si>
  <si>
    <t>STT_20305_HoaPhat</t>
  </si>
  <si>
    <t>STT_20306_HoaAn</t>
  </si>
  <si>
    <t>STT_20311_HoaThoTay</t>
  </si>
  <si>
    <t>STT_20312_HoaThoDong</t>
  </si>
  <si>
    <t>STT_20314_HoaXuan</t>
  </si>
  <si>
    <t>STT_19600_CamTuyen</t>
  </si>
  <si>
    <t>STT_19603_ThanhAn</t>
  </si>
  <si>
    <t>STT_19606_CamThuy</t>
  </si>
  <si>
    <t>STT_19612_CamThanh</t>
  </si>
  <si>
    <t>STT_19615_CamHieu</t>
  </si>
  <si>
    <t>STT_19618_CamChinh</t>
  </si>
  <si>
    <t>STT_19621_CamNghia</t>
  </si>
  <si>
    <t>STT_31060_VinhBinhBac</t>
  </si>
  <si>
    <t>STT_31063_VinhBinhNam</t>
  </si>
  <si>
    <t>STT_31064_BinhMinh</t>
  </si>
  <si>
    <t>STT_31069_VinhThuan</t>
  </si>
  <si>
    <t>STT_31072_TanThuan</t>
  </si>
  <si>
    <t>STT_31074_PhongDong</t>
  </si>
  <si>
    <t>STT_31075_VinhPhong</t>
  </si>
  <si>
    <t>STT_03205_NaSon</t>
  </si>
  <si>
    <t>STT_03208_PhiNhu</t>
  </si>
  <si>
    <t>STT_03211_ChiengSo</t>
  </si>
  <si>
    <t>STT_03214_MuongLuan</t>
  </si>
  <si>
    <t>STT_03370_PuNhi</t>
  </si>
  <si>
    <t>STT_03371_NongU</t>
  </si>
  <si>
    <t>STT_03373_XaDung</t>
  </si>
  <si>
    <t>STT_03376_KeoLom</t>
  </si>
  <si>
    <t>STT_03379_LuanGioi</t>
  </si>
  <si>
    <t>STT_03382_PhinhGiang</t>
  </si>
  <si>
    <t>STT_03383_PuHong</t>
  </si>
  <si>
    <t>STT_03384_TiaDinh</t>
  </si>
  <si>
    <t>STT_03385_HangLia</t>
  </si>
  <si>
    <t>STT_22918_HamTien</t>
  </si>
  <si>
    <t>STT_22921_PhuHai</t>
  </si>
  <si>
    <t>STT_22924_PhuThuy</t>
  </si>
  <si>
    <t>STT_22927_PhuTai</t>
  </si>
  <si>
    <t>STT_22930_PhuTrinh</t>
  </si>
  <si>
    <t>STT_22933_XuanAn</t>
  </si>
  <si>
    <t>STT_22936_ThanhHai</t>
  </si>
  <si>
    <t>STT_22939_BinhHung</t>
  </si>
  <si>
    <t>STT_22942_DucNghia</t>
  </si>
  <si>
    <t>STT_22945_LacDao</t>
  </si>
  <si>
    <t>STT_22948_DucThang</t>
  </si>
  <si>
    <t>STT_22951_HungLong</t>
  </si>
  <si>
    <t>STT_22954_DucLong</t>
  </si>
  <si>
    <t>STT_22957_ThienNghiep</t>
  </si>
  <si>
    <t>STT_22960_PhongNam</t>
  </si>
  <si>
    <t>STT_22963_TienLoi</t>
  </si>
  <si>
    <t>STT_22966_TienThanh</t>
  </si>
  <si>
    <t>STT_25657_ThanhDuc</t>
  </si>
  <si>
    <t>STT_25660_CamGiang</t>
  </si>
  <si>
    <t>STT_25663_HiepThanh</t>
  </si>
  <si>
    <t>STT_25666_BauDon</t>
  </si>
  <si>
    <t>STT_25669_PhuocThanh</t>
  </si>
  <si>
    <t>STT_25672_PhuocDong</t>
  </si>
  <si>
    <t>STT_25675_PhuocTrach</t>
  </si>
  <si>
    <t>STT_25678_ThanhPhuoc</t>
  </si>
  <si>
    <t>STT_25684_LongChu</t>
  </si>
  <si>
    <t>STT_25687_LongPhuoc</t>
  </si>
  <si>
    <t>STT_25690_LongGiang</t>
  </si>
  <si>
    <t>STT_25693_TienThuan</t>
  </si>
  <si>
    <t>STT_25696_LongKhanh</t>
  </si>
  <si>
    <t>STT_25699_LoiThuan</t>
  </si>
  <si>
    <t>STT_25702_LongThuan</t>
  </si>
  <si>
    <t>STT_25705_AnThanh</t>
  </si>
  <si>
    <t>STT_27994_ThanhLoi</t>
  </si>
  <si>
    <t>STT_27997_LuongBinh</t>
  </si>
  <si>
    <t>STT_28000_ThanhHoa</t>
  </si>
  <si>
    <t>STT_28003_LuongHoa</t>
  </si>
  <si>
    <t>STT_28006_TanHoa</t>
  </si>
  <si>
    <t>STT_28009_TanBuu</t>
  </si>
  <si>
    <t>STT_28012_AnThanh</t>
  </si>
  <si>
    <t>STT_28015_BinhDuc</t>
  </si>
  <si>
    <t>STT_28018_MyYen</t>
  </si>
  <si>
    <t>STT_28021_ThanhPhu</t>
  </si>
  <si>
    <t>STT_28024_LongHiep</t>
  </si>
  <si>
    <t>STT_28027_ThanhDuc</t>
  </si>
  <si>
    <t>STT_28030_PhuocLoi</t>
  </si>
  <si>
    <t>STT_28033_NhutChanh</t>
  </si>
  <si>
    <t>STT_00118_NgocThuy</t>
  </si>
  <si>
    <t>STT_00121_GiangBien</t>
  </si>
  <si>
    <t>STT_00124_DucGiang</t>
  </si>
  <si>
    <t>STT_00127_VietHung</t>
  </si>
  <si>
    <t>STT_00130_GiaThuy</t>
  </si>
  <si>
    <t>STT_00133_NgocLam</t>
  </si>
  <si>
    <t>STT_00136_PhucLoi</t>
  </si>
  <si>
    <t>STT_00139_BoDe</t>
  </si>
  <si>
    <t>STT_00142_SaiDong</t>
  </si>
  <si>
    <t>STT_00145_LongBien</t>
  </si>
  <si>
    <t>STT_00148_ThachBan</t>
  </si>
  <si>
    <t>STT_00151_PhucDong</t>
  </si>
  <si>
    <t>STT_00154_CuKhoi</t>
  </si>
  <si>
    <t>STT_27901_MyQuyDong</t>
  </si>
  <si>
    <t>STT_27904_MyThanhBac</t>
  </si>
  <si>
    <t>STT_27907_MyQuyTay</t>
  </si>
  <si>
    <t>STT_27910_MyThanhTay</t>
  </si>
  <si>
    <t>STT_27913_MyThanhDong</t>
  </si>
  <si>
    <t>STT_27916_BinhThanh</t>
  </si>
  <si>
    <t>STT_27919_BinhHoaBac</t>
  </si>
  <si>
    <t>STT_27922_BinhHoaHung</t>
  </si>
  <si>
    <t>STT_27925_BinhHoaNam</t>
  </si>
  <si>
    <t>STT_27928_MyBinh</t>
  </si>
  <si>
    <t>STT_28252_4</t>
  </si>
  <si>
    <t>STT_28255_7</t>
  </si>
  <si>
    <t>STT_28258_3</t>
  </si>
  <si>
    <t>STT_28261_1</t>
  </si>
  <si>
    <t>STT_28264_2</t>
  </si>
  <si>
    <t>STT_28267_8</t>
  </si>
  <si>
    <t>STT_28270_6</t>
  </si>
  <si>
    <t>STT_28273_9</t>
  </si>
  <si>
    <t>STT_28276_10</t>
  </si>
  <si>
    <t>STT_28279_TanLong</t>
  </si>
  <si>
    <t>STT_28282_DaoThanh</t>
  </si>
  <si>
    <t>STT_28285_TrungAn</t>
  </si>
  <si>
    <t>STT_28288_MyPhong</t>
  </si>
  <si>
    <t>STT_28291_TanMyChanh</t>
  </si>
  <si>
    <t>STT_28567_PhuocThanh</t>
  </si>
  <si>
    <t>STT_28591_ThoiSon</t>
  </si>
  <si>
    <t>STT_02905_PhoLu</t>
  </si>
  <si>
    <t>STT_02908_TangLoong</t>
  </si>
  <si>
    <t>STT_02911_BanPhiet</t>
  </si>
  <si>
    <t>STT_02914_BanCam</t>
  </si>
  <si>
    <t>STT_02917_ThaiNien</t>
  </si>
  <si>
    <t>STT_02920_PhongNien</t>
  </si>
  <si>
    <t>STT_02923_GiaPhu</t>
  </si>
  <si>
    <t>STT_02926_XuanQuang</t>
  </si>
  <si>
    <t>STT_02929_SonHai</t>
  </si>
  <si>
    <t>STT_02932_XuanGiao</t>
  </si>
  <si>
    <t>STT_02935_TriQuang</t>
  </si>
  <si>
    <t>STT_02938_SonHa</t>
  </si>
  <si>
    <t>STT_02944_PhuNhuan</t>
  </si>
  <si>
    <t>STT_24667_DakLao</t>
  </si>
  <si>
    <t>STT_24670_DakRLa</t>
  </si>
  <si>
    <t>STT_24673_DakGan</t>
  </si>
  <si>
    <t>STT_24676_DucManh</t>
  </si>
  <si>
    <t>STT_24677_DakNDrot</t>
  </si>
  <si>
    <t>STT_24678_LongSon</t>
  </si>
  <si>
    <t>STT_24679_DakSak</t>
  </si>
  <si>
    <t>STT_24682_ThuanAn</t>
  </si>
  <si>
    <t>STT_24685_DucMinh</t>
  </si>
  <si>
    <t>STT_30793_VinhDieu</t>
  </si>
  <si>
    <t>STT_30796_TanKhanhHoa</t>
  </si>
  <si>
    <t>STT_30797_PhuLoi</t>
  </si>
  <si>
    <t>STT_30799_PhuMy</t>
  </si>
  <si>
    <t>STT_18415_ThienLoc</t>
  </si>
  <si>
    <t>STT_18418_ThuanThien</t>
  </si>
  <si>
    <t>STT_18427_VuongLoc</t>
  </si>
  <si>
    <t>STT_18433_ThanhLoc</t>
  </si>
  <si>
    <t>STT_18436_KimSongTruong</t>
  </si>
  <si>
    <t>STT_18439_ThuongNga</t>
  </si>
  <si>
    <t>STT_18445_TungLoc</t>
  </si>
  <si>
    <t>STT_18454_PhuLoc</t>
  </si>
  <si>
    <t>STT_18463_GiaHanh</t>
  </si>
  <si>
    <t>STT_18466_KhanhVinhYen</t>
  </si>
  <si>
    <t>STT_18472_TrungLoc</t>
  </si>
  <si>
    <t>STT_18475_XuanLoc</t>
  </si>
  <si>
    <t>STT_18478_ThuongLoc</t>
  </si>
  <si>
    <t>STT_18481_QuangLoc</t>
  </si>
  <si>
    <t>STT_18484_DongLoc</t>
  </si>
  <si>
    <t>STT_18487_MyLoc</t>
  </si>
  <si>
    <t>STT_18490_SonLoc</t>
  </si>
  <si>
    <t>STT_18565_NgocSon</t>
  </si>
  <si>
    <t>STT_18571_ThachHai</t>
  </si>
  <si>
    <t>STT_18586_ThachKenh</t>
  </si>
  <si>
    <t>STT_18589_ThachSon</t>
  </si>
  <si>
    <t>STT_18592_ThachLien</t>
  </si>
  <si>
    <t>STT_18595_DinhBan</t>
  </si>
  <si>
    <t>STT_18601_VietTien</t>
  </si>
  <si>
    <t>STT_18604_ThachKhe</t>
  </si>
  <si>
    <t>STT_18607_ThachLong</t>
  </si>
  <si>
    <t>STT_18619_ThachTri</t>
  </si>
  <si>
    <t>STT_18622_ThachLac</t>
  </si>
  <si>
    <t>STT_18625_ThachNgoc</t>
  </si>
  <si>
    <t>STT_18628_TuongSon</t>
  </si>
  <si>
    <t>STT_18631_ThachVan</t>
  </si>
  <si>
    <t>STT_18634_LuuVinhSon</t>
  </si>
  <si>
    <t>STT_18637_ThachThang</t>
  </si>
  <si>
    <t>STT_18643_ThachDai</t>
  </si>
  <si>
    <t>STT_18649_ThachHoi</t>
  </si>
  <si>
    <t>STT_18652_TanLamHuong</t>
  </si>
  <si>
    <t>STT_18658_ThachXuan</t>
  </si>
  <si>
    <t>STT_18667_NamDien</t>
  </si>
  <si>
    <t>STT_24745_QuangTin</t>
  </si>
  <si>
    <t>STT_24750_DakWer</t>
  </si>
  <si>
    <t>STT_24751_NhanCo</t>
  </si>
  <si>
    <t>STT_24754_KienThanh</t>
  </si>
  <si>
    <t>STT_24756_NghiaThang</t>
  </si>
  <si>
    <t>STT_24757_DaoNghia</t>
  </si>
  <si>
    <t>STT_24760_DakSin</t>
  </si>
  <si>
    <t>STT_24761_HungBinh</t>
  </si>
  <si>
    <t>STT_24763_DakRu</t>
  </si>
  <si>
    <t>STT_24766_NhanDao</t>
  </si>
  <si>
    <t>STT_06388_HuuLien</t>
  </si>
  <si>
    <t>STT_06391_YenBinh</t>
  </si>
  <si>
    <t>STT_06394_QuyetThang</t>
  </si>
  <si>
    <t>STT_06397_HoaBinh</t>
  </si>
  <si>
    <t>STT_06400_YenThinh</t>
  </si>
  <si>
    <t>STT_06403_YenSon</t>
  </si>
  <si>
    <t>STT_06406_ThienTan</t>
  </si>
  <si>
    <t>STT_06412_YenVuong</t>
  </si>
  <si>
    <t>STT_06415_MinhTien</t>
  </si>
  <si>
    <t>STT_06418_NhatTien</t>
  </si>
  <si>
    <t>STT_06421_ThanhSon</t>
  </si>
  <si>
    <t>STT_06424_DongTan</t>
  </si>
  <si>
    <t>STT_06427_CaiKinh</t>
  </si>
  <si>
    <t>STT_06430_HoaLac</t>
  </si>
  <si>
    <t>STT_06433_VanNham</t>
  </si>
  <si>
    <t>STT_06436_DongTien</t>
  </si>
  <si>
    <t>STT_06442_TanThanh</t>
  </si>
  <si>
    <t>STT_06445_HoaSon</t>
  </si>
  <si>
    <t>STT_06448_MinhSon</t>
  </si>
  <si>
    <t>STT_06451_HoSon</t>
  </si>
  <si>
    <t>STT_06454_SonHa</t>
  </si>
  <si>
    <t>STT_06457_MinhHoa</t>
  </si>
  <si>
    <t>STT_06460_HoaThang</t>
  </si>
  <si>
    <t>STT_30377_LongHung</t>
  </si>
  <si>
    <t>STT_30378_LongChau</t>
  </si>
  <si>
    <t>STT_30379_PhuLoc</t>
  </si>
  <si>
    <t>STT_30382_VinhXuong</t>
  </si>
  <si>
    <t>STT_30385_VinhHoa</t>
  </si>
  <si>
    <t>STT_30387_TanThanh</t>
  </si>
  <si>
    <t>STT_30388_TanAn</t>
  </si>
  <si>
    <t>STT_30391_LongAn</t>
  </si>
  <si>
    <t>STT_30394_LongPhu</t>
  </si>
  <si>
    <t>STT_30397_ChauPhong</t>
  </si>
  <si>
    <t>STT_30400_PhuVinh</t>
  </si>
  <si>
    <t>STT_30403_LeChanh</t>
  </si>
  <si>
    <t>STT_30412_LongSon</t>
  </si>
  <si>
    <t>STT_00040_DongXuan</t>
  </si>
  <si>
    <t>STT_00043_HangMa</t>
  </si>
  <si>
    <t>STT_00046_HangBuom</t>
  </si>
  <si>
    <t>STT_00049_HangDao</t>
  </si>
  <si>
    <t>STT_00052_HangBo</t>
  </si>
  <si>
    <t>STT_00055_CuaDong</t>
  </si>
  <si>
    <t>STT_00058_LyThaiTo</t>
  </si>
  <si>
    <t>STT_00061_HangBac</t>
  </si>
  <si>
    <t>STT_00064_HangGai</t>
  </si>
  <si>
    <t>STT_00067_ChuongDuong</t>
  </si>
  <si>
    <t>STT_00070_HangTrong</t>
  </si>
  <si>
    <t>STT_00073_CuaNam</t>
  </si>
  <si>
    <t>STT_00076_HangBong</t>
  </si>
  <si>
    <t>STT_00079_TrangTien</t>
  </si>
  <si>
    <t>STT_00082_TranHungDao</t>
  </si>
  <si>
    <t>STT_00085_PhanChuTrinh</t>
  </si>
  <si>
    <t>STT_00088_HangBai</t>
  </si>
  <si>
    <t>STT_05200_MaiChau</t>
  </si>
  <si>
    <t>STT_05206_SonThuy</t>
  </si>
  <si>
    <t>STT_05209_PaCo</t>
  </si>
  <si>
    <t>STT_05212_HangKia</t>
  </si>
  <si>
    <t>STT_05221_DongTan</t>
  </si>
  <si>
    <t>STT_05224_CunPheo</t>
  </si>
  <si>
    <t>STT_05227_BaoLa</t>
  </si>
  <si>
    <t>STT_05233_TongDau</t>
  </si>
  <si>
    <t>STT_05242_NaPhon</t>
  </si>
  <si>
    <t>STT_05245_SamKhoe</t>
  </si>
  <si>
    <t>STT_05248_ChiengChau</t>
  </si>
  <si>
    <t>STT_05251_MaiHa</t>
  </si>
  <si>
    <t>STT_05254_ThanhSon</t>
  </si>
  <si>
    <t>STT_05257_MaiHich</t>
  </si>
  <si>
    <t>STT_05263_VanMai</t>
  </si>
  <si>
    <t>STT_16816_MyLy</t>
  </si>
  <si>
    <t>STT_16819_BacLy</t>
  </si>
  <si>
    <t>STT_16822_KengDu</t>
  </si>
  <si>
    <t>STT_16825_DoocMay</t>
  </si>
  <si>
    <t>STT_16828_HuoiTu</t>
  </si>
  <si>
    <t>STT_16831_MuongLong</t>
  </si>
  <si>
    <t>STT_16834_NaLoi</t>
  </si>
  <si>
    <t>STT_16837_NamCan</t>
  </si>
  <si>
    <t>STT_16840_BaoNam</t>
  </si>
  <si>
    <t>STT_16843_PhaDanh</t>
  </si>
  <si>
    <t>STT_16846_BaoThang</t>
  </si>
  <si>
    <t>STT_16849_HuuLap</t>
  </si>
  <si>
    <t>STT_16852_TaCa</t>
  </si>
  <si>
    <t>STT_16855_ChieuLuu</t>
  </si>
  <si>
    <t>STT_16858_MuongTip</t>
  </si>
  <si>
    <t>STT_16861_HuuKiem</t>
  </si>
  <si>
    <t>STT_16864_TaySon</t>
  </si>
  <si>
    <t>STT_16867_Muongi</t>
  </si>
  <si>
    <t>STT_16870_NaNgoi</t>
  </si>
  <si>
    <t>STT_16873_NamCan</t>
  </si>
  <si>
    <t>STT_18952_HuongHoa</t>
  </si>
  <si>
    <t>STT_18955_KimHoa</t>
  </si>
  <si>
    <t>STT_18958_ThanhHoa</t>
  </si>
  <si>
    <t>STT_18961_ThanhThach</t>
  </si>
  <si>
    <t>STT_18964_ThuanHoa</t>
  </si>
  <si>
    <t>STT_18967_LamHoa</t>
  </si>
  <si>
    <t>STT_18970_LeHoa</t>
  </si>
  <si>
    <t>STT_18973_SonHoa</t>
  </si>
  <si>
    <t>STT_18976_DongHoa</t>
  </si>
  <si>
    <t>STT_18979_NguHoa</t>
  </si>
  <si>
    <t>STT_18985_ThachHoa</t>
  </si>
  <si>
    <t>STT_18988_DucHoa</t>
  </si>
  <si>
    <t>STT_18991_PhongHoa</t>
  </si>
  <si>
    <t>STT_18994_MaiHoa</t>
  </si>
  <si>
    <t>STT_18997_TienHoa</t>
  </si>
  <si>
    <t>STT_19000_ChauHoa</t>
  </si>
  <si>
    <t>STT_19003_CaoQuang</t>
  </si>
  <si>
    <t>STT_19006_VanHoa</t>
  </si>
  <si>
    <t>STT_14218_Con</t>
  </si>
  <si>
    <t>STT_14221_ThinhLong</t>
  </si>
  <si>
    <t>STT_14224_HaiNam</t>
  </si>
  <si>
    <t>STT_14227_HaiTrung</t>
  </si>
  <si>
    <t>STT_14233_HaiMinh</t>
  </si>
  <si>
    <t>STT_14236_HaiAnh</t>
  </si>
  <si>
    <t>STT_14248_HaiHung</t>
  </si>
  <si>
    <t>STT_14254_HaiLong</t>
  </si>
  <si>
    <t>STT_14260_HaiDuong</t>
  </si>
  <si>
    <t>STT_14263_HaiLoc</t>
  </si>
  <si>
    <t>STT_14266_HaiQuang</t>
  </si>
  <si>
    <t>STT_14269_HaiDong</t>
  </si>
  <si>
    <t>STT_14272_HaiSon</t>
  </si>
  <si>
    <t>STT_14275_HaiTan</t>
  </si>
  <si>
    <t>STT_14281_HaiPhong</t>
  </si>
  <si>
    <t>STT_14284_HaiAn</t>
  </si>
  <si>
    <t>STT_14287_HaiTay</t>
  </si>
  <si>
    <t>STT_14293_HaiPhu</t>
  </si>
  <si>
    <t>STT_14296_HaiGiang</t>
  </si>
  <si>
    <t>STT_14302_HaiNinh</t>
  </si>
  <si>
    <t>STT_14308_HaiXuan</t>
  </si>
  <si>
    <t>STT_14311_HaiChau</t>
  </si>
  <si>
    <t>STT_14317_HaiHoa</t>
  </si>
  <si>
    <t>STT_10678_BachDang</t>
  </si>
  <si>
    <t>STT_10681_ThatHung</t>
  </si>
  <si>
    <t>STT_10684_LeNinh</t>
  </si>
  <si>
    <t>STT_10687_HoanhSon</t>
  </si>
  <si>
    <t>STT_10693_PhamThai</t>
  </si>
  <si>
    <t>STT_10696_DuyTan</t>
  </si>
  <si>
    <t>STT_10699_TanDan</t>
  </si>
  <si>
    <t>STT_10702_MinhTan</t>
  </si>
  <si>
    <t>STT_10705_QuangThanh</t>
  </si>
  <si>
    <t>STT_10708_HiepHoa</t>
  </si>
  <si>
    <t>STT_10714_PhuThu</t>
  </si>
  <si>
    <t>STT_10717_ThangLong</t>
  </si>
  <si>
    <t>STT_10720_LacLong</t>
  </si>
  <si>
    <t>STT_10723_AnSinh</t>
  </si>
  <si>
    <t>STT_10726_HiepSon</t>
  </si>
  <si>
    <t>STT_10729_ThuongQuan</t>
  </si>
  <si>
    <t>STT_10732_AnPhu</t>
  </si>
  <si>
    <t>STT_10735_HiepAn</t>
  </si>
  <si>
    <t>STT_10738_LongXuyen</t>
  </si>
  <si>
    <t>STT_10741_ThaiThinh</t>
  </si>
  <si>
    <t>STT_10744_HienThanh</t>
  </si>
  <si>
    <t>STT_10747_MinhHoa</t>
  </si>
  <si>
    <t>STT_23062_PhuLong</t>
  </si>
  <si>
    <t>STT_23065_LaDa</t>
  </si>
  <si>
    <t>STT_23068_DongTien</t>
  </si>
  <si>
    <t>STT_23071_ThuanHoa</t>
  </si>
  <si>
    <t>STT_23074_DongGiang</t>
  </si>
  <si>
    <t>STT_23077_HamPhu</t>
  </si>
  <si>
    <t>STT_23080_HongLiem</t>
  </si>
  <si>
    <t>STT_23083_ThuanMinh</t>
  </si>
  <si>
    <t>STT_23086_HongSon</t>
  </si>
  <si>
    <t>STT_23089_HamTri</t>
  </si>
  <si>
    <t>STT_23092_HamDuc</t>
  </si>
  <si>
    <t>STT_23095_HamLiem</t>
  </si>
  <si>
    <t>STT_23098_HamChinh</t>
  </si>
  <si>
    <t>STT_23101_HamHiep</t>
  </si>
  <si>
    <t>STT_23104_HamThang</t>
  </si>
  <si>
    <t>STT_23107_DaMi</t>
  </si>
  <si>
    <t>STT_07450_DongHung</t>
  </si>
  <si>
    <t>STT_07453_DongPhu</t>
  </si>
  <si>
    <t>STT_07456_TamDi</t>
  </si>
  <si>
    <t>STT_07459_BaoSon</t>
  </si>
  <si>
    <t>STT_07462_BaoDai</t>
  </si>
  <si>
    <t>STT_07465_ThanhLam</t>
  </si>
  <si>
    <t>STT_07468_TienNha</t>
  </si>
  <si>
    <t>STT_07471_TruongGiang</t>
  </si>
  <si>
    <t>STT_07477_PhuongSon</t>
  </si>
  <si>
    <t>STT_07480_ChuDien</t>
  </si>
  <si>
    <t>STT_07483_CuongSon</t>
  </si>
  <si>
    <t>STT_07486_NghiaPhuong</t>
  </si>
  <si>
    <t>STT_07489_VoTranh</t>
  </si>
  <si>
    <t>STT_07492_BinhSon</t>
  </si>
  <si>
    <t>STT_07495_LanMau</t>
  </si>
  <si>
    <t>STT_07498_YenSon</t>
  </si>
  <si>
    <t>STT_07501_KhamLang</t>
  </si>
  <si>
    <t>STT_07504_HuyenSon</t>
  </si>
  <si>
    <t>STT_07507_TruongSon</t>
  </si>
  <si>
    <t>STT_07510_LucSon</t>
  </si>
  <si>
    <t>STT_07513_BacLung</t>
  </si>
  <si>
    <t>STT_07516_VuXa</t>
  </si>
  <si>
    <t>STT_07519_CamLy</t>
  </si>
  <si>
    <t>STT_07522_DanHoi</t>
  </si>
  <si>
    <t>STT_20164_HuongPhu</t>
  </si>
  <si>
    <t>STT_20167_HuongSon</t>
  </si>
  <si>
    <t>STT_20170_HuongLoc</t>
  </si>
  <si>
    <t>STT_20173_ThuongQuang</t>
  </si>
  <si>
    <t>STT_20179_HuongXuan</t>
  </si>
  <si>
    <t>STT_20182_HuongHuu</t>
  </si>
  <si>
    <t>STT_20185_ThuongLo</t>
  </si>
  <si>
    <t>STT_20188_ThuongLong</t>
  </si>
  <si>
    <t>STT_20191_ThuongNhat</t>
  </si>
  <si>
    <t>STT_22654_DienLam</t>
  </si>
  <si>
    <t>STT_22657_DienDien</t>
  </si>
  <si>
    <t>STT_22660_DienXuan</t>
  </si>
  <si>
    <t>STT_22663_DienSon</t>
  </si>
  <si>
    <t>STT_22666_DienDong</t>
  </si>
  <si>
    <t>STT_22669_DienPhu</t>
  </si>
  <si>
    <t>STT_22672_DienTho</t>
  </si>
  <si>
    <t>STT_22675_DienPhuoc</t>
  </si>
  <si>
    <t>STT_22678_DienLac</t>
  </si>
  <si>
    <t>STT_22681_DienTan</t>
  </si>
  <si>
    <t>STT_22684_DienHoa</t>
  </si>
  <si>
    <t>STT_22687_DienThanh</t>
  </si>
  <si>
    <t>STT_22690_DienToan</t>
  </si>
  <si>
    <t>STT_22693_DienAn</t>
  </si>
  <si>
    <t>STT_22696_BinhLoc</t>
  </si>
  <si>
    <t>STT_22702_SuoiHiep</t>
  </si>
  <si>
    <t>STT_22705_SuoiTien</t>
  </si>
  <si>
    <t>STT_19870_QuangThai</t>
  </si>
  <si>
    <t>STT_19873_QuangNgan</t>
  </si>
  <si>
    <t>STT_19876_QuangLoi</t>
  </si>
  <si>
    <t>STT_19879_QuangCong</t>
  </si>
  <si>
    <t>STT_19882_QuangPhuoc</t>
  </si>
  <si>
    <t>STT_19885_QuangVinh</t>
  </si>
  <si>
    <t>STT_19888_QuangAn</t>
  </si>
  <si>
    <t>STT_19891_QuangThanh</t>
  </si>
  <si>
    <t>STT_19894_QuangTho</t>
  </si>
  <si>
    <t>STT_19897_QuangPhu</t>
  </si>
  <si>
    <t>STT_27013_TayThanh</t>
  </si>
  <si>
    <t>STT_27016_SonKy</t>
  </si>
  <si>
    <t>STT_27019_TanQuy</t>
  </si>
  <si>
    <t>STT_27022_TanThanh</t>
  </si>
  <si>
    <t>STT_27025_PhuThoHoa</t>
  </si>
  <si>
    <t>STT_27028_PhuThanh</t>
  </si>
  <si>
    <t>STT_27031_PhuTrung</t>
  </si>
  <si>
    <t>STT_27034_HoaThanh</t>
  </si>
  <si>
    <t>STT_27037_HiepTan</t>
  </si>
  <si>
    <t>STT_27040_TanThoiHoa</t>
  </si>
  <si>
    <t>STT_01837_SongCau</t>
  </si>
  <si>
    <t>STT_01840_DucXuan</t>
  </si>
  <si>
    <t>STT_01843_PhungChiKien</t>
  </si>
  <si>
    <t>STT_01846_HuyenTung</t>
  </si>
  <si>
    <t>STT_01849_DuongQuang</t>
  </si>
  <si>
    <t>STT_01852_NongThuong</t>
  </si>
  <si>
    <t>STT_01855_XuatHoa</t>
  </si>
  <si>
    <t>STT_02641_LaoCai</t>
  </si>
  <si>
    <t>STT_02644_CocLeu</t>
  </si>
  <si>
    <t>STT_02647_KimTan</t>
  </si>
  <si>
    <t>STT_02650_BacLenh</t>
  </si>
  <si>
    <t>STT_02653_PomHan</t>
  </si>
  <si>
    <t>STT_02656_XuanTang</t>
  </si>
  <si>
    <t>STT_02658_BinhMinh</t>
  </si>
  <si>
    <t>STT_02659_ThongNhat</t>
  </si>
  <si>
    <t>STT_02662_DongTuyen</t>
  </si>
  <si>
    <t>STT_02665_VanHoa</t>
  </si>
  <si>
    <t>STT_02668_BacCuong</t>
  </si>
  <si>
    <t>STT_02671_NamCuong</t>
  </si>
  <si>
    <t>STT_02674_CamDuong</t>
  </si>
  <si>
    <t>STT_02677_TaPhoi</t>
  </si>
  <si>
    <t>STT_02680_HopThanh</t>
  </si>
  <si>
    <t>STT_02746_CocSan</t>
  </si>
  <si>
    <t>STT_03151_NaLay</t>
  </si>
  <si>
    <t>STT_03184_LayNua</t>
  </si>
  <si>
    <t>STT_09403_HoaiThuong</t>
  </si>
  <si>
    <t>STT_09406_DaiDongThanh</t>
  </si>
  <si>
    <t>STT_09409_MaoDien</t>
  </si>
  <si>
    <t>STT_09412_SongHo</t>
  </si>
  <si>
    <t>STT_09415_DinhTo</t>
  </si>
  <si>
    <t>STT_09418_AnBinh</t>
  </si>
  <si>
    <t>STT_09421_TriQua</t>
  </si>
  <si>
    <t>STT_09424_GiaDong</t>
  </si>
  <si>
    <t>STT_09427_ThanhKhuong</t>
  </si>
  <si>
    <t>STT_09430_TramLo</t>
  </si>
  <si>
    <t>STT_09433_XuanLam</t>
  </si>
  <si>
    <t>STT_09436_HaMan</t>
  </si>
  <si>
    <t>STT_09439_NguThai</t>
  </si>
  <si>
    <t>STT_09442_NguyetDuc</t>
  </si>
  <si>
    <t>STT_09445_NinhXa</t>
  </si>
  <si>
    <t>STT_09448_NghiaDao</t>
  </si>
  <si>
    <t>STT_09451_SongLieu</t>
  </si>
  <si>
    <t>STT_26662_LongHai</t>
  </si>
  <si>
    <t>STT_26665_AnNgai</t>
  </si>
  <si>
    <t>STT_26668_TamPhuoc</t>
  </si>
  <si>
    <t>STT_26671_AnNhut</t>
  </si>
  <si>
    <t>STT_26674_PhuocTinh</t>
  </si>
  <si>
    <t>STT_26677_PhuocHung</t>
  </si>
  <si>
    <t>STT_28436_2</t>
  </si>
  <si>
    <t>STT_28437_3</t>
  </si>
  <si>
    <t>STT_28439_4</t>
  </si>
  <si>
    <t>STT_28440_5</t>
  </si>
  <si>
    <t>STT_28447_MyPhuocTay</t>
  </si>
  <si>
    <t>STT_28450_MyHanhDong</t>
  </si>
  <si>
    <t>STT_28453_MyHanhTrung</t>
  </si>
  <si>
    <t>STT_28459_TanPhu</t>
  </si>
  <si>
    <t>STT_28462_TanBinh</t>
  </si>
  <si>
    <t>STT_28468_TanHoi</t>
  </si>
  <si>
    <t>STT_28474_NhiMy</t>
  </si>
  <si>
    <t>STT_28477_NhiQuy</t>
  </si>
  <si>
    <t>STT_28480_ThanhHoa</t>
  </si>
  <si>
    <t>STT_28483_PhuQuy</t>
  </si>
  <si>
    <t>STT_28486_LongKhanh</t>
  </si>
  <si>
    <t>STT_27724_HungHa</t>
  </si>
  <si>
    <t>STT_27727_HungDienB</t>
  </si>
  <si>
    <t>STT_27730_HungDien</t>
  </si>
  <si>
    <t>STT_27733_ThanhHung</t>
  </si>
  <si>
    <t>STT_27736_HungThanh</t>
  </si>
  <si>
    <t>STT_27739_VinhThanh</t>
  </si>
  <si>
    <t>STT_27742_VinhChauB</t>
  </si>
  <si>
    <t>STT_27745_VinhLoi</t>
  </si>
  <si>
    <t>STT_27748_VinhDai</t>
  </si>
  <si>
    <t>STT_27751_VinhChauA</t>
  </si>
  <si>
    <t>STT_27754_VinhBuu</t>
  </si>
  <si>
    <t>STT_04108_ChiengSung</t>
  </si>
  <si>
    <t>STT_04111_MuongBang</t>
  </si>
  <si>
    <t>STT_04114_ChiengChan</t>
  </si>
  <si>
    <t>STT_04117_MuongChanh</t>
  </si>
  <si>
    <t>STT_04120_ChiengBan</t>
  </si>
  <si>
    <t>STT_04123_ChiengMung</t>
  </si>
  <si>
    <t>STT_04126_MuongBon</t>
  </si>
  <si>
    <t>STT_04129_ChiengChung</t>
  </si>
  <si>
    <t>STT_04132_ChiengMai</t>
  </si>
  <si>
    <t>STT_04135_HatLot</t>
  </si>
  <si>
    <t>STT_04136_NaPo</t>
  </si>
  <si>
    <t>STT_04138_CoNoi</t>
  </si>
  <si>
    <t>STT_04141_ChiengNoi</t>
  </si>
  <si>
    <t>STT_04144_PhiengCam</t>
  </si>
  <si>
    <t>STT_04147_ChiengDong</t>
  </si>
  <si>
    <t>STT_04150_ChiengKheo</t>
  </si>
  <si>
    <t>STT_04153_ChiengVe</t>
  </si>
  <si>
    <t>STT_04156_ChiengLuong</t>
  </si>
  <si>
    <t>STT_04159_PhiengPan</t>
  </si>
  <si>
    <t>STT_04162_NaOt</t>
  </si>
  <si>
    <t>STT_04165_TaHoc</t>
  </si>
  <si>
    <t>STT_24961_HiepAn</t>
  </si>
  <si>
    <t>STT_24964_LienHiep</t>
  </si>
  <si>
    <t>STT_24967_HiepThanh</t>
  </si>
  <si>
    <t>STT_24970_BinhThanh</t>
  </si>
  <si>
    <t>STT_24973_NTholHa</t>
  </si>
  <si>
    <t>STT_24976_TanHoi</t>
  </si>
  <si>
    <t>STT_24979_TanThanh</t>
  </si>
  <si>
    <t>STT_24982_PhuHoi</t>
  </si>
  <si>
    <t>STT_24985_NinhGia</t>
  </si>
  <si>
    <t>STT_24988_TaNang</t>
  </si>
  <si>
    <t>STT_24989_DaQuyn</t>
  </si>
  <si>
    <t>STT_24991_TaHine</t>
  </si>
  <si>
    <t>STT_24994_DaLoan</t>
  </si>
  <si>
    <t>STT_24997_NinhLoan</t>
  </si>
  <si>
    <t>STT_31915_MinhDieu</t>
  </si>
  <si>
    <t>STT_31918_VinhBinh</t>
  </si>
  <si>
    <t>STT_31924_VinhMyB</t>
  </si>
  <si>
    <t>STT_31927_VinhHau</t>
  </si>
  <si>
    <t>STT_31930_VinhHauA</t>
  </si>
  <si>
    <t>STT_31933_VinhMyA</t>
  </si>
  <si>
    <t>STT_31936_VinhThinh</t>
  </si>
  <si>
    <t>STT_24346_DLieYa</t>
  </si>
  <si>
    <t>STT_24349_EaToh</t>
  </si>
  <si>
    <t>STT_24352_EaTam</t>
  </si>
  <si>
    <t>STT_24355_PhuLoc</t>
  </si>
  <si>
    <t>STT_24358_TamGiang</t>
  </si>
  <si>
    <t>STT_24359_EaPuk</t>
  </si>
  <si>
    <t>STT_24360_EaDah</t>
  </si>
  <si>
    <t>STT_24361_EaHo</t>
  </si>
  <si>
    <t>STT_24364_PhuXuan</t>
  </si>
  <si>
    <t>STT_24367_CuKlong</t>
  </si>
  <si>
    <t>STT_24370_EaTan</t>
  </si>
  <si>
    <t>STT_25398_Duong10</t>
  </si>
  <si>
    <t>STT_25399_DakNhau</t>
  </si>
  <si>
    <t>STT_25400_PhuSon</t>
  </si>
  <si>
    <t>STT_25402_ThoSon</t>
  </si>
  <si>
    <t>STT_25404_BinhMinh</t>
  </si>
  <si>
    <t>STT_25405_BomBo</t>
  </si>
  <si>
    <t>STT_25408_MinhHung</t>
  </si>
  <si>
    <t>STT_25411_DoanKet</t>
  </si>
  <si>
    <t>STT_25414_DongNai</t>
  </si>
  <si>
    <t>STT_25417_DucLieu</t>
  </si>
  <si>
    <t>STT_25420_ThongNhat</t>
  </si>
  <si>
    <t>STT_25423_NghiaTrung</t>
  </si>
  <si>
    <t>STT_25424_NghiaBinh</t>
  </si>
  <si>
    <t>STT_25426_DangHa</t>
  </si>
  <si>
    <t>STT_25429_PhuocSon</t>
  </si>
  <si>
    <t>STT_28522_TanHoiDong</t>
  </si>
  <si>
    <t>STT_28525_TanHuong</t>
  </si>
  <si>
    <t>STT_28528_TanLyDong</t>
  </si>
  <si>
    <t>STT_28531_TanLyTay</t>
  </si>
  <si>
    <t>STT_28534_ThanCuuNghia</t>
  </si>
  <si>
    <t>STT_28537_TamHiep</t>
  </si>
  <si>
    <t>STT_28540_DiemHy</t>
  </si>
  <si>
    <t>STT_28543_NhiBinh</t>
  </si>
  <si>
    <t>STT_28546_DuongDiem</t>
  </si>
  <si>
    <t>STT_28549_DongHoa</t>
  </si>
  <si>
    <t>STT_28552_LongDinh</t>
  </si>
  <si>
    <t>STT_28555_HuuDao</t>
  </si>
  <si>
    <t>STT_28558_LongAn</t>
  </si>
  <si>
    <t>STT_28561_LongHung</t>
  </si>
  <si>
    <t>STT_28564_BinhTrung</t>
  </si>
  <si>
    <t>STT_28570_ThanhPhu</t>
  </si>
  <si>
    <t>STT_28573_BanLong</t>
  </si>
  <si>
    <t>STT_28576_VinhKim</t>
  </si>
  <si>
    <t>STT_28579_BinhDuc</t>
  </si>
  <si>
    <t>STT_28582_SongThuan</t>
  </si>
  <si>
    <t>STT_28585_KimSon</t>
  </si>
  <si>
    <t>STT_28588_PhuPhong</t>
  </si>
  <si>
    <t>STT_14386_XichTho</t>
  </si>
  <si>
    <t>STT_14389_GiaLam</t>
  </si>
  <si>
    <t>STT_14392_GiaSon</t>
  </si>
  <si>
    <t>STT_14395_ThachBinh</t>
  </si>
  <si>
    <t>STT_14398_GiaThuy</t>
  </si>
  <si>
    <t>STT_14401_GiaTuong</t>
  </si>
  <si>
    <t>STT_14404_CucPhuong</t>
  </si>
  <si>
    <t>STT_14407_PhuSon</t>
  </si>
  <si>
    <t>STT_14410_DucLong</t>
  </si>
  <si>
    <t>STT_14413_LacVan</t>
  </si>
  <si>
    <t>STT_14416_DongPhong</t>
  </si>
  <si>
    <t>STT_14419_YenQuang</t>
  </si>
  <si>
    <t>STT_14422_LangPhong</t>
  </si>
  <si>
    <t>STT_14425_ThuongHoa</t>
  </si>
  <si>
    <t>STT_14428_VanPhong</t>
  </si>
  <si>
    <t>STT_14431_VanPhuong</t>
  </si>
  <si>
    <t>STT_14434_ThanhLac</t>
  </si>
  <si>
    <t>STT_14437_SonLai</t>
  </si>
  <si>
    <t>STT_14440_SonThanh</t>
  </si>
  <si>
    <t>STT_14443_VanPhu</t>
  </si>
  <si>
    <t>STT_14446_PhuLoc</t>
  </si>
  <si>
    <t>STT_14449_KyPhu</t>
  </si>
  <si>
    <t>STT_14452_QuynhLuu</t>
  </si>
  <si>
    <t>STT_14455_SonHa</t>
  </si>
  <si>
    <t>STT_14458_PhuLong</t>
  </si>
  <si>
    <t>STT_14461_QuangLac</t>
  </si>
  <si>
    <t>STT_28162_PhuocLy</t>
  </si>
  <si>
    <t>STT_28165_LongThuong</t>
  </si>
  <si>
    <t>STT_28168_LongHau</t>
  </si>
  <si>
    <t>STT_28174_PhuocHau</t>
  </si>
  <si>
    <t>STT_28177_MyLoc</t>
  </si>
  <si>
    <t>STT_28180_PhuocLai</t>
  </si>
  <si>
    <t>STT_28183_PhuocLam</t>
  </si>
  <si>
    <t>STT_28189_ThuanThanh</t>
  </si>
  <si>
    <t>STT_28192_PhuocVinhTay</t>
  </si>
  <si>
    <t>STT_28195_PhuocVinhDong</t>
  </si>
  <si>
    <t>STT_28198_LongAn</t>
  </si>
  <si>
    <t>STT_28201_LongPhung</t>
  </si>
  <si>
    <t>STT_28204_DongThanh</t>
  </si>
  <si>
    <t>STT_28207_TanTap</t>
  </si>
  <si>
    <t>STT_29185_PhuKhanh</t>
  </si>
  <si>
    <t>STT_29188_DaiDien</t>
  </si>
  <si>
    <t>STT_29191_QuoiDien</t>
  </si>
  <si>
    <t>STT_29194_TanPhong</t>
  </si>
  <si>
    <t>STT_29197_MyHung</t>
  </si>
  <si>
    <t>STT_29200_AnThanh</t>
  </si>
  <si>
    <t>STT_29203_ThoiThanh</t>
  </si>
  <si>
    <t>STT_29206_HoaLoi</t>
  </si>
  <si>
    <t>STT_29209_AnDien</t>
  </si>
  <si>
    <t>STT_29212_BinhThanh</t>
  </si>
  <si>
    <t>STT_29215_AnThuan</t>
  </si>
  <si>
    <t>STT_29218_AnQuy</t>
  </si>
  <si>
    <t>STT_29221_ThanhHai</t>
  </si>
  <si>
    <t>STT_29224_AnNhon</t>
  </si>
  <si>
    <t>STT_29227_GiaoThanh</t>
  </si>
  <si>
    <t>STT_29230_ThanhPhong</t>
  </si>
  <si>
    <t>STT_29233_MyAn</t>
  </si>
  <si>
    <t>STT_01576_QuangUyen</t>
  </si>
  <si>
    <t>STT_01579_PhiHai</t>
  </si>
  <si>
    <t>STT_01582_QuangHung</t>
  </si>
  <si>
    <t>STT_01594_DocLap</t>
  </si>
  <si>
    <t>STT_01597_CaiBo</t>
  </si>
  <si>
    <t>STT_01603_PhucSen</t>
  </si>
  <si>
    <t>STT_01606_ChiThao</t>
  </si>
  <si>
    <t>STT_01609_TuDo</t>
  </si>
  <si>
    <t>STT_01615_HongQuang</t>
  </si>
  <si>
    <t>STT_01618_NgocDong</t>
  </si>
  <si>
    <t>STT_01624_HanhPhuc</t>
  </si>
  <si>
    <t>STT_01627_TaLung</t>
  </si>
  <si>
    <t>STT_01630_BeVanDan</t>
  </si>
  <si>
    <t>STT_01636_CachLinh</t>
  </si>
  <si>
    <t>STT_01639_DaiSon</t>
  </si>
  <si>
    <t>STT_01645_TienThanh</t>
  </si>
  <si>
    <t>STT_01648_HoaThuan</t>
  </si>
  <si>
    <t>STT_01651_MyHung</t>
  </si>
  <si>
    <t>STT_01657_DanChu</t>
  </si>
  <si>
    <t>STT_01660_NamTuan</t>
  </si>
  <si>
    <t>STT_01666_DaiTien</t>
  </si>
  <si>
    <t>STT_01669_DucLong</t>
  </si>
  <si>
    <t>STT_01672_NguLao</t>
  </si>
  <si>
    <t>STT_01675_TruongLuong</t>
  </si>
  <si>
    <t>STT_01687_HongViet</t>
  </si>
  <si>
    <t>STT_01696_HoangTung</t>
  </si>
  <si>
    <t>STT_01699_NguyenHue</t>
  </si>
  <si>
    <t>STT_01702_QuangTrung</t>
  </si>
  <si>
    <t>STT_01708_BachDang</t>
  </si>
  <si>
    <t>STT_01711_BinhDuong</t>
  </si>
  <si>
    <t>STT_01714_LeChung</t>
  </si>
  <si>
    <t>STT_01723_HongNam</t>
  </si>
  <si>
    <t>STT_29311_HoaAn</t>
  </si>
  <si>
    <t>STT_29314_ChauDien</t>
  </si>
  <si>
    <t>STT_29317_AnPhuTan</t>
  </si>
  <si>
    <t>STT_29320_HoaTan</t>
  </si>
  <si>
    <t>STT_29323_NinhThoi</t>
  </si>
  <si>
    <t>STT_29326_PhongPhu</t>
  </si>
  <si>
    <t>STT_29329_PhongThanh</t>
  </si>
  <si>
    <t>STT_29332_TamNgai</t>
  </si>
  <si>
    <t>STT_29335_ThongHoa</t>
  </si>
  <si>
    <t>STT_29338_ThanhPhu</t>
  </si>
  <si>
    <t>STT_31897_VinhHungA</t>
  </si>
  <si>
    <t>STT_31900_ChauHung</t>
  </si>
  <si>
    <t>STT_31903_ChauHungA</t>
  </si>
  <si>
    <t>STT_31906_HungThanh</t>
  </si>
  <si>
    <t>STT_31909_HungHoi</t>
  </si>
  <si>
    <t>STT_31912_ChauThoi</t>
  </si>
  <si>
    <t>STT_31921_LongThanh</t>
  </si>
  <si>
    <t>STT_18412_HongLoc</t>
  </si>
  <si>
    <t>STT_18421_ThinhLoc</t>
  </si>
  <si>
    <t>STT_18430_BinhAn</t>
  </si>
  <si>
    <t>STT_18457_IchHau</t>
  </si>
  <si>
    <t>STT_18493_PhuLuu</t>
  </si>
  <si>
    <t>STT_18568_LocHa</t>
  </si>
  <si>
    <t>STT_18577_ThachMy</t>
  </si>
  <si>
    <t>STT_18580_ThachKim</t>
  </si>
  <si>
    <t>STT_18583_ThachChau</t>
  </si>
  <si>
    <t>STT_18598_HoDo</t>
  </si>
  <si>
    <t>STT_18670_MaiPhu</t>
  </si>
  <si>
    <t>STT_18781_KyNinh</t>
  </si>
  <si>
    <t>STT_18796_KyLoi</t>
  </si>
  <si>
    <t>STT_18808_KyHa</t>
  </si>
  <si>
    <t>STT_18820_KyTrinh</t>
  </si>
  <si>
    <t>STT_18823_KyThinh</t>
  </si>
  <si>
    <t>STT_18829_KyHoa</t>
  </si>
  <si>
    <t>STT_18832_KyPhuong</t>
  </si>
  <si>
    <t>STT_18835_KyLong</t>
  </si>
  <si>
    <t>STT_18841_KyLien</t>
  </si>
  <si>
    <t>STT_18847_KyNam</t>
  </si>
  <si>
    <t>STT_23944_IaTiem</t>
  </si>
  <si>
    <t>STT_23945_ChuPong</t>
  </si>
  <si>
    <t>STT_23946_BarMaih</t>
  </si>
  <si>
    <t>STT_23947_BoNgoong</t>
  </si>
  <si>
    <t>STT_23950_IaGlai</t>
  </si>
  <si>
    <t>STT_23953_ALBa</t>
  </si>
  <si>
    <t>STT_23954_KongHTok</t>
  </si>
  <si>
    <t>STT_23956_AYun</t>
  </si>
  <si>
    <t>STT_23959_IaHLop</t>
  </si>
  <si>
    <t>STT_23962_IaBlang</t>
  </si>
  <si>
    <t>STT_23965_Dun</t>
  </si>
  <si>
    <t>STT_23966_IaPal</t>
  </si>
  <si>
    <t>STT_23968_HBong</t>
  </si>
  <si>
    <t>STT_23977_IaKo</t>
  </si>
  <si>
    <t>STT_07945_PhongChau</t>
  </si>
  <si>
    <t>STT_07948_AuCo</t>
  </si>
  <si>
    <t>STT_07951_HaLoc</t>
  </si>
  <si>
    <t>STT_07954_PhuHo</t>
  </si>
  <si>
    <t>STT_07957_VanLung</t>
  </si>
  <si>
    <t>STT_07960_ThanhMinh</t>
  </si>
  <si>
    <t>STT_07963_HaThach</t>
  </si>
  <si>
    <t>STT_07966_ThanhVinh</t>
  </si>
  <si>
    <t>STT_29254_7</t>
  </si>
  <si>
    <t>STT_29257_8</t>
  </si>
  <si>
    <t>STT_29260_9</t>
  </si>
  <si>
    <t>STT_29236_4</t>
  </si>
  <si>
    <t>STT_29239_1</t>
  </si>
  <si>
    <t>STT_29242_3</t>
  </si>
  <si>
    <t>STT_29245_2</t>
  </si>
  <si>
    <t>STT_29248_5</t>
  </si>
  <si>
    <t>STT_29263_LongDuc</t>
  </si>
  <si>
    <t>STT_25162_TienHoang</t>
  </si>
  <si>
    <t>STT_25165_PhuocCat2</t>
  </si>
  <si>
    <t>STT_25168_GiaVien</t>
  </si>
  <si>
    <t>STT_25171_NamNinh</t>
  </si>
  <si>
    <t>STT_25180_PhuocCat</t>
  </si>
  <si>
    <t>STT_25183_DucPho</t>
  </si>
  <si>
    <t>STT_25189_QuangNgai</t>
  </si>
  <si>
    <t>STT_25192_DongNaiThuong</t>
  </si>
  <si>
    <t>STT_07135_DongMai</t>
  </si>
  <si>
    <t>STT_07138_MinhThanh</t>
  </si>
  <si>
    <t>STT_07144_SongKhoai</t>
  </si>
  <si>
    <t>STT_07147_HiepHoa</t>
  </si>
  <si>
    <t>STT_07150_CongHoa</t>
  </si>
  <si>
    <t>STT_07153_TienAn</t>
  </si>
  <si>
    <t>STT_07156_HoangTan</t>
  </si>
  <si>
    <t>STT_07159_TanAn</t>
  </si>
  <si>
    <t>STT_07162_YenGiang</t>
  </si>
  <si>
    <t>STT_07165_NamHoa</t>
  </si>
  <si>
    <t>STT_07168_HaAn</t>
  </si>
  <si>
    <t>STT_07171_CamLa</t>
  </si>
  <si>
    <t>STT_07174_PhongHai</t>
  </si>
  <si>
    <t>STT_07177_YenHai</t>
  </si>
  <si>
    <t>STT_07180_LienHoa</t>
  </si>
  <si>
    <t>STT_07183_PhongCoc</t>
  </si>
  <si>
    <t>STT_07186_LienVi</t>
  </si>
  <si>
    <t>STT_07189_TienPhong</t>
  </si>
  <si>
    <t>STT_26508_ThangTam</t>
  </si>
  <si>
    <t>STT_26509_2</t>
  </si>
  <si>
    <t>STT_26512_3</t>
  </si>
  <si>
    <t>STT_26515_4</t>
  </si>
  <si>
    <t>STT_26518_5</t>
  </si>
  <si>
    <t>STT_26521_ThangNhi</t>
  </si>
  <si>
    <t>STT_26524_7</t>
  </si>
  <si>
    <t>STT_26526_NguyenAnNinh</t>
  </si>
  <si>
    <t>STT_26527_8</t>
  </si>
  <si>
    <t>STT_26530_9</t>
  </si>
  <si>
    <t>STT_26533_ThangNhat</t>
  </si>
  <si>
    <t>STT_26535_RachDua</t>
  </si>
  <si>
    <t>STT_26536_10</t>
  </si>
  <si>
    <t>STT_26539_11</t>
  </si>
  <si>
    <t>STT_26542_12</t>
  </si>
  <si>
    <t>STT_26545_LongSon</t>
  </si>
  <si>
    <t>STT_27934_HiepHoa</t>
  </si>
  <si>
    <t>STT_27937_DucHoa</t>
  </si>
  <si>
    <t>STT_27940_LocGiang</t>
  </si>
  <si>
    <t>STT_27943_AnNinhDong</t>
  </si>
  <si>
    <t>STT_27946_AnNinhTay</t>
  </si>
  <si>
    <t>STT_27949_TanMy</t>
  </si>
  <si>
    <t>STT_27952_HiepHoa</t>
  </si>
  <si>
    <t>STT_27955_DucLapThuong</t>
  </si>
  <si>
    <t>STT_27958_DucLapHa</t>
  </si>
  <si>
    <t>STT_27961_TanPhu</t>
  </si>
  <si>
    <t>STT_27964_MyHanhBac</t>
  </si>
  <si>
    <t>STT_27967_DucHoaThuong</t>
  </si>
  <si>
    <t>STT_27970_HoaKhanhTay</t>
  </si>
  <si>
    <t>STT_27973_HoaKhanhDong</t>
  </si>
  <si>
    <t>STT_27976_MyHanhNam</t>
  </si>
  <si>
    <t>STT_27979_HoaKhanhNam</t>
  </si>
  <si>
    <t>STT_27982_DucHoaDong</t>
  </si>
  <si>
    <t>STT_27985_DucHoaHa</t>
  </si>
  <si>
    <t>STT_27988_HuuThanh</t>
  </si>
  <si>
    <t>STT_15034_YenThang</t>
  </si>
  <si>
    <t>STT_15037_TriNang</t>
  </si>
  <si>
    <t>STT_15040_GiaoAn</t>
  </si>
  <si>
    <t>STT_15043_GiaoThien</t>
  </si>
  <si>
    <t>STT_15046_TanPhuc</t>
  </si>
  <si>
    <t>STT_15049_TamVan</t>
  </si>
  <si>
    <t>STT_15052_LamPhu</t>
  </si>
  <si>
    <t>STT_15055_LangChanh</t>
  </si>
  <si>
    <t>STT_15058_DongLuong</t>
  </si>
  <si>
    <t>STT_24493_KRongBuk</t>
  </si>
  <si>
    <t>STT_24496_EaKly</t>
  </si>
  <si>
    <t>STT_24499_EaKenh</t>
  </si>
  <si>
    <t>STT_24502_EaPhe</t>
  </si>
  <si>
    <t>STT_24505_EaKNuec</t>
  </si>
  <si>
    <t>STT_24508_EaYong</t>
  </si>
  <si>
    <t>STT_24511_HoaAn</t>
  </si>
  <si>
    <t>STT_24514_EaKuang</t>
  </si>
  <si>
    <t>STT_24517_HoaDong</t>
  </si>
  <si>
    <t>STT_24520_EaHiu</t>
  </si>
  <si>
    <t>STT_24523_HoaTien</t>
  </si>
  <si>
    <t>STT_24526_TanTien</t>
  </si>
  <si>
    <t>STT_24529_VuBon</t>
  </si>
  <si>
    <t>STT_24532_EaUy</t>
  </si>
  <si>
    <t>STT_24535_EaYieng</t>
  </si>
  <si>
    <t>STT_30316_ChauPhuB</t>
  </si>
  <si>
    <t>STT_30319_ChauPhuA</t>
  </si>
  <si>
    <t>STT_30322_VinhMy</t>
  </si>
  <si>
    <t>STT_30325_NuiSam</t>
  </si>
  <si>
    <t>STT_30328_VinhNguon</t>
  </si>
  <si>
    <t>STT_30334_VinhChau</t>
  </si>
  <si>
    <t>STT_10186_NinhSo</t>
  </si>
  <si>
    <t>STT_10189_NhiKhe</t>
  </si>
  <si>
    <t>STT_10192_DuyenThai</t>
  </si>
  <si>
    <t>STT_10195_KhanhHa</t>
  </si>
  <si>
    <t>STT_10198_HoaBinh</t>
  </si>
  <si>
    <t>STT_10201_VanBinh</t>
  </si>
  <si>
    <t>STT_10204_HienGiang</t>
  </si>
  <si>
    <t>STT_10207_HongVan</t>
  </si>
  <si>
    <t>STT_10210_VanTao</t>
  </si>
  <si>
    <t>STT_10213_LienPhuong</t>
  </si>
  <si>
    <t>STT_10216_VanPhu</t>
  </si>
  <si>
    <t>STT_10219_TuNhien</t>
  </si>
  <si>
    <t>STT_10222_TienPhong</t>
  </si>
  <si>
    <t>STT_10225_HaHoi</t>
  </si>
  <si>
    <t>STT_10228_ThuPhu</t>
  </si>
  <si>
    <t>STT_10231_NguyenTrai</t>
  </si>
  <si>
    <t>STT_10234_QuatDong</t>
  </si>
  <si>
    <t>STT_10237_ChuongDuong</t>
  </si>
  <si>
    <t>STT_10240_TanMinh</t>
  </si>
  <si>
    <t>STT_10243_LeLoi</t>
  </si>
  <si>
    <t>STT_10246_ThangLoi</t>
  </si>
  <si>
    <t>STT_10249_DungTien</t>
  </si>
  <si>
    <t>STT_10252_ThongNhat</t>
  </si>
  <si>
    <t>STT_10255_NghiemXuyen</t>
  </si>
  <si>
    <t>STT_10258_ToHieu</t>
  </si>
  <si>
    <t>STT_10261_VanTu</t>
  </si>
  <si>
    <t>STT_10264_VanDiem</t>
  </si>
  <si>
    <t>STT_10267_MinhCuong</t>
  </si>
  <si>
    <t>STT_31341_LaiHieu</t>
  </si>
  <si>
    <t>STT_31343_HiepThanh</t>
  </si>
  <si>
    <t>STT_31344_HiepLoi</t>
  </si>
  <si>
    <t>STT_31411_DaiThanh</t>
  </si>
  <si>
    <t>STT_31414_TanThanh</t>
  </si>
  <si>
    <t>STT_10951_VinhHung</t>
  </si>
  <si>
    <t>STT_10954_HungThang</t>
  </si>
  <si>
    <t>STT_10960_VinhHong</t>
  </si>
  <si>
    <t>STT_10963_LongXuyen</t>
  </si>
  <si>
    <t>STT_10966_TanViet</t>
  </si>
  <si>
    <t>STT_10969_ThucKhang</t>
  </si>
  <si>
    <t>STT_10972_TanHong</t>
  </si>
  <si>
    <t>STT_10975_BinhMinh</t>
  </si>
  <si>
    <t>STT_10978_HongKhe</t>
  </si>
  <si>
    <t>STT_10981_ThaiHoc</t>
  </si>
  <si>
    <t>STT_10984_CoBi</t>
  </si>
  <si>
    <t>STT_10987_NhanQuyen</t>
  </si>
  <si>
    <t>STT_10990_ThaiDuong</t>
  </si>
  <si>
    <t>STT_10993_ThaiHoa</t>
  </si>
  <si>
    <t>STT_10996_BinhXuyen</t>
  </si>
  <si>
    <t>STT_12106_PhanDinhPhung</t>
  </si>
  <si>
    <t>STT_12109_CamXa</t>
  </si>
  <si>
    <t>STT_12112_DuongQuang</t>
  </si>
  <si>
    <t>STT_12115_HoaPhong</t>
  </si>
  <si>
    <t>STT_12118_NhanHoa</t>
  </si>
  <si>
    <t>STT_12121_DiSu</t>
  </si>
  <si>
    <t>STT_12124_BachSam</t>
  </si>
  <si>
    <t>STT_12127_MinhDuc</t>
  </si>
  <si>
    <t>STT_12130_PhungChiKien</t>
  </si>
  <si>
    <t>STT_12133_XuanDuc</t>
  </si>
  <si>
    <t>STT_12136_NgocLam</t>
  </si>
  <si>
    <t>STT_12139_HungLong</t>
  </si>
  <si>
    <t>STT_03436_ThuLum</t>
  </si>
  <si>
    <t>STT_03439_KaLang</t>
  </si>
  <si>
    <t>STT_03440_TaBa</t>
  </si>
  <si>
    <t>STT_03442_Pau</t>
  </si>
  <si>
    <t>STT_03445_MuongTe</t>
  </si>
  <si>
    <t>STT_03448_PaVeSu</t>
  </si>
  <si>
    <t>STT_03451_MuCa</t>
  </si>
  <si>
    <t>STT_03454_BumTo</t>
  </si>
  <si>
    <t>STT_03457_NamKhao</t>
  </si>
  <si>
    <t>STT_03463_TaTong</t>
  </si>
  <si>
    <t>STT_03466_BumNua</t>
  </si>
  <si>
    <t>STT_03467_VangSan</t>
  </si>
  <si>
    <t>STT_03469_KanHo</t>
  </si>
  <si>
    <t>STT_07204_TranNguyenHan</t>
  </si>
  <si>
    <t>STT_07207_NgoQuyen</t>
  </si>
  <si>
    <t>STT_07210_HoangVanThu</t>
  </si>
  <si>
    <t>STT_07213_TranPhu</t>
  </si>
  <si>
    <t>STT_07216_MyDo</t>
  </si>
  <si>
    <t>STT_07219_LeLoi</t>
  </si>
  <si>
    <t>STT_07222_SongMai</t>
  </si>
  <si>
    <t>STT_07225_XuongGiang</t>
  </si>
  <si>
    <t>STT_07228_DaMai</t>
  </si>
  <si>
    <t>STT_07231_DinhKe</t>
  </si>
  <si>
    <t>STT_07441_DinhTri</t>
  </si>
  <si>
    <t>STT_07687_TanMy</t>
  </si>
  <si>
    <t>STT_07696_DongSon</t>
  </si>
  <si>
    <t>STT_07699_TanTien</t>
  </si>
  <si>
    <t>STT_07705_SongKhe</t>
  </si>
  <si>
    <t>STT_30172_MyAnHungA</t>
  </si>
  <si>
    <t>STT_30175_TanMy</t>
  </si>
  <si>
    <t>STT_30178_MyAnHungB</t>
  </si>
  <si>
    <t>STT_30181_TanKhanhTrung</t>
  </si>
  <si>
    <t>STT_30184_LongHungA</t>
  </si>
  <si>
    <t>STT_30187_VinhThanh</t>
  </si>
  <si>
    <t>STT_30190_LongHungB</t>
  </si>
  <si>
    <t>STT_30193_BinhThanh</t>
  </si>
  <si>
    <t>STT_30196_DinhAn</t>
  </si>
  <si>
    <t>STT_30199_DinhYen</t>
  </si>
  <si>
    <t>STT_30202_HoiAnDong</t>
  </si>
  <si>
    <t>STT_30205_BinhThanhTrung</t>
  </si>
  <si>
    <t>STT_26332_XuanQue</t>
  </si>
  <si>
    <t>STT_26335_NhanNghia</t>
  </si>
  <si>
    <t>STT_26338_XuanDuong</t>
  </si>
  <si>
    <t>STT_26341_LongGiao</t>
  </si>
  <si>
    <t>STT_26344_XuanMy</t>
  </si>
  <si>
    <t>STT_26347_ThuaDuc</t>
  </si>
  <si>
    <t>STT_26350_BaoBinh</t>
  </si>
  <si>
    <t>STT_26353_XuanBao</t>
  </si>
  <si>
    <t>STT_26356_XuanTay</t>
  </si>
  <si>
    <t>STT_26359_XuanDong</t>
  </si>
  <si>
    <t>STT_26362_SongRay</t>
  </si>
  <si>
    <t>STT_26365_LamSan</t>
  </si>
  <si>
    <t>STT_23344_DakBlo</t>
  </si>
  <si>
    <t>STT_23347_DakMan</t>
  </si>
  <si>
    <t>STT_23350_DakNhoong</t>
  </si>
  <si>
    <t>STT_23353_DakPek</t>
  </si>
  <si>
    <t>STT_23356_DakChoong</t>
  </si>
  <si>
    <t>STT_23359_Xop</t>
  </si>
  <si>
    <t>STT_23362_MuongHoong</t>
  </si>
  <si>
    <t>STT_23365_NgocLinh</t>
  </si>
  <si>
    <t>STT_23368_DakLong</t>
  </si>
  <si>
    <t>STT_23371_DakKRoong</t>
  </si>
  <si>
    <t>STT_23374_DakMon</t>
  </si>
  <si>
    <t>STT_24691_DakSor</t>
  </si>
  <si>
    <t>STT_24692_NamXuan</t>
  </si>
  <si>
    <t>STT_24694_BuonChoah</t>
  </si>
  <si>
    <t>STT_24697_NamDa</t>
  </si>
  <si>
    <t>STT_24699_TanThanh</t>
  </si>
  <si>
    <t>STT_24700_DakDro</t>
  </si>
  <si>
    <t>STT_24703_NamNung</t>
  </si>
  <si>
    <t>STT_24706_DucXuyen</t>
  </si>
  <si>
    <t>STT_24709_DakNang</t>
  </si>
  <si>
    <t>STT_24712_QuangPhu</t>
  </si>
  <si>
    <t>STT_24715_NamNDir</t>
  </si>
  <si>
    <t>STT_27802_BinhThanh</t>
  </si>
  <si>
    <t>STT_27808_BinhHoaTrung</t>
  </si>
  <si>
    <t>STT_27811_BinhHoaDong</t>
  </si>
  <si>
    <t>STT_27814_BinhPhongThanh</t>
  </si>
  <si>
    <t>STT_27820_TanLap</t>
  </si>
  <si>
    <t>STT_27823_TanThanh</t>
  </si>
  <si>
    <t>STT_09625_PhuCuong</t>
  </si>
  <si>
    <t>STT_09628_CoDo</t>
  </si>
  <si>
    <t>STT_09631_TanHong</t>
  </si>
  <si>
    <t>STT_09634_VanThang</t>
  </si>
  <si>
    <t>STT_09637_ChauSon</t>
  </si>
  <si>
    <t>STT_09640_PhongVan</t>
  </si>
  <si>
    <t>STT_09643_PhuDong</t>
  </si>
  <si>
    <t>STT_09646_PhuPhuong</t>
  </si>
  <si>
    <t>STT_09649_PhuChau</t>
  </si>
  <si>
    <t>STT_09652_ThaiHoa</t>
  </si>
  <si>
    <t>STT_09655_DongThai</t>
  </si>
  <si>
    <t>STT_09658_PhuSon</t>
  </si>
  <si>
    <t>STT_09661_MinhChau</t>
  </si>
  <si>
    <t>STT_09664_VatLai</t>
  </si>
  <si>
    <t>STT_09667_ChuMinh</t>
  </si>
  <si>
    <t>STT_09670_TongBat</t>
  </si>
  <si>
    <t>STT_09673_CamLinh</t>
  </si>
  <si>
    <t>STT_09676_SonDa</t>
  </si>
  <si>
    <t>STT_09679_DongQuang</t>
  </si>
  <si>
    <t>STT_09682_TienPhong</t>
  </si>
  <si>
    <t>STT_09685_ThuyAn</t>
  </si>
  <si>
    <t>STT_09688_CamThuong</t>
  </si>
  <si>
    <t>STT_09691_ThuanMy</t>
  </si>
  <si>
    <t>STT_09694_TanLinh</t>
  </si>
  <si>
    <t>STT_09697_BaTrai</t>
  </si>
  <si>
    <t>STT_09700_MinhQuang</t>
  </si>
  <si>
    <t>STT_09703_BaVi</t>
  </si>
  <si>
    <t>STT_09706_VanHoa</t>
  </si>
  <si>
    <t>STT_09709_YenBai</t>
  </si>
  <si>
    <t>STT_09712_KhanhThuong</t>
  </si>
  <si>
    <t>STT_22717_ThanhSon</t>
  </si>
  <si>
    <t>STT_22720_SonLam</t>
  </si>
  <si>
    <t>STT_22723_SonHiep</t>
  </si>
  <si>
    <t>STT_22726_SonBinh</t>
  </si>
  <si>
    <t>STT_22729_SonTrung</t>
  </si>
  <si>
    <t>STT_22732_BaCumBac</t>
  </si>
  <si>
    <t>STT_22735_BaCumNam</t>
  </si>
  <si>
    <t>STT_27349_13</t>
  </si>
  <si>
    <t>STT_27352_09</t>
  </si>
  <si>
    <t>STT_27355_06</t>
  </si>
  <si>
    <t>STT_27358_12</t>
  </si>
  <si>
    <t>STT_27361_05</t>
  </si>
  <si>
    <t>STT_27364_11</t>
  </si>
  <si>
    <t>STT_27367_02</t>
  </si>
  <si>
    <t>STT_27370_01</t>
  </si>
  <si>
    <t>STT_27373_04</t>
  </si>
  <si>
    <t>STT_27376_08</t>
  </si>
  <si>
    <t>STT_27379_03</t>
  </si>
  <si>
    <t>STT_27382_07</t>
  </si>
  <si>
    <t>STT_27385_10</t>
  </si>
  <si>
    <t>STT_00598_LienMac</t>
  </si>
  <si>
    <t>STT_00601_DongNgac</t>
  </si>
  <si>
    <t>STT_00602_DucThang</t>
  </si>
  <si>
    <t>STT_00604_ThuyPhuong</t>
  </si>
  <si>
    <t>STT_00607_TayTuu</t>
  </si>
  <si>
    <t>STT_00610_XuanDinh</t>
  </si>
  <si>
    <t>STT_00611_XuanTao</t>
  </si>
  <si>
    <t>STT_00613_MinhKhai</t>
  </si>
  <si>
    <t>STT_00616_CoNhue1</t>
  </si>
  <si>
    <t>STT_00617_CoNhue2</t>
  </si>
  <si>
    <t>STT_00619_PhuDien</t>
  </si>
  <si>
    <t>STT_00620_PhucDien</t>
  </si>
  <si>
    <t>STT_21118_TraGiang</t>
  </si>
  <si>
    <t>STT_21121_TraThuy</t>
  </si>
  <si>
    <t>STT_21124_TraHiep</t>
  </si>
  <si>
    <t>STT_21127_TraBinh</t>
  </si>
  <si>
    <t>STT_21130_TraPhu</t>
  </si>
  <si>
    <t>STT_21133_TraLam</t>
  </si>
  <si>
    <t>STT_21136_TraTan</t>
  </si>
  <si>
    <t>STT_21139_TraSon</t>
  </si>
  <si>
    <t>STT_21142_TraBui</t>
  </si>
  <si>
    <t>STT_21145_TraThanh</t>
  </si>
  <si>
    <t>STT_21148_SonTra</t>
  </si>
  <si>
    <t>STT_21154_TraPhong</t>
  </si>
  <si>
    <t>STT_21157_HuongTra</t>
  </si>
  <si>
    <t>STT_21163_TraXinh</t>
  </si>
  <si>
    <t>STT_21166_TraTay</t>
  </si>
  <si>
    <t>STT_12208_DongTao</t>
  </si>
  <si>
    <t>STT_12211_BinhMinh</t>
  </si>
  <si>
    <t>STT_12214_DaTrach</t>
  </si>
  <si>
    <t>STT_12217_HamTu</t>
  </si>
  <si>
    <t>STT_12220_OngDinh</t>
  </si>
  <si>
    <t>STT_12223_TanDan</t>
  </si>
  <si>
    <t>STT_12226_TuDan</t>
  </si>
  <si>
    <t>STT_12229_AnVi</t>
  </si>
  <si>
    <t>STT_12232_DongKet</t>
  </si>
  <si>
    <t>STT_12235_BinhKieu</t>
  </si>
  <si>
    <t>STT_12238_DanTien</t>
  </si>
  <si>
    <t>STT_12241_DongTien</t>
  </si>
  <si>
    <t>STT_12244_HongTien</t>
  </si>
  <si>
    <t>STT_12247_TanChau</t>
  </si>
  <si>
    <t>STT_12250_LienKhe</t>
  </si>
  <si>
    <t>STT_12253_PhungHung</t>
  </si>
  <si>
    <t>STT_12256_VietHoa</t>
  </si>
  <si>
    <t>STT_12259_DongNinh</t>
  </si>
  <si>
    <t>STT_12262_DaiTap</t>
  </si>
  <si>
    <t>STT_12265_ChiTan</t>
  </si>
  <si>
    <t>STT_12268_DaiHung</t>
  </si>
  <si>
    <t>STT_12271_ThuanHung</t>
  </si>
  <si>
    <t>STT_12274_ThanhCong</t>
  </si>
  <si>
    <t>STT_12277_NhueDuong</t>
  </si>
  <si>
    <t>STT_03490_HuoiLuong</t>
  </si>
  <si>
    <t>STT_03549_PhongTho</t>
  </si>
  <si>
    <t>STT_03550_SiLoLau</t>
  </si>
  <si>
    <t>STT_03553_MoSiSan</t>
  </si>
  <si>
    <t>STT_03559_PaVaySu</t>
  </si>
  <si>
    <t>STT_03562_VangMaChai</t>
  </si>
  <si>
    <t>STT_03565_TongQuaLin</t>
  </si>
  <si>
    <t>STT_03568_MuSang</t>
  </si>
  <si>
    <t>STT_03571_DaoSan</t>
  </si>
  <si>
    <t>STT_03574_MaLyPho</t>
  </si>
  <si>
    <t>STT_03577_BanLang</t>
  </si>
  <si>
    <t>STT_03580_HoangThen</t>
  </si>
  <si>
    <t>STT_03583_KhongLao</t>
  </si>
  <si>
    <t>STT_03586_NamXe</t>
  </si>
  <si>
    <t>STT_03589_MuongSo</t>
  </si>
  <si>
    <t>STT_03592_SinSuoiHo</t>
  </si>
  <si>
    <t>STT_16381_DongHoang</t>
  </si>
  <si>
    <t>STT_16384_DongNinh</t>
  </si>
  <si>
    <t>STT_16390_DongHoa</t>
  </si>
  <si>
    <t>STT_16393_DongYen</t>
  </si>
  <si>
    <t>STT_16399_DongMinh</t>
  </si>
  <si>
    <t>STT_16402_DongThanh</t>
  </si>
  <si>
    <t>STT_16405_DongTien</t>
  </si>
  <si>
    <t>STT_16408_DongKhe</t>
  </si>
  <si>
    <t>STT_16414_DongThinh</t>
  </si>
  <si>
    <t>STT_16417_DongVan</t>
  </si>
  <si>
    <t>STT_16420_DongPhu</t>
  </si>
  <si>
    <t>STT_16423_DongNam</t>
  </si>
  <si>
    <t>STT_16426_DongQuang</t>
  </si>
  <si>
    <t>STT_16666_HaHuyTap</t>
  </si>
  <si>
    <t>STT_16669_LeLoi</t>
  </si>
  <si>
    <t>STT_16670_QuanBau</t>
  </si>
  <si>
    <t>STT_16672_HungBinh</t>
  </si>
  <si>
    <t>STT_16673_HungPhuc</t>
  </si>
  <si>
    <t>STT_16675_HungDung</t>
  </si>
  <si>
    <t>STT_16678_CuaNam</t>
  </si>
  <si>
    <t>STT_16681_QuangTrung</t>
  </si>
  <si>
    <t>STT_16684_DoiCung</t>
  </si>
  <si>
    <t>STT_16687_LeMao</t>
  </si>
  <si>
    <t>STT_16690_TruongThi</t>
  </si>
  <si>
    <t>STT_16693_BenThuy</t>
  </si>
  <si>
    <t>STT_16696_HongSon</t>
  </si>
  <si>
    <t>STT_16699_TrungDo</t>
  </si>
  <si>
    <t>STT_16702_NghiPhu</t>
  </si>
  <si>
    <t>STT_16705_HungDong</t>
  </si>
  <si>
    <t>STT_16708_HungLoc</t>
  </si>
  <si>
    <t>STT_16711_HungHoa</t>
  </si>
  <si>
    <t>STT_16714_VinhTan</t>
  </si>
  <si>
    <t>STT_17908_NghiLien</t>
  </si>
  <si>
    <t>STT_17914_NghiAn</t>
  </si>
  <si>
    <t>STT_17920_NghiKim</t>
  </si>
  <si>
    <t>STT_17923_NghiDuc</t>
  </si>
  <si>
    <t>STT_18013_HungChinh</t>
  </si>
  <si>
    <t>STT_25225_DakO</t>
  </si>
  <si>
    <t>STT_25228_DucHanh</t>
  </si>
  <si>
    <t>STT_25229_PhuVan</t>
  </si>
  <si>
    <t>STT_25231_DaKia</t>
  </si>
  <si>
    <t>STT_25232_PhuocMinh</t>
  </si>
  <si>
    <t>STT_25234_BinhThang</t>
  </si>
  <si>
    <t>STT_25267_PhuNghia</t>
  </si>
  <si>
    <t>STT_28930_DinhThuy</t>
  </si>
  <si>
    <t>STT_28939_DaPhuocHoi</t>
  </si>
  <si>
    <t>STT_28940_TanHoi</t>
  </si>
  <si>
    <t>STT_28942_PhuocHiep</t>
  </si>
  <si>
    <t>STT_28945_BinhKhanh</t>
  </si>
  <si>
    <t>STT_28951_AnThanh</t>
  </si>
  <si>
    <t>STT_28957_AnDinh</t>
  </si>
  <si>
    <t>STT_28960_ThanhThoiB</t>
  </si>
  <si>
    <t>STT_28963_TanTrung</t>
  </si>
  <si>
    <t>STT_28966_AnThoi</t>
  </si>
  <si>
    <t>STT_28969_ThanhThoiA</t>
  </si>
  <si>
    <t>STT_28972_MinhDuc</t>
  </si>
  <si>
    <t>STT_28975_NgaiDang</t>
  </si>
  <si>
    <t>STT_28978_CamSon</t>
  </si>
  <si>
    <t>STT_28981_HuongMy</t>
  </si>
  <si>
    <t>STT_20285_KhueMy</t>
  </si>
  <si>
    <t>STT_20287_HoaQuy</t>
  </si>
  <si>
    <t>STT_20290_HoaHai</t>
  </si>
  <si>
    <t>STT_01324_CocPang</t>
  </si>
  <si>
    <t>STT_01327_ThuongHa</t>
  </si>
  <si>
    <t>STT_01330_CoBa</t>
  </si>
  <si>
    <t>STT_01333_BaoToan</t>
  </si>
  <si>
    <t>STT_01336_KhanhXuan</t>
  </si>
  <si>
    <t>STT_01339_XuanTruong</t>
  </si>
  <si>
    <t>STT_01342_HongTri</t>
  </si>
  <si>
    <t>STT_01343_KimCuc</t>
  </si>
  <si>
    <t>STT_01345_PhanThanh</t>
  </si>
  <si>
    <t>STT_01348_HongAn</t>
  </si>
  <si>
    <t>STT_01351_HungDao</t>
  </si>
  <si>
    <t>STT_01352_HungThinh</t>
  </si>
  <si>
    <t>STT_01354_HuyGiap</t>
  </si>
  <si>
    <t>STT_01357_DinhPhung</t>
  </si>
  <si>
    <t>STT_01359_SonLap</t>
  </si>
  <si>
    <t>STT_01360_SonLo</t>
  </si>
  <si>
    <t>STT_31396_CayDuong</t>
  </si>
  <si>
    <t>STT_31399_TanBinh</t>
  </si>
  <si>
    <t>STT_31402_BinhThanh</t>
  </si>
  <si>
    <t>STT_31405_ThanhHoa</t>
  </si>
  <si>
    <t>STT_31408_LongThanh</t>
  </si>
  <si>
    <t>STT_31417_PhungHiep</t>
  </si>
  <si>
    <t>STT_31420_HoaMy</t>
  </si>
  <si>
    <t>STT_31423_HoaAn</t>
  </si>
  <si>
    <t>STT_31426_PhuongBinh</t>
  </si>
  <si>
    <t>STT_31429_HiepHung</t>
  </si>
  <si>
    <t>STT_31432_TanPhuocHung</t>
  </si>
  <si>
    <t>STT_31433_BungTau</t>
  </si>
  <si>
    <t>STT_31435_PhuongPhu</t>
  </si>
  <si>
    <t>STT_31438_TanLong</t>
  </si>
  <si>
    <t>STT_01975_ViHuong</t>
  </si>
  <si>
    <t>STT_01978_SiBinh</t>
  </si>
  <si>
    <t>STT_01981_VuMuon</t>
  </si>
  <si>
    <t>STT_01984_DonPhong</t>
  </si>
  <si>
    <t>STT_01990_LucBinh</t>
  </si>
  <si>
    <t>STT_01993_TanTu</t>
  </si>
  <si>
    <t>STT_01999_NguyenPhuc</t>
  </si>
  <si>
    <t>STT_02002_CaoSon</t>
  </si>
  <si>
    <t>STT_02005_QuanHa</t>
  </si>
  <si>
    <t>STT_02008_CamGiang</t>
  </si>
  <si>
    <t>STT_02011_MyThanh</t>
  </si>
  <si>
    <t>STT_02014_DuongPhong</t>
  </si>
  <si>
    <t>STT_02017_QuangThuan</t>
  </si>
  <si>
    <t>STT_03601_MuongKhoa</t>
  </si>
  <si>
    <t>STT_03602_PhucKhoa</t>
  </si>
  <si>
    <t>STT_03604_ThanThuoc</t>
  </si>
  <si>
    <t>STT_03605_TrungDong</t>
  </si>
  <si>
    <t>STT_03607_HoMit</t>
  </si>
  <si>
    <t>STT_03610_NamCan</t>
  </si>
  <si>
    <t>STT_03613_NamSo</t>
  </si>
  <si>
    <t>STT_03616_PacTa</t>
  </si>
  <si>
    <t>STT_03622_TaMit</t>
  </si>
  <si>
    <t>STT_09166_DapCau</t>
  </si>
  <si>
    <t>STT_09169_ThiCau</t>
  </si>
  <si>
    <t>STT_09172_KinhBac</t>
  </si>
  <si>
    <t>STT_09175_VeAn</t>
  </si>
  <si>
    <t>STT_09178_TienAn</t>
  </si>
  <si>
    <t>STT_09181_DaiPhuc</t>
  </si>
  <si>
    <t>STT_09184_NinhXa</t>
  </si>
  <si>
    <t>STT_09187_SuoiHoa</t>
  </si>
  <si>
    <t>STT_09190_VoCuong</t>
  </si>
  <si>
    <t>STT_09214_HoaLong</t>
  </si>
  <si>
    <t>STT_09226_VanAn</t>
  </si>
  <si>
    <t>STT_09235_KhucXuyen</t>
  </si>
  <si>
    <t>STT_09244_PhongKhe</t>
  </si>
  <si>
    <t>STT_09256_KimChan</t>
  </si>
  <si>
    <t>STT_09271_VanDuong</t>
  </si>
  <si>
    <t>STT_09286_NamSon</t>
  </si>
  <si>
    <t>STT_09325_KhacNiem</t>
  </si>
  <si>
    <t>STT_09331_HapLinh</t>
  </si>
  <si>
    <t>STT_08497_TienKien</t>
  </si>
  <si>
    <t>STT_08498_HungSon</t>
  </si>
  <si>
    <t>STT_08500_XuanLung</t>
  </si>
  <si>
    <t>STT_08509_XuanHuy</t>
  </si>
  <si>
    <t>STT_08512_ThachSon</t>
  </si>
  <si>
    <t>STT_08518_SonVi</t>
  </si>
  <si>
    <t>STT_08521_PhungNguyen</t>
  </si>
  <si>
    <t>STT_08527_CaoXa</t>
  </si>
  <si>
    <t>STT_08533_VinhLai</t>
  </si>
  <si>
    <t>STT_08536_TuXa</t>
  </si>
  <si>
    <t>STT_08539_BanNguyen</t>
  </si>
  <si>
    <t>STT_26707_TanHoa</t>
  </si>
  <si>
    <t>STT_26710_TanHai</t>
  </si>
  <si>
    <t>STT_26713_PhuocHoa</t>
  </si>
  <si>
    <t>STT_26716_TanPhuoc</t>
  </si>
  <si>
    <t>STT_26719_MyXuan</t>
  </si>
  <si>
    <t>STT_26722_SongXoai</t>
  </si>
  <si>
    <t>STT_26725_HacDich</t>
  </si>
  <si>
    <t>STT_26728_ChauPha</t>
  </si>
  <si>
    <t>STT_26731_TocTien</t>
  </si>
  <si>
    <t>STT_08764_QuangSon</t>
  </si>
  <si>
    <t>STT_08767_NgocMy</t>
  </si>
  <si>
    <t>STT_08770_HopLy</t>
  </si>
  <si>
    <t>STT_08785_BacBinh</t>
  </si>
  <si>
    <t>STT_08788_ThaiHoa</t>
  </si>
  <si>
    <t>STT_08789_HoaSon</t>
  </si>
  <si>
    <t>STT_08791_LienSon</t>
  </si>
  <si>
    <t>STT_08794_XuanHoa</t>
  </si>
  <si>
    <t>STT_08797_VanTruc</t>
  </si>
  <si>
    <t>STT_08812_LienHoa</t>
  </si>
  <si>
    <t>STT_08815_TuDu</t>
  </si>
  <si>
    <t>STT_08833_BanGian</t>
  </si>
  <si>
    <t>STT_08836_XuanLoi</t>
  </si>
  <si>
    <t>STT_08839_DongIch</t>
  </si>
  <si>
    <t>STT_08842_TienLu</t>
  </si>
  <si>
    <t>STT_08845_VanQuan</t>
  </si>
  <si>
    <t>STT_08857_DinhChu</t>
  </si>
  <si>
    <t>STT_08863_TrieuDe</t>
  </si>
  <si>
    <t>STT_08866_SonDong</t>
  </si>
  <si>
    <t>STT_09028_DongCuong</t>
  </si>
  <si>
    <t>STT_09031_DongVan</t>
  </si>
  <si>
    <t>STT_09034_BinhDinh</t>
  </si>
  <si>
    <t>STT_09037_TrungNguyen</t>
  </si>
  <si>
    <t>STT_09040_TeLo</t>
  </si>
  <si>
    <t>STT_09043_TamHong</t>
  </si>
  <si>
    <t>STT_09046_YenDong</t>
  </si>
  <si>
    <t>STT_09049_VanTien</t>
  </si>
  <si>
    <t>STT_09052_NguyetDuc</t>
  </si>
  <si>
    <t>STT_09055_YenPhuong</t>
  </si>
  <si>
    <t>STT_09058_HongPhuong</t>
  </si>
  <si>
    <t>STT_09061_TrungKien</t>
  </si>
  <si>
    <t>STT_09064_LienChau</t>
  </si>
  <si>
    <t>STT_09067_DaiTu</t>
  </si>
  <si>
    <t>STT_09070_HongChau</t>
  </si>
  <si>
    <t>STT_09073_TrungHa</t>
  </si>
  <si>
    <t>STT_30040_ThanhLoi</t>
  </si>
  <si>
    <t>STT_30043_HungThanh</t>
  </si>
  <si>
    <t>STT_30046_TruongXuan</t>
  </si>
  <si>
    <t>STT_30049_TanKieu</t>
  </si>
  <si>
    <t>STT_30052_MyHoa</t>
  </si>
  <si>
    <t>STT_30055_MyQuy</t>
  </si>
  <si>
    <t>STT_30058_MyDong</t>
  </si>
  <si>
    <t>STT_30061_DocBinhKieu</t>
  </si>
  <si>
    <t>STT_30064_MyAn</t>
  </si>
  <si>
    <t>STT_30067_PhuDien</t>
  </si>
  <si>
    <t>STT_30070_LangBien</t>
  </si>
  <si>
    <t>STT_30073_ThanhMy</t>
  </si>
  <si>
    <t>STT_31870_VinhPhuDong</t>
  </si>
  <si>
    <t>STT_31873_VinhPhuTay</t>
  </si>
  <si>
    <t>STT_31876_PhuocLong</t>
  </si>
  <si>
    <t>STT_31879_HungPhu</t>
  </si>
  <si>
    <t>STT_31882_VinhThanh</t>
  </si>
  <si>
    <t>STT_31885_PhongThanhTayA</t>
  </si>
  <si>
    <t>STT_31888_PhongThanhTayB</t>
  </si>
  <si>
    <t>STT_04717_ThacBa</t>
  </si>
  <si>
    <t>STT_04720_XuanLong</t>
  </si>
  <si>
    <t>STT_04726_CamNhan</t>
  </si>
  <si>
    <t>STT_04729_NgocChan</t>
  </si>
  <si>
    <t>STT_04732_TanNguyen</t>
  </si>
  <si>
    <t>STT_04735_PhucNinh</t>
  </si>
  <si>
    <t>STT_04738_BaoAi</t>
  </si>
  <si>
    <t>STT_04741_MyGia</t>
  </si>
  <si>
    <t>STT_04744_XuanLai</t>
  </si>
  <si>
    <t>STT_04747_MongSon</t>
  </si>
  <si>
    <t>STT_04750_CamAn</t>
  </si>
  <si>
    <t>STT_04753_YenThanh</t>
  </si>
  <si>
    <t>STT_04756_TanHuong</t>
  </si>
  <si>
    <t>STT_04759_PhucAn</t>
  </si>
  <si>
    <t>STT_04762_BachHa</t>
  </si>
  <si>
    <t>STT_04765_VuLinh</t>
  </si>
  <si>
    <t>STT_04768_DaiDong</t>
  </si>
  <si>
    <t>STT_04771_VinhKien</t>
  </si>
  <si>
    <t>STT_04774_YenBinh</t>
  </si>
  <si>
    <t>STT_04777_ThinhHung</t>
  </si>
  <si>
    <t>STT_04780_HanDa</t>
  </si>
  <si>
    <t>STT_04783_PhuThinh</t>
  </si>
  <si>
    <t>STT_04786_DaiMinh</t>
  </si>
  <si>
    <t>STT_31154_ThoiHoa</t>
  </si>
  <si>
    <t>STT_31156_ThoiLong</t>
  </si>
  <si>
    <t>STT_31157_LongHung</t>
  </si>
  <si>
    <t>STT_31159_ThoiAn</t>
  </si>
  <si>
    <t>STT_31162_PhuocThoi</t>
  </si>
  <si>
    <t>STT_31165_TruongLac</t>
  </si>
  <si>
    <t>STT_25897_BinhMy</t>
  </si>
  <si>
    <t>STT_25900_TanBinh</t>
  </si>
  <si>
    <t>STT_25903_TanLap</t>
  </si>
  <si>
    <t>STT_25906_TanThanh</t>
  </si>
  <si>
    <t>STT_25907_DatCuoc</t>
  </si>
  <si>
    <t>STT_25908_HieuLiem</t>
  </si>
  <si>
    <t>STT_25909_LacAn</t>
  </si>
  <si>
    <t>STT_25918_TanMy</t>
  </si>
  <si>
    <t>STT_25927_ThuongTan</t>
  </si>
  <si>
    <t>STT_00706_PhuLinh</t>
  </si>
  <si>
    <t>STT_00709_KimLinh</t>
  </si>
  <si>
    <t>STT_00913_ViXuyen</t>
  </si>
  <si>
    <t>STT_00916_NongTruongVietLam</t>
  </si>
  <si>
    <t>STT_00919_MinhTan</t>
  </si>
  <si>
    <t>STT_00922_ThuanHoa</t>
  </si>
  <si>
    <t>STT_00925_TungBa</t>
  </si>
  <si>
    <t>STT_00928_ThanhThuy</t>
  </si>
  <si>
    <t>STT_00931_ThanhDuc</t>
  </si>
  <si>
    <t>STT_00934_PhongQuang</t>
  </si>
  <si>
    <t>STT_00937_XinChai</t>
  </si>
  <si>
    <t>STT_00940_PhuongTien</t>
  </si>
  <si>
    <t>STT_00943_LaoChai</t>
  </si>
  <si>
    <t>STT_00952_CaoBo</t>
  </si>
  <si>
    <t>STT_00955_DaoDuc</t>
  </si>
  <si>
    <t>STT_00958_ThuongSon</t>
  </si>
  <si>
    <t>STT_00961_LinhHo</t>
  </si>
  <si>
    <t>STT_00964_QuangNgan</t>
  </si>
  <si>
    <t>STT_00967_VietLam</t>
  </si>
  <si>
    <t>STT_00970_NgocLinh</t>
  </si>
  <si>
    <t>STT_00973_NgocMinh</t>
  </si>
  <si>
    <t>STT_00976_BachNgoc</t>
  </si>
  <si>
    <t>STT_00979_TrungThanh</t>
  </si>
  <si>
    <t>STT_24415_CuPrao</t>
  </si>
  <si>
    <t>STT_24418_EaPil</t>
  </si>
  <si>
    <t>STT_24421_EaLai</t>
  </si>
  <si>
    <t>STT_24424_EaHMLay</t>
  </si>
  <si>
    <t>STT_24427_KrongJing</t>
  </si>
  <si>
    <t>STT_24430_EaMDoal</t>
  </si>
  <si>
    <t>STT_24433_EaRieng</t>
  </si>
  <si>
    <t>STT_24436_CuMta</t>
  </si>
  <si>
    <t>STT_24439_CuKRoa</t>
  </si>
  <si>
    <t>STT_24442_KrongA</t>
  </si>
  <si>
    <t>STT_24444_CuSan</t>
  </si>
  <si>
    <t>STT_24445_EaTrang</t>
  </si>
  <si>
    <t>STT_05434_QuangVinh</t>
  </si>
  <si>
    <t>STT_05437_TucDuyen</t>
  </si>
  <si>
    <t>STT_05440_HoangVanThu</t>
  </si>
  <si>
    <t>STT_05443_TrungVuong</t>
  </si>
  <si>
    <t>STT_05446_QuangTrung</t>
  </si>
  <si>
    <t>STT_05449_PhanDinhPhung</t>
  </si>
  <si>
    <t>STT_05452_TanThinh</t>
  </si>
  <si>
    <t>STT_05455_ThinhDan</t>
  </si>
  <si>
    <t>STT_05458_DongQuang</t>
  </si>
  <si>
    <t>STT_05461_GiaSang</t>
  </si>
  <si>
    <t>STT_05464_TanLap</t>
  </si>
  <si>
    <t>STT_05467_CamGia</t>
  </si>
  <si>
    <t>STT_05470_PhuXa</t>
  </si>
  <si>
    <t>STT_05473_HuongSon</t>
  </si>
  <si>
    <t>STT_05476_TrungThanh</t>
  </si>
  <si>
    <t>STT_05479_TanThanh</t>
  </si>
  <si>
    <t>STT_05482_TanLong</t>
  </si>
  <si>
    <t>STT_05485_PhucHa</t>
  </si>
  <si>
    <t>STT_05488_PhucXuan</t>
  </si>
  <si>
    <t>STT_05491_QuyetThang</t>
  </si>
  <si>
    <t>STT_05494_PhucTriu</t>
  </si>
  <si>
    <t>STT_05497_ThinhDuc</t>
  </si>
  <si>
    <t>STT_05500_TichLuong</t>
  </si>
  <si>
    <t>STT_05503_TanCuong</t>
  </si>
  <si>
    <t>STT_05653_SonCam</t>
  </si>
  <si>
    <t>STT_05659_ChuaHang</t>
  </si>
  <si>
    <t>STT_05695_CaoNgan</t>
  </si>
  <si>
    <t>STT_05701_LinhSon</t>
  </si>
  <si>
    <t>STT_05710_DongBam</t>
  </si>
  <si>
    <t>STT_05713_HuongThuong</t>
  </si>
  <si>
    <t>STT_05914_DongLien</t>
  </si>
  <si>
    <t>STT_15610_YenNhan</t>
  </si>
  <si>
    <t>STT_15619_XuanLe</t>
  </si>
  <si>
    <t>STT_15622_VanXuan</t>
  </si>
  <si>
    <t>STT_15628_LuongSon</t>
  </si>
  <si>
    <t>STT_15631_XuanCao</t>
  </si>
  <si>
    <t>STT_15634_LuanThanh</t>
  </si>
  <si>
    <t>STT_15637_LuanKhe</t>
  </si>
  <si>
    <t>STT_15640_XuanThang</t>
  </si>
  <si>
    <t>STT_15643_XuanLoc</t>
  </si>
  <si>
    <t>STT_15646_ThuongXuan</t>
  </si>
  <si>
    <t>STT_15649_XuanDuong</t>
  </si>
  <si>
    <t>STT_15652_ThoThanh</t>
  </si>
  <si>
    <t>STT_15655_NgocPhung</t>
  </si>
  <si>
    <t>STT_15658_XuanChinh</t>
  </si>
  <si>
    <t>STT_15661_TanThanh</t>
  </si>
  <si>
    <t>STT_24817_LocTien</t>
  </si>
  <si>
    <t>STT_24820_2</t>
  </si>
  <si>
    <t>STT_24823_1</t>
  </si>
  <si>
    <t>STT_24826_Blao</t>
  </si>
  <si>
    <t>STT_24829_LocSon</t>
  </si>
  <si>
    <t>STT_24832_DamBri</t>
  </si>
  <si>
    <t>STT_24835_LocThanh</t>
  </si>
  <si>
    <t>STT_24838_LocNga</t>
  </si>
  <si>
    <t>STT_24841_LocChau</t>
  </si>
  <si>
    <t>STT_24844_DaiLao</t>
  </si>
  <si>
    <t>STT_27499_PhuMyHung</t>
  </si>
  <si>
    <t>STT_27502_AnPhu</t>
  </si>
  <si>
    <t>STT_27505_TrungLapThuong</t>
  </si>
  <si>
    <t>STT_27508_AnNhonTay</t>
  </si>
  <si>
    <t>STT_27511_NhuanDuc</t>
  </si>
  <si>
    <t>STT_27514_PhamVanCoi</t>
  </si>
  <si>
    <t>STT_27517_PhuHoaDong</t>
  </si>
  <si>
    <t>STT_27520_TrungLapHa</t>
  </si>
  <si>
    <t>STT_27523_TrungAn</t>
  </si>
  <si>
    <t>STT_27526_PhuocThanh</t>
  </si>
  <si>
    <t>STT_27529_PhuocHiep</t>
  </si>
  <si>
    <t>STT_27532_TanAnHoi</t>
  </si>
  <si>
    <t>STT_27535_PhuocVinhAn</t>
  </si>
  <si>
    <t>STT_27538_ThaiMy</t>
  </si>
  <si>
    <t>STT_27541_TanThanhTay</t>
  </si>
  <si>
    <t>STT_27544_HoaPhu</t>
  </si>
  <si>
    <t>STT_27547_TanThanhDong</t>
  </si>
  <si>
    <t>STT_27550_BinhMy</t>
  </si>
  <si>
    <t>STT_27553_TanPhuTrung</t>
  </si>
  <si>
    <t>STT_27556_TanThongHoi</t>
  </si>
  <si>
    <t>STT_20470_TaLu</t>
  </si>
  <si>
    <t>STT_20473_SongKon</t>
  </si>
  <si>
    <t>STT_20476_JoNgay</t>
  </si>
  <si>
    <t>STT_20479_ATing</t>
  </si>
  <si>
    <t>STT_20482_Tu</t>
  </si>
  <si>
    <t>STT_20485_Ba</t>
  </si>
  <si>
    <t>STT_20488_ARooi</t>
  </si>
  <si>
    <t>STT_20491_ZaHung</t>
  </si>
  <si>
    <t>STT_20494_MaCooi</t>
  </si>
  <si>
    <t>STT_20497_KaDang</t>
  </si>
  <si>
    <t>STT_11473_MinhDuc</t>
  </si>
  <si>
    <t>STT_11476_LaiXuan</t>
  </si>
  <si>
    <t>STT_11479_AnSon</t>
  </si>
  <si>
    <t>STT_11482_KySon</t>
  </si>
  <si>
    <t>STT_11485_LienKhe</t>
  </si>
  <si>
    <t>STT_11488_LuuKiem</t>
  </si>
  <si>
    <t>STT_11491_LuuKy</t>
  </si>
  <si>
    <t>STT_11494_GiaMinh</t>
  </si>
  <si>
    <t>STT_11497_GiaDuc</t>
  </si>
  <si>
    <t>STT_11500_MinhTan</t>
  </si>
  <si>
    <t>STT_11503_PhuNinh</t>
  </si>
  <si>
    <t>STT_11506_QuangThanh</t>
  </si>
  <si>
    <t>STT_11509_ChinhMy</t>
  </si>
  <si>
    <t>STT_11512_KenhGiang</t>
  </si>
  <si>
    <t>STT_11515_HopThanh</t>
  </si>
  <si>
    <t>STT_11518_CaoNhan</t>
  </si>
  <si>
    <t>STT_11521_MyDong</t>
  </si>
  <si>
    <t>STT_11524_DongSon</t>
  </si>
  <si>
    <t>STT_11527_HoaBinh</t>
  </si>
  <si>
    <t>STT_11530_TrungHa</t>
  </si>
  <si>
    <t>STT_11533_AnLu</t>
  </si>
  <si>
    <t>STT_11536_ThuyTrieu</t>
  </si>
  <si>
    <t>STT_11539_NguLao</t>
  </si>
  <si>
    <t>STT_11542_PhucLe</t>
  </si>
  <si>
    <t>STT_11545_TamHung</t>
  </si>
  <si>
    <t>STT_11548_PhaLe</t>
  </si>
  <si>
    <t>STT_11551_LapLe</t>
  </si>
  <si>
    <t>STT_11554_KienBai</t>
  </si>
  <si>
    <t>STT_11557_ThienHuong</t>
  </si>
  <si>
    <t>STT_11560_ThuySon</t>
  </si>
  <si>
    <t>STT_11563_ThuyDuong</t>
  </si>
  <si>
    <t>STT_11566_HoangDong</t>
  </si>
  <si>
    <t>STT_11569_LamDong</t>
  </si>
  <si>
    <t>STT_11572_HoaDong</t>
  </si>
  <si>
    <t>STT_11575_TanDuong</t>
  </si>
  <si>
    <t>STT_11578_DuongQuan</t>
  </si>
  <si>
    <t>STT_20365_TamThanh</t>
  </si>
  <si>
    <t>STT_20368_TamAn</t>
  </si>
  <si>
    <t>STT_20374_TamDan</t>
  </si>
  <si>
    <t>STT_20377_TamLoc</t>
  </si>
  <si>
    <t>STT_20380_TamPhuoc</t>
  </si>
  <si>
    <t>STT_20383_TamVinh</t>
  </si>
  <si>
    <t>STT_20386_TamThai</t>
  </si>
  <si>
    <t>STT_20387_TamDai</t>
  </si>
  <si>
    <t>STT_20392_TamDan</t>
  </si>
  <si>
    <t>STT_20395_TamLanh</t>
  </si>
  <si>
    <t>STT_30883_MongThoA</t>
  </si>
  <si>
    <t>STT_30886_MongThoB</t>
  </si>
  <si>
    <t>STT_30887_MongTho</t>
  </si>
  <si>
    <t>STT_30889_GiucTuong</t>
  </si>
  <si>
    <t>STT_30892_VinhHoaHiep</t>
  </si>
  <si>
    <t>STT_30893_VinhHoaPhu</t>
  </si>
  <si>
    <t>STT_30895_MinhHoa</t>
  </si>
  <si>
    <t>STT_30898_BinhAn</t>
  </si>
  <si>
    <t>STT_30901_ThanhLoc</t>
  </si>
  <si>
    <t>STT_14998_TrungThuong</t>
  </si>
  <si>
    <t>STT_14999_TrungTien</t>
  </si>
  <si>
    <t>STT_15001_TrungHa</t>
  </si>
  <si>
    <t>STT_15004_SonHa</t>
  </si>
  <si>
    <t>STT_15007_TamThanh</t>
  </si>
  <si>
    <t>STT_15010_SonThuy</t>
  </si>
  <si>
    <t>STT_15013_NaMeo</t>
  </si>
  <si>
    <t>STT_15016_SonLu</t>
  </si>
  <si>
    <t>STT_15019_TamLu</t>
  </si>
  <si>
    <t>STT_15022_SonDien</t>
  </si>
  <si>
    <t>STT_15025_MuongMin</t>
  </si>
  <si>
    <t>STT_30409_ChoVam</t>
  </si>
  <si>
    <t>STT_30415_LongHoa</t>
  </si>
  <si>
    <t>STT_30418_PhuLong</t>
  </si>
  <si>
    <t>STT_30421_PhuLam</t>
  </si>
  <si>
    <t>STT_30424_PhuHiep</t>
  </si>
  <si>
    <t>STT_30427_PhuThanh</t>
  </si>
  <si>
    <t>STT_30430_HoaLac</t>
  </si>
  <si>
    <t>STT_30433_PhuThanh</t>
  </si>
  <si>
    <t>STT_30436_PhuAn</t>
  </si>
  <si>
    <t>STT_30439_PhuXuan</t>
  </si>
  <si>
    <t>STT_30442_HiepXuong</t>
  </si>
  <si>
    <t>STT_30445_PhuBinh</t>
  </si>
  <si>
    <t>STT_30448_PhuTho</t>
  </si>
  <si>
    <t>STT_30451_PhuHung</t>
  </si>
  <si>
    <t>STT_30454_BinhThanhDong</t>
  </si>
  <si>
    <t>STT_30457_TanHoa</t>
  </si>
  <si>
    <t>STT_30460_TanTrung</t>
  </si>
  <si>
    <t>STT_14365_TrungSon</t>
  </si>
  <si>
    <t>STT_14368_NamSon</t>
  </si>
  <si>
    <t>STT_14369_TaySon</t>
  </si>
  <si>
    <t>STT_14371_YenSon</t>
  </si>
  <si>
    <t>STT_14374_YenBinh</t>
  </si>
  <si>
    <t>STT_14375_TanBinh</t>
  </si>
  <si>
    <t>STT_14377_QuangSon</t>
  </si>
  <si>
    <t>STT_14380_DongSon</t>
  </si>
  <si>
    <t>STT_07072_DongTrieu</t>
  </si>
  <si>
    <t>STT_07075_AnSinh</t>
  </si>
  <si>
    <t>STT_07078_TrangLuong</t>
  </si>
  <si>
    <t>STT_07081_BinhKhe</t>
  </si>
  <si>
    <t>STT_07084_VietDan</t>
  </si>
  <si>
    <t>STT_07087_TanViet</t>
  </si>
  <si>
    <t>STT_07090_BinhDuong</t>
  </si>
  <si>
    <t>STT_07093_DucChinh</t>
  </si>
  <si>
    <t>STT_07096_TrangAn</t>
  </si>
  <si>
    <t>STT_07099_NguyenHue</t>
  </si>
  <si>
    <t>STT_07102_ThuyAn</t>
  </si>
  <si>
    <t>STT_07105_XuanSon</t>
  </si>
  <si>
    <t>STT_07108_HongThaiTay</t>
  </si>
  <si>
    <t>STT_07111_HongThaiDong</t>
  </si>
  <si>
    <t>STT_07114_HoangQue</t>
  </si>
  <si>
    <t>STT_07117_YenTho</t>
  </si>
  <si>
    <t>STT_07120_HongPhong</t>
  </si>
  <si>
    <t>STT_07123_KimSon</t>
  </si>
  <si>
    <t>STT_07126_HungDao</t>
  </si>
  <si>
    <t>STT_07129_YenDuc</t>
  </si>
  <si>
    <t>STT_19822_DienHuong</t>
  </si>
  <si>
    <t>STT_19825_DienMon</t>
  </si>
  <si>
    <t>STT_19828_DienLoc</t>
  </si>
  <si>
    <t>STT_19831_PhongBinh</t>
  </si>
  <si>
    <t>STT_19834_DienHoa</t>
  </si>
  <si>
    <t>STT_19837_PhongChuong</t>
  </si>
  <si>
    <t>STT_19840_PhongHai</t>
  </si>
  <si>
    <t>STT_19843_DienHai</t>
  </si>
  <si>
    <t>STT_19846_PhongHoa</t>
  </si>
  <si>
    <t>STT_19849_PhongThu</t>
  </si>
  <si>
    <t>STT_19852_PhongHien</t>
  </si>
  <si>
    <t>STT_19855_PhongMy</t>
  </si>
  <si>
    <t>STT_19858_PhongAn</t>
  </si>
  <si>
    <t>STT_19861_PhongXuan</t>
  </si>
  <si>
    <t>STT_19864_PhongSon</t>
  </si>
  <si>
    <t>STT_16879_MaiSon</t>
  </si>
  <si>
    <t>STT_16882_NhonMai</t>
  </si>
  <si>
    <t>STT_16885_HuuKhuong</t>
  </si>
  <si>
    <t>STT_16900_YenTinh</t>
  </si>
  <si>
    <t>STT_16903_NgaMy</t>
  </si>
  <si>
    <t>STT_16904_XiengMy</t>
  </si>
  <si>
    <t>STT_16906_LuongMinh</t>
  </si>
  <si>
    <t>STT_16909_YenHoa</t>
  </si>
  <si>
    <t>STT_16912_YenNa</t>
  </si>
  <si>
    <t>STT_16915_LuuKien</t>
  </si>
  <si>
    <t>STT_16921_XaLuong</t>
  </si>
  <si>
    <t>STT_16924_TamThai</t>
  </si>
  <si>
    <t>STT_16927_TamDinh</t>
  </si>
  <si>
    <t>STT_16930_YenThang</t>
  </si>
  <si>
    <t>STT_16933_TamQuang</t>
  </si>
  <si>
    <t>STT_16936_TamHop</t>
  </si>
  <si>
    <t>STT_27391_02</t>
  </si>
  <si>
    <t>STT_27394_01</t>
  </si>
  <si>
    <t>STT_27397_03</t>
  </si>
  <si>
    <t>STT_27400_11</t>
  </si>
  <si>
    <t>STT_27403_09</t>
  </si>
  <si>
    <t>STT_27406_10</t>
  </si>
  <si>
    <t>STT_27409_04</t>
  </si>
  <si>
    <t>STT_27412_13</t>
  </si>
  <si>
    <t>STT_27415_12</t>
  </si>
  <si>
    <t>STT_27418_05</t>
  </si>
  <si>
    <t>STT_27421_14</t>
  </si>
  <si>
    <t>STT_27424_06</t>
  </si>
  <si>
    <t>STT_27427_15</t>
  </si>
  <si>
    <t>STT_27430_16</t>
  </si>
  <si>
    <t>STT_27433_07</t>
  </si>
  <si>
    <t>STT_17619_GiangSonDong</t>
  </si>
  <si>
    <t>STT_17620_GiangSonTay</t>
  </si>
  <si>
    <t>STT_17623_LamSon</t>
  </si>
  <si>
    <t>STT_17626_BoiSon</t>
  </si>
  <si>
    <t>STT_17629_HongSon</t>
  </si>
  <si>
    <t>STT_17632_BaiSon</t>
  </si>
  <si>
    <t>STT_17635_NgocSon</t>
  </si>
  <si>
    <t>STT_17638_BacSon</t>
  </si>
  <si>
    <t>STT_17641_TrangSon</t>
  </si>
  <si>
    <t>STT_17644_ThuongSon</t>
  </si>
  <si>
    <t>STT_17647_HoaSon</t>
  </si>
  <si>
    <t>STT_17650_DangSon</t>
  </si>
  <si>
    <t>STT_17653_DongSon</t>
  </si>
  <si>
    <t>STT_17656_NamSon</t>
  </si>
  <si>
    <t>STT_17659_LuuSon</t>
  </si>
  <si>
    <t>STT_17662_YenSon</t>
  </si>
  <si>
    <t>STT_17665_VanSon</t>
  </si>
  <si>
    <t>STT_17668_DaSon</t>
  </si>
  <si>
    <t>STT_17671_LacSon</t>
  </si>
  <si>
    <t>STT_17674_TanSon</t>
  </si>
  <si>
    <t>STT_17677_ThaiSon</t>
  </si>
  <si>
    <t>STT_17680_QuangSon</t>
  </si>
  <si>
    <t>STT_17683_ThinhSon</t>
  </si>
  <si>
    <t>STT_17686_TrungSon</t>
  </si>
  <si>
    <t>STT_17689_XuanSon</t>
  </si>
  <si>
    <t>STT_17692_MinhSon</t>
  </si>
  <si>
    <t>STT_17695_ThuanSon</t>
  </si>
  <si>
    <t>STT_17698_NhanSon</t>
  </si>
  <si>
    <t>STT_17701_HienSon</t>
  </si>
  <si>
    <t>STT_17704_MySon</t>
  </si>
  <si>
    <t>STT_17707_TruSon</t>
  </si>
  <si>
    <t>STT_17710_DaiSon</t>
  </si>
  <si>
    <t>STT_25459_3</t>
  </si>
  <si>
    <t>STT_25462_4</t>
  </si>
  <si>
    <t>STT_25465_HiepNinh</t>
  </si>
  <si>
    <t>STT_25468_2</t>
  </si>
  <si>
    <t>STT_25471_ThanhTan</t>
  </si>
  <si>
    <t>STT_25474_TanBinh</t>
  </si>
  <si>
    <t>STT_25477_BinhMinh</t>
  </si>
  <si>
    <t>STT_25480_NinhSon</t>
  </si>
  <si>
    <t>STT_25483_NinhThanh</t>
  </si>
  <si>
    <t>STT_09196_DungLiet</t>
  </si>
  <si>
    <t>STT_09199_TamDa</t>
  </si>
  <si>
    <t>STT_09202_TamGiang</t>
  </si>
  <si>
    <t>STT_09205_YenTrung</t>
  </si>
  <si>
    <t>STT_09208_ThuyHoa</t>
  </si>
  <si>
    <t>STT_09211_HoaTien</t>
  </si>
  <si>
    <t>STT_09217_DongTien</t>
  </si>
  <si>
    <t>STT_09220_YenPhu</t>
  </si>
  <si>
    <t>STT_09223_TrungNghia</t>
  </si>
  <si>
    <t>STT_09229_DongPhong</t>
  </si>
  <si>
    <t>STT_09232_LongChau</t>
  </si>
  <si>
    <t>STT_09238_VanMon</t>
  </si>
  <si>
    <t>STT_09241_DongTho</t>
  </si>
  <si>
    <t>STT_19496_CuaViet</t>
  </si>
  <si>
    <t>STT_19498_TrungGiang</t>
  </si>
  <si>
    <t>STT_19501_TrungHai</t>
  </si>
  <si>
    <t>STT_19504_TrungSon</t>
  </si>
  <si>
    <t>STT_19507_PhongBinh</t>
  </si>
  <si>
    <t>STT_19510_GioMy</t>
  </si>
  <si>
    <t>STT_19519_GioHai</t>
  </si>
  <si>
    <t>STT_19522_GioAn</t>
  </si>
  <si>
    <t>STT_19525_GioChau</t>
  </si>
  <si>
    <t>STT_19531_GioViet</t>
  </si>
  <si>
    <t>STT_19534_LinhTruong</t>
  </si>
  <si>
    <t>STT_19537_GioSon</t>
  </si>
  <si>
    <t>STT_19543_GioMai</t>
  </si>
  <si>
    <t>STT_19546_HaiThai</t>
  </si>
  <si>
    <t>STT_19549_LinhHai</t>
  </si>
  <si>
    <t>STT_19552_GioQuang</t>
  </si>
  <si>
    <t>STT_21610_AnHung</t>
  </si>
  <si>
    <t>STT_21613_AnTrung</t>
  </si>
  <si>
    <t>STT_21616_AnDung</t>
  </si>
  <si>
    <t>STT_21619_AnVinh</t>
  </si>
  <si>
    <t>STT_21622_AnToan</t>
  </si>
  <si>
    <t>STT_21625_AnTan</t>
  </si>
  <si>
    <t>STT_21628_AnHoa</t>
  </si>
  <si>
    <t>STT_21631_AnQuang</t>
  </si>
  <si>
    <t>STT_21634_AnNghia</t>
  </si>
  <si>
    <t>STT_25433_ThanhTam</t>
  </si>
  <si>
    <t>STT_25435_MinhLap</t>
  </si>
  <si>
    <t>STT_25439_QuangMinh</t>
  </si>
  <si>
    <t>STT_25441_MinhHung</t>
  </si>
  <si>
    <t>STT_25444_MinhLong</t>
  </si>
  <si>
    <t>STT_25447_MinhThanh</t>
  </si>
  <si>
    <t>STT_25450_NhaBich</t>
  </si>
  <si>
    <t>STT_25453_MinhThang</t>
  </si>
  <si>
    <t>STT_01270_SongBang</t>
  </si>
  <si>
    <t>STT_01273_HopGiang</t>
  </si>
  <si>
    <t>STT_01276_TanGiang</t>
  </si>
  <si>
    <t>STT_01279_NgocXuan</t>
  </si>
  <si>
    <t>STT_01282_DeTham</t>
  </si>
  <si>
    <t>STT_01285_HoaChung</t>
  </si>
  <si>
    <t>STT_01288_DuyetTrung</t>
  </si>
  <si>
    <t>STT_01693_VinhQuang</t>
  </si>
  <si>
    <t>STT_01705_HungDao</t>
  </si>
  <si>
    <t>STT_01720_ChuTrinh</t>
  </si>
  <si>
    <t>STT_30685_PhuHoa</t>
  </si>
  <si>
    <t>STT_30688_OcEo</t>
  </si>
  <si>
    <t>STT_30691_TayPhu</t>
  </si>
  <si>
    <t>STT_30692_AnBinh</t>
  </si>
  <si>
    <t>STT_30694_VinhPhu</t>
  </si>
  <si>
    <t>STT_30697_VinhTrach</t>
  </si>
  <si>
    <t>STT_30700_PhuThuan</t>
  </si>
  <si>
    <t>STT_30703_VinhChanh</t>
  </si>
  <si>
    <t>STT_30706_DinhMy</t>
  </si>
  <si>
    <t>STT_30709_DinhThanh</t>
  </si>
  <si>
    <t>STT_30712_MyPhuDong</t>
  </si>
  <si>
    <t>STT_30715_VongDong</t>
  </si>
  <si>
    <t>STT_30718_VinhKhanh</t>
  </si>
  <si>
    <t>STT_30721_ThoaiGiang</t>
  </si>
  <si>
    <t>STT_30724_BinhThanh</t>
  </si>
  <si>
    <t>STT_30727_VongThe</t>
  </si>
  <si>
    <t>STT_08710_LienBao</t>
  </si>
  <si>
    <t>STT_08713_HoiHop</t>
  </si>
  <si>
    <t>STT_08716_DongDa</t>
  </si>
  <si>
    <t>STT_08719_NgoQuyen</t>
  </si>
  <si>
    <t>STT_08722_DongTam</t>
  </si>
  <si>
    <t>STT_08725_DinhTrung</t>
  </si>
  <si>
    <t>STT_08728_KhaiQuang</t>
  </si>
  <si>
    <t>STT_08731_ThanhTru</t>
  </si>
  <si>
    <t>STT_26683_PhuocLongTho</t>
  </si>
  <si>
    <t>STT_26686_PhuocHoi</t>
  </si>
  <si>
    <t>STT_26689_LongMy</t>
  </si>
  <si>
    <t>STT_26692_PhuocHai</t>
  </si>
  <si>
    <t>STT_26695_LongTan</t>
  </si>
  <si>
    <t>STT_26698_LangDai</t>
  </si>
  <si>
    <t>STT_26701_LocAn</t>
  </si>
  <si>
    <t>STT_09541_MoLao</t>
  </si>
  <si>
    <t>STT_09542_VanQuan</t>
  </si>
  <si>
    <t>STT_09544_VanPhuc</t>
  </si>
  <si>
    <t>STT_09547_YetKieu</t>
  </si>
  <si>
    <t>STT_09550_QuangTrung</t>
  </si>
  <si>
    <t>STT_09551_LaKhe</t>
  </si>
  <si>
    <t>STT_09552_PhuLa</t>
  </si>
  <si>
    <t>STT_09553_PhucLa</t>
  </si>
  <si>
    <t>STT_09556_HaCau</t>
  </si>
  <si>
    <t>STT_09562_YenNghia</t>
  </si>
  <si>
    <t>STT_09565_KienHung</t>
  </si>
  <si>
    <t>STT_09568_PhuLam</t>
  </si>
  <si>
    <t>STT_09571_PhuLuong</t>
  </si>
  <si>
    <t>STT_09886_DuongNoi</t>
  </si>
  <si>
    <t>STT_10117_DongMai</t>
  </si>
  <si>
    <t>STT_10123_BienGiang</t>
  </si>
  <si>
    <t>STT_13972_NamDien</t>
  </si>
  <si>
    <t>STT_13975_NghiaAn</t>
  </si>
  <si>
    <t>STT_13978_NamThang</t>
  </si>
  <si>
    <t>STT_13984_HongQuang</t>
  </si>
  <si>
    <t>STT_13987_TanThinh</t>
  </si>
  <si>
    <t>STT_13990_NamCuong</t>
  </si>
  <si>
    <t>STT_13993_NamHong</t>
  </si>
  <si>
    <t>STT_13996_NamHung</t>
  </si>
  <si>
    <t>STT_13999_NamHoa</t>
  </si>
  <si>
    <t>STT_14002_NamDuong</t>
  </si>
  <si>
    <t>STT_14005_NamThanh</t>
  </si>
  <si>
    <t>STT_14008_NamLoi</t>
  </si>
  <si>
    <t>STT_14011_BinhMinh</t>
  </si>
  <si>
    <t>STT_14014_DongSon</t>
  </si>
  <si>
    <t>STT_14017_NamTien</t>
  </si>
  <si>
    <t>STT_14020_NamHai</t>
  </si>
  <si>
    <t>STT_14023_NamThai</t>
  </si>
  <si>
    <t>STT_06841_HoanhMo</t>
  </si>
  <si>
    <t>STT_06844_DongTam</t>
  </si>
  <si>
    <t>STT_06847_DongVan</t>
  </si>
  <si>
    <t>STT_06853_VoNgai</t>
  </si>
  <si>
    <t>STT_06856_LucHon</t>
  </si>
  <si>
    <t>STT_06859_HucDong</t>
  </si>
  <si>
    <t>STT_21910_DapDa</t>
  </si>
  <si>
    <t>STT_21913_NhonMy</t>
  </si>
  <si>
    <t>STT_21916_NhonThanh</t>
  </si>
  <si>
    <t>STT_21919_NhonHanh</t>
  </si>
  <si>
    <t>STT_21922_NhonHau</t>
  </si>
  <si>
    <t>STT_21925_NhonPhong</t>
  </si>
  <si>
    <t>STT_21928_NhonAn</t>
  </si>
  <si>
    <t>STT_21931_NhonPhuc</t>
  </si>
  <si>
    <t>STT_21934_NhonHung</t>
  </si>
  <si>
    <t>STT_21937_NhonKhanh</t>
  </si>
  <si>
    <t>STT_21940_NhonLoc</t>
  </si>
  <si>
    <t>STT_21943_NhonHoa</t>
  </si>
  <si>
    <t>STT_21946_NhonTan</t>
  </si>
  <si>
    <t>STT_21949_NhonTho</t>
  </si>
  <si>
    <t>STT_12055_GiaiPham</t>
  </si>
  <si>
    <t>STT_12058_NghiaHiep</t>
  </si>
  <si>
    <t>STT_12061_DongThan</t>
  </si>
  <si>
    <t>STT_12064_NgocLong</t>
  </si>
  <si>
    <t>STT_12067_LieuXa</t>
  </si>
  <si>
    <t>STT_12070_HoanLong</t>
  </si>
  <si>
    <t>STT_12073_TanLap</t>
  </si>
  <si>
    <t>STT_12076_ThanhLong</t>
  </si>
  <si>
    <t>STT_12079_YenPhu</t>
  </si>
  <si>
    <t>STT_12082_VietCuong</t>
  </si>
  <si>
    <t>STT_12085_TrungHoa</t>
  </si>
  <si>
    <t>STT_12088_YenHoa</t>
  </si>
  <si>
    <t>STT_12091_MinhChau</t>
  </si>
  <si>
    <t>STT_12094_TrungHung</t>
  </si>
  <si>
    <t>STT_12097_LyThuongKiet</t>
  </si>
  <si>
    <t>STT_12100_TanViet</t>
  </si>
  <si>
    <t>STT_24931_ThanhMy</t>
  </si>
  <si>
    <t>STT_24934_LacXuan</t>
  </si>
  <si>
    <t>STT_24937_DaRon</t>
  </si>
  <si>
    <t>STT_24940_LacLam</t>
  </si>
  <si>
    <t>STT_24943_KaDo</t>
  </si>
  <si>
    <t>STT_24946_QuangLap</t>
  </si>
  <si>
    <t>STT_24949_KaDon</t>
  </si>
  <si>
    <t>STT_24952_TuTra</t>
  </si>
  <si>
    <t>STT_24955_Pro</t>
  </si>
  <si>
    <t>STT_31945_HoPhong</t>
  </si>
  <si>
    <t>STT_31948_PhongThanhDong</t>
  </si>
  <si>
    <t>STT_31951_LangTron</t>
  </si>
  <si>
    <t>STT_31954_PhongTan</t>
  </si>
  <si>
    <t>STT_31957_TanPhong</t>
  </si>
  <si>
    <t>STT_31960_PhongThanh</t>
  </si>
  <si>
    <t>STT_31963_PhongThanhA</t>
  </si>
  <si>
    <t>STT_31966_PhongThanhTay</t>
  </si>
  <si>
    <t>STT_31969_TanThanh</t>
  </si>
  <si>
    <t>STT_30988_TayYen</t>
  </si>
  <si>
    <t>STT_30991_TayYenA</t>
  </si>
  <si>
    <t>STT_30994_NamYen</t>
  </si>
  <si>
    <t>STT_30997_HungYen</t>
  </si>
  <si>
    <t>STT_31000_NamThai</t>
  </si>
  <si>
    <t>STT_31003_NamThaiA</t>
  </si>
  <si>
    <t>STT_31006_DongThai</t>
  </si>
  <si>
    <t>STT_31009_DongYen</t>
  </si>
  <si>
    <t>STT_19912_PhuAn</t>
  </si>
  <si>
    <t>STT_19915_PhuHai</t>
  </si>
  <si>
    <t>STT_19918_PhuXuan</t>
  </si>
  <si>
    <t>STT_19921_PhuDien</t>
  </si>
  <si>
    <t>STT_19927_PhuMy</t>
  </si>
  <si>
    <t>STT_19933_PhuHo</t>
  </si>
  <si>
    <t>STT_19936_VinhXuan</t>
  </si>
  <si>
    <t>STT_19939_PhuLuong</t>
  </si>
  <si>
    <t>STT_19942_PhuDa</t>
  </si>
  <si>
    <t>STT_19945_VinhThanh</t>
  </si>
  <si>
    <t>STT_19948_VinhAn</t>
  </si>
  <si>
    <t>STT_19954_PhuGia</t>
  </si>
  <si>
    <t>STT_19957_VinhHa</t>
  </si>
  <si>
    <t>STT_10510_BinhHan</t>
  </si>
  <si>
    <t>STT_10513_NgocChau</t>
  </si>
  <si>
    <t>STT_10514_NhiChau</t>
  </si>
  <si>
    <t>STT_10516_QuangTrung</t>
  </si>
  <si>
    <t>STT_10519_NguyenTrai</t>
  </si>
  <si>
    <t>STT_10522_PhamNguLao</t>
  </si>
  <si>
    <t>STT_10525_TranHungDao</t>
  </si>
  <si>
    <t>STT_10528_TranPhu</t>
  </si>
  <si>
    <t>STT_10531_ThanhBinh</t>
  </si>
  <si>
    <t>STT_10532_TanBinh</t>
  </si>
  <si>
    <t>STT_10534_LeThanhNghi</t>
  </si>
  <si>
    <t>STT_10537_HaiTan</t>
  </si>
  <si>
    <t>STT_10540_TuMinh</t>
  </si>
  <si>
    <t>STT_10543_VietHoa</t>
  </si>
  <si>
    <t>STT_10660_AiQuoc</t>
  </si>
  <si>
    <t>STT_10663_AnThuong</t>
  </si>
  <si>
    <t>STT_10672_NamDong</t>
  </si>
  <si>
    <t>STT_10822_QuyetThang</t>
  </si>
  <si>
    <t>STT_10837_TienTien</t>
  </si>
  <si>
    <t>STT_11002_ThachKhoi</t>
  </si>
  <si>
    <t>STT_11005_LienHong</t>
  </si>
  <si>
    <t>STT_11011_TanHung</t>
  </si>
  <si>
    <t>STT_11017_GiaXuyen</t>
  </si>
  <si>
    <t>STT_11077_NgocSon</t>
  </si>
  <si>
    <t>STT_30247_AnHiep</t>
  </si>
  <si>
    <t>STT_30250_AnNhon</t>
  </si>
  <si>
    <t>STT_30253_TanNhuanDong</t>
  </si>
  <si>
    <t>STT_30256_TanBinh</t>
  </si>
  <si>
    <t>STT_30259_TanPhuTrung</t>
  </si>
  <si>
    <t>STT_30262_PhuLong</t>
  </si>
  <si>
    <t>STT_30265_AnPhuThuan</t>
  </si>
  <si>
    <t>STT_30268_PhuHuu</t>
  </si>
  <si>
    <t>STT_30271_AnKhanh</t>
  </si>
  <si>
    <t>STT_30274_TanPhu</t>
  </si>
  <si>
    <t>STT_30277_HoaTan</t>
  </si>
  <si>
    <t>STT_05356_LacSy</t>
  </si>
  <si>
    <t>STT_05362_LacLuong</t>
  </si>
  <si>
    <t>STT_05365_BaoHieu</t>
  </si>
  <si>
    <t>STT_05368_DaPhuc</t>
  </si>
  <si>
    <t>STT_05371_HuuLoi</t>
  </si>
  <si>
    <t>STT_05374_LacThinh</t>
  </si>
  <si>
    <t>STT_05380_DoanKet</t>
  </si>
  <si>
    <t>STT_05383_PhuLai</t>
  </si>
  <si>
    <t>STT_05386_YenTri</t>
  </si>
  <si>
    <t>STT_05389_NgocLuong</t>
  </si>
  <si>
    <t>STT_03220_HuoiSo</t>
  </si>
  <si>
    <t>STT_03223_XinChai</t>
  </si>
  <si>
    <t>STT_03226_TaSinThang</t>
  </si>
  <si>
    <t>STT_03229_LaoXaPhinh</t>
  </si>
  <si>
    <t>STT_03232_TaPhin</t>
  </si>
  <si>
    <t>STT_03235_TuaThang</t>
  </si>
  <si>
    <t>STT_03238_TrungThu</t>
  </si>
  <si>
    <t>STT_03241_SinhPhinh</t>
  </si>
  <si>
    <t>STT_03244_SangNhe</t>
  </si>
  <si>
    <t>STT_03247_MuongDun</t>
  </si>
  <si>
    <t>STT_03250_MuongBang</t>
  </si>
  <si>
    <t>STT_12832_ThuyTruong</t>
  </si>
  <si>
    <t>STT_12841_HongDung</t>
  </si>
  <si>
    <t>STT_12844_ThuyQuynh</t>
  </si>
  <si>
    <t>STT_12847_AnTan</t>
  </si>
  <si>
    <t>STT_12850_ThuyNinh</t>
  </si>
  <si>
    <t>STT_12853_ThuyHung</t>
  </si>
  <si>
    <t>STT_12856_ThuyViet</t>
  </si>
  <si>
    <t>STT_12859_ThuyVan</t>
  </si>
  <si>
    <t>STT_12862_ThuyXuan</t>
  </si>
  <si>
    <t>STT_12865_DuongPhuc</t>
  </si>
  <si>
    <t>STT_12868_ThuyTrinh</t>
  </si>
  <si>
    <t>STT_12871_ThuyBinh</t>
  </si>
  <si>
    <t>STT_12874_ThuyChinh</t>
  </si>
  <si>
    <t>STT_12877_ThuyDan</t>
  </si>
  <si>
    <t>STT_12880_ThuyHai</t>
  </si>
  <si>
    <t>STT_12889_ThuyLien</t>
  </si>
  <si>
    <t>STT_12892_ThuyDuyen</t>
  </si>
  <si>
    <t>STT_12898_ThuyThanh</t>
  </si>
  <si>
    <t>STT_12901_ThuySon</t>
  </si>
  <si>
    <t>STT_12904_ThuyPhong</t>
  </si>
  <si>
    <t>STT_12907_ThaiThuong</t>
  </si>
  <si>
    <t>STT_12910_ThaiNguyen</t>
  </si>
  <si>
    <t>STT_12916_DuongHongThuy</t>
  </si>
  <si>
    <t>STT_12919_ThaiGiang</t>
  </si>
  <si>
    <t>STT_12922_HoaAn</t>
  </si>
  <si>
    <t>STT_12925_SonHa</t>
  </si>
  <si>
    <t>STT_12934_ThaiPhuc</t>
  </si>
  <si>
    <t>STT_12937_ThaiHung</t>
  </si>
  <si>
    <t>STT_12940_ThaiDo</t>
  </si>
  <si>
    <t>STT_12943_ThaiXuyen</t>
  </si>
  <si>
    <t>STT_12949_MyLoc</t>
  </si>
  <si>
    <t>STT_12958_TanHoc</t>
  </si>
  <si>
    <t>STT_12961_ThaiThinh</t>
  </si>
  <si>
    <t>STT_12964_ThuanThanh</t>
  </si>
  <si>
    <t>STT_12967_ThaiTho</t>
  </si>
  <si>
    <t>STT_31015_ThanhYenA</t>
  </si>
  <si>
    <t>STT_31027_AnMinhBac</t>
  </si>
  <si>
    <t>STT_31054_VinhHoa</t>
  </si>
  <si>
    <t>STT_31057_HoaChanh</t>
  </si>
  <si>
    <t>STT_31066_MinhThuan</t>
  </si>
  <si>
    <t>STT_20900_TraSon</t>
  </si>
  <si>
    <t>STT_20902_TraKot</t>
  </si>
  <si>
    <t>STT_20905_TraNu</t>
  </si>
  <si>
    <t>STT_20908_TraDong</t>
  </si>
  <si>
    <t>STT_20911_TraDuong</t>
  </si>
  <si>
    <t>STT_20914_TraGiang</t>
  </si>
  <si>
    <t>STT_20917_TraBui</t>
  </si>
  <si>
    <t>STT_20920_TraDoc</t>
  </si>
  <si>
    <t>STT_20923_TraTan</t>
  </si>
  <si>
    <t>STT_20926_TraGiac</t>
  </si>
  <si>
    <t>STT_20929_TraGiap</t>
  </si>
  <si>
    <t>STT_20932_TraKa</t>
  </si>
  <si>
    <t>STT_22438_CamHoa</t>
  </si>
  <si>
    <t>STT_22441_CamHaiDong</t>
  </si>
  <si>
    <t>STT_22444_CamHaiTay</t>
  </si>
  <si>
    <t>STT_22447_SonTan</t>
  </si>
  <si>
    <t>STT_22450_CamHiepBac</t>
  </si>
  <si>
    <t>STT_22453_CamDuc</t>
  </si>
  <si>
    <t>STT_22456_CamHiepNam</t>
  </si>
  <si>
    <t>STT_22459_CamPhuocTay</t>
  </si>
  <si>
    <t>STT_22462_CamThanhBac</t>
  </si>
  <si>
    <t>STT_22465_CamAnBac</t>
  </si>
  <si>
    <t>STT_22471_CamAnNam</t>
  </si>
  <si>
    <t>STT_22708_SuoiCat</t>
  </si>
  <si>
    <t>STT_22711_SuoiTan</t>
  </si>
  <si>
    <t>STT_16015_DongLoc</t>
  </si>
  <si>
    <t>STT_16018_DaiLoc</t>
  </si>
  <si>
    <t>STT_16021_TrieuLoc</t>
  </si>
  <si>
    <t>STT_16027_TienLoc</t>
  </si>
  <si>
    <t>STT_16030_LocSon</t>
  </si>
  <si>
    <t>STT_16033_CauLoc</t>
  </si>
  <si>
    <t>STT_16036_ThanhLoc</t>
  </si>
  <si>
    <t>STT_16039_TuyLoc</t>
  </si>
  <si>
    <t>STT_16042_PhongLoc</t>
  </si>
  <si>
    <t>STT_16045_MyLoc</t>
  </si>
  <si>
    <t>STT_16048_ThuanLoc</t>
  </si>
  <si>
    <t>STT_16057_XuanLoc</t>
  </si>
  <si>
    <t>STT_16063_HoaLoc</t>
  </si>
  <si>
    <t>STT_16066_LienLoc</t>
  </si>
  <si>
    <t>STT_16069_QuangLoc</t>
  </si>
  <si>
    <t>STT_16072_PhuLoc</t>
  </si>
  <si>
    <t>STT_16075_HoaLoc</t>
  </si>
  <si>
    <t>STT_16078_MinhLoc</t>
  </si>
  <si>
    <t>STT_16081_HungLoc</t>
  </si>
  <si>
    <t>STT_16084_HaiLoc</t>
  </si>
  <si>
    <t>STT_16087_DaLoc</t>
  </si>
  <si>
    <t>STT_16090_NguLoc</t>
  </si>
  <si>
    <t>STT_31786_HoaDong</t>
  </si>
  <si>
    <t>STT_31789_KhanhHoa</t>
  </si>
  <si>
    <t>STT_31792_VinhHiep</t>
  </si>
  <si>
    <t>STT_31795_VinhHai</t>
  </si>
  <si>
    <t>STT_31798_LacHoa</t>
  </si>
  <si>
    <t>STT_31801_2</t>
  </si>
  <si>
    <t>STT_31804_VinhPhuoc</t>
  </si>
  <si>
    <t>STT_31807_VinhTan</t>
  </si>
  <si>
    <t>STT_31810_LaiHoa</t>
  </si>
  <si>
    <t>STT_28363_HauMyBacB</t>
  </si>
  <si>
    <t>STT_28366_HauMyBacA</t>
  </si>
  <si>
    <t>STT_28369_MyTrung</t>
  </si>
  <si>
    <t>STT_28372_HauMyTrinh</t>
  </si>
  <si>
    <t>STT_28375_HauMyPhu</t>
  </si>
  <si>
    <t>STT_28378_MyTan</t>
  </si>
  <si>
    <t>STT_28381_MyLoiB</t>
  </si>
  <si>
    <t>STT_28384_ThienTrung</t>
  </si>
  <si>
    <t>STT_28387_MyHoi</t>
  </si>
  <si>
    <t>STT_28390_AnCu</t>
  </si>
  <si>
    <t>STT_28393_HauThanh</t>
  </si>
  <si>
    <t>STT_28396_MyLoiA</t>
  </si>
  <si>
    <t>STT_28399_HoaKhanh</t>
  </si>
  <si>
    <t>STT_28402_ThienTri</t>
  </si>
  <si>
    <t>STT_28405_MyDucDong</t>
  </si>
  <si>
    <t>STT_28408_MyDucTay</t>
  </si>
  <si>
    <t>STT_28411_DongHoaHiep</t>
  </si>
  <si>
    <t>STT_28414_AnThaiDong</t>
  </si>
  <si>
    <t>STT_28417_TanHung</t>
  </si>
  <si>
    <t>STT_28420_MyLuong</t>
  </si>
  <si>
    <t>STT_28423_TanThanh</t>
  </si>
  <si>
    <t>STT_28426_AnThaiTrung</t>
  </si>
  <si>
    <t>STT_28429_AnHuu</t>
  </si>
  <si>
    <t>STT_28432_HoaHung</t>
  </si>
  <si>
    <t>STT_24310_ChuKBo</t>
  </si>
  <si>
    <t>STT_24313_CuPong</t>
  </si>
  <si>
    <t>STT_24314_EaSin</t>
  </si>
  <si>
    <t>STT_24316_PongDrang</t>
  </si>
  <si>
    <t>STT_24317_TanLap</t>
  </si>
  <si>
    <t>STT_24319_EaNgai</t>
  </si>
  <si>
    <t>STT_13195_HongLy</t>
  </si>
  <si>
    <t>STT_13198_DongThanh</t>
  </si>
  <si>
    <t>STT_13201_XuanHoa</t>
  </si>
  <si>
    <t>STT_13204_HiepHoa</t>
  </si>
  <si>
    <t>STT_13207_PhucThanh</t>
  </si>
  <si>
    <t>STT_13210_TanPhong</t>
  </si>
  <si>
    <t>STT_13213_SongLang</t>
  </si>
  <si>
    <t>STT_13216_TanHoa</t>
  </si>
  <si>
    <t>STT_13219_VietHung</t>
  </si>
  <si>
    <t>STT_13222_MinhLang</t>
  </si>
  <si>
    <t>STT_13228_MinhKhai</t>
  </si>
  <si>
    <t>STT_13231_DungNghia</t>
  </si>
  <si>
    <t>STT_13234_MinhQuang</t>
  </si>
  <si>
    <t>STT_13237_TamQuang</t>
  </si>
  <si>
    <t>STT_13240_TanLap</t>
  </si>
  <si>
    <t>STT_13243_BachThuan</t>
  </si>
  <si>
    <t>STT_13246_TuTan</t>
  </si>
  <si>
    <t>STT_13249_SongAn</t>
  </si>
  <si>
    <t>STT_13252_TrungAn</t>
  </si>
  <si>
    <t>STT_13255_VuHoi</t>
  </si>
  <si>
    <t>STT_13258_HoaBinh</t>
  </si>
  <si>
    <t>STT_13261_NguyenXa</t>
  </si>
  <si>
    <t>STT_13264_VietThuan</t>
  </si>
  <si>
    <t>STT_13267_VuVinh</t>
  </si>
  <si>
    <t>STT_13270_VuDoai</t>
  </si>
  <si>
    <t>STT_13273_VuTien</t>
  </si>
  <si>
    <t>STT_13276_VuVan</t>
  </si>
  <si>
    <t>STT_13279_DuyNhat</t>
  </si>
  <si>
    <t>STT_13282_HongPhong</t>
  </si>
  <si>
    <t>STT_12340_HungDao</t>
  </si>
  <si>
    <t>STT_12343_NgoQuyen</t>
  </si>
  <si>
    <t>STT_12346_NhatTan</t>
  </si>
  <si>
    <t>STT_12349_DiChe</t>
  </si>
  <si>
    <t>STT_12352_LeXa</t>
  </si>
  <si>
    <t>STT_12355_AnVien</t>
  </si>
  <si>
    <t>STT_12358_DucThang</t>
  </si>
  <si>
    <t>STT_12361_TrungDung</t>
  </si>
  <si>
    <t>STT_12364_HaiTrieu</t>
  </si>
  <si>
    <t>STT_12367_ThuSy</t>
  </si>
  <si>
    <t>STT_12370_ThienPhien</t>
  </si>
  <si>
    <t>STT_12373_ThuyLoi</t>
  </si>
  <si>
    <t>STT_12376_CuongChinh</t>
  </si>
  <si>
    <t>STT_12379_MinhPhuong</t>
  </si>
  <si>
    <t>STT_07975_HungXuyen</t>
  </si>
  <si>
    <t>STT_07981_BangLuan</t>
  </si>
  <si>
    <t>STT_07984_VanDu</t>
  </si>
  <si>
    <t>STT_07987_PhuLam</t>
  </si>
  <si>
    <t>STT_07993_MinhLuong</t>
  </si>
  <si>
    <t>STT_07996_BangDoan</t>
  </si>
  <si>
    <t>STT_07999_ChiDam</t>
  </si>
  <si>
    <t>STT_08005_PhucLai</t>
  </si>
  <si>
    <t>STT_08008_NgocQuan</t>
  </si>
  <si>
    <t>STT_08014_HopNhat</t>
  </si>
  <si>
    <t>STT_08017_SocDang</t>
  </si>
  <si>
    <t>STT_08023_TayCoc</t>
  </si>
  <si>
    <t>STT_08026_YenKien</t>
  </si>
  <si>
    <t>STT_08029_HungLong</t>
  </si>
  <si>
    <t>STT_08032_VuQuang</t>
  </si>
  <si>
    <t>STT_08035_VanDon</t>
  </si>
  <si>
    <t>STT_08038_TieuSon</t>
  </si>
  <si>
    <t>STT_08041_MinhTien</t>
  </si>
  <si>
    <t>STT_08044_MinhPhu</t>
  </si>
  <si>
    <t>STT_08047_ChanMong</t>
  </si>
  <si>
    <t>STT_08050_CaDinh</t>
  </si>
  <si>
    <t>STT_24016_ChuRang</t>
  </si>
  <si>
    <t>STT_24019_IaKDam</t>
  </si>
  <si>
    <t>STT_24022_KimTan</t>
  </si>
  <si>
    <t>STT_24025_ChuMo</t>
  </si>
  <si>
    <t>STT_24028_IaTul</t>
  </si>
  <si>
    <t>STT_24031_IaMaRon</t>
  </si>
  <si>
    <t>STT_24034_IaBroai</t>
  </si>
  <si>
    <t>STT_24037_IaTrok</t>
  </si>
  <si>
    <t>STT_03460_HuaBun</t>
  </si>
  <si>
    <t>STT_03472_MuongMo</t>
  </si>
  <si>
    <t>STT_03473_NamCha</t>
  </si>
  <si>
    <t>STT_03474_NamManh</t>
  </si>
  <si>
    <t>STT_03475_NamHang</t>
  </si>
  <si>
    <t>STT_03481_LeLoi</t>
  </si>
  <si>
    <t>STT_03484_PuDao</t>
  </si>
  <si>
    <t>STT_03488_NamPi</t>
  </si>
  <si>
    <t>STT_03502_NamBan</t>
  </si>
  <si>
    <t>STT_03503_TrungChai</t>
  </si>
  <si>
    <t>STT_20206_ThanhKheTay</t>
  </si>
  <si>
    <t>STT_20207_ThanhKheDong</t>
  </si>
  <si>
    <t>STT_20209_XuanHa</t>
  </si>
  <si>
    <t>STT_20212_TanChinh</t>
  </si>
  <si>
    <t>STT_20215_ChinhGian</t>
  </si>
  <si>
    <t>STT_20218_VinhTrung</t>
  </si>
  <si>
    <t>STT_20221_ThacGian</t>
  </si>
  <si>
    <t>STT_20224_AnKhe</t>
  </si>
  <si>
    <t>STT_20225_HoaKhe</t>
  </si>
  <si>
    <t>STT_31735_2</t>
  </si>
  <si>
    <t>STT_31738_VinhQuoi</t>
  </si>
  <si>
    <t>STT_31741_TanLong</t>
  </si>
  <si>
    <t>STT_31744_LongBinh</t>
  </si>
  <si>
    <t>STT_31747_3</t>
  </si>
  <si>
    <t>STT_31750_MyBinh</t>
  </si>
  <si>
    <t>STT_31753_MyQuoi</t>
  </si>
  <si>
    <t>STT_31210_ThoiThuan</t>
  </si>
  <si>
    <t>STT_31212_ThuanAn</t>
  </si>
  <si>
    <t>STT_31213_TanLoc</t>
  </si>
  <si>
    <t>STT_31216_TrungNhut</t>
  </si>
  <si>
    <t>STT_31217_ThanhHoa</t>
  </si>
  <si>
    <t>STT_31219_TrungKien</t>
  </si>
  <si>
    <t>STT_31227_TanHung</t>
  </si>
  <si>
    <t>STT_31228_ThuanHung</t>
  </si>
  <si>
    <t>STT_02203_MinhXuan</t>
  </si>
  <si>
    <t>STT_02206_TanQuang</t>
  </si>
  <si>
    <t>STT_02209_TrangDa</t>
  </si>
  <si>
    <t>STT_02212_NongTien</t>
  </si>
  <si>
    <t>STT_02215_La</t>
  </si>
  <si>
    <t>STT_02216_TanHa</t>
  </si>
  <si>
    <t>STT_02218_HungThanh</t>
  </si>
  <si>
    <t>STT_02497_KimPhu</t>
  </si>
  <si>
    <t>STT_02503_AnKhang</t>
  </si>
  <si>
    <t>STT_02509_MyLam</t>
  </si>
  <si>
    <t>STT_02512_AnTuong</t>
  </si>
  <si>
    <t>STT_02515_LuongVuong</t>
  </si>
  <si>
    <t>STT_02521_ThaiLong</t>
  </si>
  <si>
    <t>STT_02524_DoiCan</t>
  </si>
  <si>
    <t>STT_11411_DongHai2</t>
  </si>
  <si>
    <t>STT_11413_DangLam</t>
  </si>
  <si>
    <t>STT_11414_ThanhTo</t>
  </si>
  <si>
    <t>STT_11416_DangHai</t>
  </si>
  <si>
    <t>STT_11419_NamHai</t>
  </si>
  <si>
    <t>STT_11422_CatBi</t>
  </si>
  <si>
    <t>STT_11425_TrangCat</t>
  </si>
  <si>
    <t>STT_25099_MaDaGuoi</t>
  </si>
  <si>
    <t>STT_25105_HaLam</t>
  </si>
  <si>
    <t>STT_25108_DaTon</t>
  </si>
  <si>
    <t>STT_25111_DaOai</t>
  </si>
  <si>
    <t>STT_25114_DaPloa</t>
  </si>
  <si>
    <t>STT_25117_MaDaGuoi</t>
  </si>
  <si>
    <t>STT_25120_DoanKet</t>
  </si>
  <si>
    <t>STT_25123_PhuocLoc</t>
  </si>
  <si>
    <t>STT_30547_BaChuc</t>
  </si>
  <si>
    <t>STT_30550_LacQuoi</t>
  </si>
  <si>
    <t>STT_30553_LeTri</t>
  </si>
  <si>
    <t>STT_30556_VinhGia</t>
  </si>
  <si>
    <t>STT_30559_VinhPhuoc</t>
  </si>
  <si>
    <t>STT_30562_ChauLang</t>
  </si>
  <si>
    <t>STT_30565_LuongPhi</t>
  </si>
  <si>
    <t>STT_30568_LuongAnTra</t>
  </si>
  <si>
    <t>STT_30571_TaDanh</t>
  </si>
  <si>
    <t>STT_30574_NuiTo</t>
  </si>
  <si>
    <t>STT_30577_AnTuc</t>
  </si>
  <si>
    <t>STT_30580_CoTo</t>
  </si>
  <si>
    <t>STT_30583_TanTuyen</t>
  </si>
  <si>
    <t>STT_30586_OLam</t>
  </si>
  <si>
    <t>STT_08548_ThachKiet</t>
  </si>
  <si>
    <t>STT_08551_ThuNgac</t>
  </si>
  <si>
    <t>STT_08554_KietSon</t>
  </si>
  <si>
    <t>STT_08557_DongSon</t>
  </si>
  <si>
    <t>STT_08560_LaiDong</t>
  </si>
  <si>
    <t>STT_08566_TanPhu</t>
  </si>
  <si>
    <t>STT_08569_MyThuan</t>
  </si>
  <si>
    <t>STT_08578_TanSon</t>
  </si>
  <si>
    <t>STT_08590_XuanDai</t>
  </si>
  <si>
    <t>STT_08593_MinhDai</t>
  </si>
  <si>
    <t>STT_08596_VanLuong</t>
  </si>
  <si>
    <t>STT_08599_XuanSon</t>
  </si>
  <si>
    <t>STT_08608_LongCoc</t>
  </si>
  <si>
    <t>STT_08617_KimThuong</t>
  </si>
  <si>
    <t>STT_08620_TamThanh</t>
  </si>
  <si>
    <t>STT_08626_VinhTien</t>
  </si>
  <si>
    <t>STT_22531_NinhSon</t>
  </si>
  <si>
    <t>STT_22534_NinhTay</t>
  </si>
  <si>
    <t>STT_22537_NinhThuong</t>
  </si>
  <si>
    <t>STT_22540_NinhAn</t>
  </si>
  <si>
    <t>STT_22543_NinhHai</t>
  </si>
  <si>
    <t>STT_22546_NinhTho</t>
  </si>
  <si>
    <t>STT_22549_NinhTrung</t>
  </si>
  <si>
    <t>STT_22552_NinhSim</t>
  </si>
  <si>
    <t>STT_22555_NinhXuan</t>
  </si>
  <si>
    <t>STT_22558_NinhThan</t>
  </si>
  <si>
    <t>STT_22561_NinhDiem</t>
  </si>
  <si>
    <t>STT_22564_NinhDong</t>
  </si>
  <si>
    <t>STT_22567_NinhThuy</t>
  </si>
  <si>
    <t>STT_22570_NinhDa</t>
  </si>
  <si>
    <t>STT_22573_NinhPhung</t>
  </si>
  <si>
    <t>STT_22576_NinhBinh</t>
  </si>
  <si>
    <t>STT_22579_NinhPhuoc</t>
  </si>
  <si>
    <t>STT_22582_NinhPhu</t>
  </si>
  <si>
    <t>STT_22585_NinhTan</t>
  </si>
  <si>
    <t>STT_22588_NinhQuang</t>
  </si>
  <si>
    <t>STT_22591_NinhGiang</t>
  </si>
  <si>
    <t>STT_22594_NinhHa</t>
  </si>
  <si>
    <t>STT_22597_NinhHung</t>
  </si>
  <si>
    <t>STT_22600_NinhLoc</t>
  </si>
  <si>
    <t>STT_22603_NinhIch</t>
  </si>
  <si>
    <t>STT_22606_NinhVan</t>
  </si>
  <si>
    <t>STT_02803_ThaoChuPhin</t>
  </si>
  <si>
    <t>STT_02806_BanMe</t>
  </si>
  <si>
    <t>STT_02809_SiMaCai</t>
  </si>
  <si>
    <t>STT_02812_SanChai</t>
  </si>
  <si>
    <t>STT_02818_LungThan</t>
  </si>
  <si>
    <t>STT_02821_CanCau</t>
  </si>
  <si>
    <t>STT_02824_SinCheng</t>
  </si>
  <si>
    <t>STT_02827_QuanHoThan</t>
  </si>
  <si>
    <t>STT_02836_NanXin</t>
  </si>
  <si>
    <t>STT_30502_NhaBang</t>
  </si>
  <si>
    <t>STT_30505_ChiLang</t>
  </si>
  <si>
    <t>STT_30508_NuiVoi</t>
  </si>
  <si>
    <t>STT_30511_NhonHung</t>
  </si>
  <si>
    <t>STT_30514_AnPhu</t>
  </si>
  <si>
    <t>STT_30517_ThoiSon</t>
  </si>
  <si>
    <t>STT_30520_TinhBien</t>
  </si>
  <si>
    <t>STT_30523_VanGiao</t>
  </si>
  <si>
    <t>STT_30526_AnCu</t>
  </si>
  <si>
    <t>STT_30529_AnNong</t>
  </si>
  <si>
    <t>STT_30532_VinhTrung</t>
  </si>
  <si>
    <t>STT_30535_TanLoi</t>
  </si>
  <si>
    <t>STT_30538_AnHao</t>
  </si>
  <si>
    <t>STT_15274_HaLong</t>
  </si>
  <si>
    <t>STT_15277_HaVinh</t>
  </si>
  <si>
    <t>STT_15280_HaBac</t>
  </si>
  <si>
    <t>STT_15283_HoatGiang</t>
  </si>
  <si>
    <t>STT_15286_YenDuong</t>
  </si>
  <si>
    <t>STT_15292_HaGiang</t>
  </si>
  <si>
    <t>STT_15298_LinhToai</t>
  </si>
  <si>
    <t>STT_15304_HaNgoc</t>
  </si>
  <si>
    <t>STT_15307_YenSon</t>
  </si>
  <si>
    <t>STT_15313_HaSon</t>
  </si>
  <si>
    <t>STT_15316_HaLinh</t>
  </si>
  <si>
    <t>STT_15319_HaDong</t>
  </si>
  <si>
    <t>STT_15322_HaTan</t>
  </si>
  <si>
    <t>STT_15325_HaTien</t>
  </si>
  <si>
    <t>STT_15328_HaBinh</t>
  </si>
  <si>
    <t>STT_15331_HaLai</t>
  </si>
  <si>
    <t>STT_15334_HaChau</t>
  </si>
  <si>
    <t>STT_15340_HaThai</t>
  </si>
  <si>
    <t>STT_15343_HaHai</t>
  </si>
  <si>
    <t>STT_27868_TanHiep</t>
  </si>
  <si>
    <t>STT_27871_ThuanBinh</t>
  </si>
  <si>
    <t>STT_27874_ThanhPhuoc</t>
  </si>
  <si>
    <t>STT_27877_ThanhPhu</t>
  </si>
  <si>
    <t>STT_27880_ThuanNghiaHoa</t>
  </si>
  <si>
    <t>STT_27883_ThuyDong</t>
  </si>
  <si>
    <t>STT_27886_ThuyTay</t>
  </si>
  <si>
    <t>STT_27889_TanTay</t>
  </si>
  <si>
    <t>STT_27892_TanDong</t>
  </si>
  <si>
    <t>STT_27895_ThanhAn</t>
  </si>
  <si>
    <t>STT_16177_BaiTranh</t>
  </si>
  <si>
    <t>STT_16180_XuanHoa</t>
  </si>
  <si>
    <t>STT_16183_XuanBinh</t>
  </si>
  <si>
    <t>STT_16186_HoaQuy</t>
  </si>
  <si>
    <t>STT_16195_CatVan</t>
  </si>
  <si>
    <t>STT_16198_CatTan</t>
  </si>
  <si>
    <t>STT_16201_TanBinh</t>
  </si>
  <si>
    <t>STT_16204_BinhLuong</t>
  </si>
  <si>
    <t>STT_16207_ThanhQuan</t>
  </si>
  <si>
    <t>STT_16210_ThanhXuan</t>
  </si>
  <si>
    <t>STT_16213_ThanhHoa</t>
  </si>
  <si>
    <t>STT_16216_ThanhPhong</t>
  </si>
  <si>
    <t>STT_16219_ThanhLam</t>
  </si>
  <si>
    <t>STT_16222_ThanhSon</t>
  </si>
  <si>
    <t>STT_16225_ThuongNinh</t>
  </si>
  <si>
    <t>STT_22840_CongHai</t>
  </si>
  <si>
    <t>STT_22843_PhuocKhang</t>
  </si>
  <si>
    <t>STT_22849_LoiHai</t>
  </si>
  <si>
    <t>STT_22853_BacSon</t>
  </si>
  <si>
    <t>STT_22856_BacPhong</t>
  </si>
  <si>
    <t>STT_27130_12</t>
  </si>
  <si>
    <t>STT_27133_11</t>
  </si>
  <si>
    <t>STT_27136_13</t>
  </si>
  <si>
    <t>STT_27139_VoThiSau</t>
  </si>
  <si>
    <t>STT_27142_09</t>
  </si>
  <si>
    <t>STT_27145_10</t>
  </si>
  <si>
    <t>STT_27148_04</t>
  </si>
  <si>
    <t>STT_27151_05</t>
  </si>
  <si>
    <t>STT_27154_03</t>
  </si>
  <si>
    <t>STT_27157_02</t>
  </si>
  <si>
    <t>STT_27160_01</t>
  </si>
  <si>
    <t>STT_30004_HoaBinh</t>
  </si>
  <si>
    <t>STT_30007_TanCongSinh</t>
  </si>
  <si>
    <t>STT_30010_PhuHiep</t>
  </si>
  <si>
    <t>STT_30013_PhuDuc</t>
  </si>
  <si>
    <t>STT_30016_PhuThanhB</t>
  </si>
  <si>
    <t>STT_30019_AnHoa</t>
  </si>
  <si>
    <t>STT_30022_AnLong</t>
  </si>
  <si>
    <t>STT_30025_PhuCuong</t>
  </si>
  <si>
    <t>STT_30028_PhuNinh</t>
  </si>
  <si>
    <t>STT_30031_PhuTho</t>
  </si>
  <si>
    <t>STT_30034_PhuThanhA</t>
  </si>
  <si>
    <t>STT_11827_DungTien</t>
  </si>
  <si>
    <t>STT_11830_GiangBien</t>
  </si>
  <si>
    <t>STT_11833_ThangThuy</t>
  </si>
  <si>
    <t>STT_11836_TrungLap</t>
  </si>
  <si>
    <t>STT_11839_VietTien</t>
  </si>
  <si>
    <t>STT_11842_VinhAn</t>
  </si>
  <si>
    <t>STT_11845_VinhLong</t>
  </si>
  <si>
    <t>STT_11848_HiepHoa</t>
  </si>
  <si>
    <t>STT_11851_HungTien</t>
  </si>
  <si>
    <t>STT_11854_AnHoa</t>
  </si>
  <si>
    <t>STT_11857_TanHung</t>
  </si>
  <si>
    <t>STT_11860_TanLien</t>
  </si>
  <si>
    <t>STT_11863_NhanHoa</t>
  </si>
  <si>
    <t>STT_11866_TamDa</t>
  </si>
  <si>
    <t>STT_11869_HungNhan</t>
  </si>
  <si>
    <t>STT_11872_VinhQuang</t>
  </si>
  <si>
    <t>STT_11875_DongMinh</t>
  </si>
  <si>
    <t>STT_11878_ThanhLuong</t>
  </si>
  <si>
    <t>STT_11881_LienAm</t>
  </si>
  <si>
    <t>STT_11884_LyHoc</t>
  </si>
  <si>
    <t>STT_11887_TamCuong</t>
  </si>
  <si>
    <t>STT_11890_HoaBinh</t>
  </si>
  <si>
    <t>STT_11893_TienPhong</t>
  </si>
  <si>
    <t>STT_11896_VinhPhong</t>
  </si>
  <si>
    <t>STT_11899_CongHien</t>
  </si>
  <si>
    <t>STT_11902_CaoMinh</t>
  </si>
  <si>
    <t>STT_11905_CoAm</t>
  </si>
  <si>
    <t>STT_11908_VinhTien</t>
  </si>
  <si>
    <t>STT_11911_TranDuong</t>
  </si>
  <si>
    <t>STT_01789_CanhTan</t>
  </si>
  <si>
    <t>STT_01792_KimDong</t>
  </si>
  <si>
    <t>STT_01795_MinhKhai</t>
  </si>
  <si>
    <t>STT_01801_DucThong</t>
  </si>
  <si>
    <t>STT_01804_ThaiCuong</t>
  </si>
  <si>
    <t>STT_01807_VanTrinh</t>
  </si>
  <si>
    <t>STT_01810_ThuyHung</t>
  </si>
  <si>
    <t>STT_01813_QuangTrong</t>
  </si>
  <si>
    <t>STT_01816_TrongCon</t>
  </si>
  <si>
    <t>STT_01819_LeLai</t>
  </si>
  <si>
    <t>STT_01822_DucLong</t>
  </si>
  <si>
    <t>STT_01828_LeLoi</t>
  </si>
  <si>
    <t>STT_01831_DucXuan</t>
  </si>
  <si>
    <t>STT_31111_LaiSon</t>
  </si>
  <si>
    <t>STT_31114_AnSon</t>
  </si>
  <si>
    <t>STT_31115_NamDu</t>
  </si>
  <si>
    <t>STT_28693_TanPhu</t>
  </si>
  <si>
    <t>STT_28696_PhuThanh</t>
  </si>
  <si>
    <t>STT_28699_TanThanh</t>
  </si>
  <si>
    <t>STT_28750_PhuDong</t>
  </si>
  <si>
    <t>STT_28753_PhuTan</t>
  </si>
  <si>
    <t>STT_20602_DuyThu</t>
  </si>
  <si>
    <t>STT_20605_DuyPhu</t>
  </si>
  <si>
    <t>STT_20608_DuyTan</t>
  </si>
  <si>
    <t>STT_20611_DuyHoa</t>
  </si>
  <si>
    <t>STT_20614_DuyChau</t>
  </si>
  <si>
    <t>STT_20617_DuyTrinh</t>
  </si>
  <si>
    <t>STT_20620_DuySon</t>
  </si>
  <si>
    <t>STT_20623_DuyTrung</t>
  </si>
  <si>
    <t>STT_20626_DuyPhuoc</t>
  </si>
  <si>
    <t>STT_20629_DuyThanh</t>
  </si>
  <si>
    <t>STT_20632_DuyVinh</t>
  </si>
  <si>
    <t>STT_20635_DuyNghia</t>
  </si>
  <si>
    <t>STT_20638_DuyHai</t>
  </si>
  <si>
    <t>STT_24583_YangTao</t>
  </si>
  <si>
    <t>STT_24586_BongKrang</t>
  </si>
  <si>
    <t>STT_24589_DakLieng</t>
  </si>
  <si>
    <t>STT_24592_BuonTriet</t>
  </si>
  <si>
    <t>STT_24595_BuonTria</t>
  </si>
  <si>
    <t>STT_24598_DakPhoi</t>
  </si>
  <si>
    <t>STT_24601_DakNue</t>
  </si>
  <si>
    <t>STT_24604_KrongNo</t>
  </si>
  <si>
    <t>STT_24607_NamKa</t>
  </si>
  <si>
    <t>STT_24610_EaRBin</t>
  </si>
  <si>
    <t>STT_24612_NghiaThanh</t>
  </si>
  <si>
    <t>STT_24614_NghiaPhu</t>
  </si>
  <si>
    <t>STT_24615_NghiaTan</t>
  </si>
  <si>
    <t>STT_24617_NghiaTrung</t>
  </si>
  <si>
    <t>STT_24618_DakRMoan</t>
  </si>
  <si>
    <t>STT_24619_QuangThanh</t>
  </si>
  <si>
    <t>STT_24628_DakNia</t>
  </si>
  <si>
    <t>STT_03685_CaNang</t>
  </si>
  <si>
    <t>STT_03688_ChiengKhay</t>
  </si>
  <si>
    <t>STT_03694_MuongGion</t>
  </si>
  <si>
    <t>STT_03697_PaMaPhaKhinh</t>
  </si>
  <si>
    <t>STT_03700_ChiengOn</t>
  </si>
  <si>
    <t>STT_03703_MuongGiang</t>
  </si>
  <si>
    <t>STT_03706_ChiengBang</t>
  </si>
  <si>
    <t>STT_03709_MuongSai</t>
  </si>
  <si>
    <t>STT_03712_Namet</t>
  </si>
  <si>
    <t>STT_03718_ChiengKhoang</t>
  </si>
  <si>
    <t>STT_13450_LiemPhong</t>
  </si>
  <si>
    <t>STT_13453_ThanhHa</t>
  </si>
  <si>
    <t>STT_13456_LiemCan</t>
  </si>
  <si>
    <t>STT_13465_LiemThuan</t>
  </si>
  <si>
    <t>STT_13468_ThanhThuy</t>
  </si>
  <si>
    <t>STT_13471_ThanhPhong</t>
  </si>
  <si>
    <t>STT_13474_TanThanh</t>
  </si>
  <si>
    <t>STT_13477_ThanhTan</t>
  </si>
  <si>
    <t>STT_13480_LiemTuc</t>
  </si>
  <si>
    <t>STT_13483_LiemSon</t>
  </si>
  <si>
    <t>STT_13486_ThanhHuong</t>
  </si>
  <si>
    <t>STT_13489_ThanhNghi</t>
  </si>
  <si>
    <t>STT_13492_ThanhTam</t>
  </si>
  <si>
    <t>STT_13495_ThanhNguyen</t>
  </si>
  <si>
    <t>STT_13498_ThanhHai</t>
  </si>
  <si>
    <t>STT_27829_BacHoa</t>
  </si>
  <si>
    <t>STT_27832_HauThanhTay</t>
  </si>
  <si>
    <t>STT_27835_NhonHoaLap</t>
  </si>
  <si>
    <t>STT_27838_TanLap</t>
  </si>
  <si>
    <t>STT_27841_HauThanhDong</t>
  </si>
  <si>
    <t>STT_27844_NhonHoa</t>
  </si>
  <si>
    <t>STT_27847_KienBinh</t>
  </si>
  <si>
    <t>STT_27850_TanThanh</t>
  </si>
  <si>
    <t>STT_27853_TanBinh</t>
  </si>
  <si>
    <t>STT_27856_TanNinh</t>
  </si>
  <si>
    <t>STT_27859_NhonNinh</t>
  </si>
  <si>
    <t>STT_27862_TanHoa</t>
  </si>
  <si>
    <t>STT_28873_PhuPhung</t>
  </si>
  <si>
    <t>STT_28876_SonDinh</t>
  </si>
  <si>
    <t>STT_28879_VinhBinh</t>
  </si>
  <si>
    <t>STT_28882_HoaNghia</t>
  </si>
  <si>
    <t>STT_28885_LongThoi</t>
  </si>
  <si>
    <t>STT_28888_PhuSon</t>
  </si>
  <si>
    <t>STT_28891_TanThieng</t>
  </si>
  <si>
    <t>STT_28894_VinhThanh</t>
  </si>
  <si>
    <t>STT_28897_VinhHoa</t>
  </si>
  <si>
    <t>STT_28900_HungKhanhTrungB</t>
  </si>
  <si>
    <t>STT_28597_TrungHoa</t>
  </si>
  <si>
    <t>STT_28600_HoaTinh</t>
  </si>
  <si>
    <t>STT_28603_MyTinhAn</t>
  </si>
  <si>
    <t>STT_28606_TanBinhThanh</t>
  </si>
  <si>
    <t>STT_28609_PhuKiet</t>
  </si>
  <si>
    <t>STT_28612_LuongHoaLac</t>
  </si>
  <si>
    <t>STT_28615_ThanhBinh</t>
  </si>
  <si>
    <t>STT_28618_QuonLong</t>
  </si>
  <si>
    <t>STT_28621_BinhPhucNhut</t>
  </si>
  <si>
    <t>STT_28624_DangHungPhuoc</t>
  </si>
  <si>
    <t>STT_28627_TanThuanBinh</t>
  </si>
  <si>
    <t>STT_28630_SongBinh</t>
  </si>
  <si>
    <t>STT_28633_BinhPhan</t>
  </si>
  <si>
    <t>STT_28636_LongBinhDien</t>
  </si>
  <si>
    <t>STT_28639_AnThanhThuy</t>
  </si>
  <si>
    <t>STT_28642_XuanDong</t>
  </si>
  <si>
    <t>STT_28645_HoaDinh</t>
  </si>
  <si>
    <t>STT_28648_BinhNinh</t>
  </si>
  <si>
    <t>STT_30283_MyLong</t>
  </si>
  <si>
    <t>STT_30285_DongXuyen</t>
  </si>
  <si>
    <t>STT_30286_MyXuyen</t>
  </si>
  <si>
    <t>STT_30289_BinhDuc</t>
  </si>
  <si>
    <t>STT_30292_BinhKhanh</t>
  </si>
  <si>
    <t>STT_30295_MyPhuoc</t>
  </si>
  <si>
    <t>STT_30298_MyQuy</t>
  </si>
  <si>
    <t>STT_30301_MyThoi</t>
  </si>
  <si>
    <t>STT_30304_MyThanh</t>
  </si>
  <si>
    <t>STT_30307_MyHoa</t>
  </si>
  <si>
    <t>STT_30310_MyKhanh</t>
  </si>
  <si>
    <t>STT_30313_MyHoaHung</t>
  </si>
  <si>
    <t>STT_05662_TraiCau</t>
  </si>
  <si>
    <t>STT_05665_VanLang</t>
  </si>
  <si>
    <t>STT_05668_TanLong</t>
  </si>
  <si>
    <t>STT_05671_HoaBinh</t>
  </si>
  <si>
    <t>STT_05674_QuangSon</t>
  </si>
  <si>
    <t>STT_05677_MinhLap</t>
  </si>
  <si>
    <t>STT_05680_VanHan</t>
  </si>
  <si>
    <t>STT_05683_HoaTrung</t>
  </si>
  <si>
    <t>STT_05686_KheMo</t>
  </si>
  <si>
    <t>STT_05689_CayThi</t>
  </si>
  <si>
    <t>STT_05692_HoaThuong</t>
  </si>
  <si>
    <t>STT_05698_HopTien</t>
  </si>
  <si>
    <t>STT_05704_TanLoi</t>
  </si>
  <si>
    <t>STT_05707_NamHoa</t>
  </si>
  <si>
    <t>STT_15871_HoangGiang</t>
  </si>
  <si>
    <t>STT_15877_HoangXuan</t>
  </si>
  <si>
    <t>STT_15880_HoangPhuong</t>
  </si>
  <si>
    <t>STT_15883_HoangPhu</t>
  </si>
  <si>
    <t>STT_15886_HoangQuy</t>
  </si>
  <si>
    <t>STT_15889_HoangKim</t>
  </si>
  <si>
    <t>STT_15892_HoangTrung</t>
  </si>
  <si>
    <t>STT_15895_HoangTrinh</t>
  </si>
  <si>
    <t>STT_15901_HoangSon</t>
  </si>
  <si>
    <t>STT_15907_HoangCat</t>
  </si>
  <si>
    <t>STT_15910_HoangXuyen</t>
  </si>
  <si>
    <t>STT_15916_HoangQuy</t>
  </si>
  <si>
    <t>STT_15919_HoangHop</t>
  </si>
  <si>
    <t>STT_15928_HoangDuc</t>
  </si>
  <si>
    <t>STT_15937_HoangHa</t>
  </si>
  <si>
    <t>STT_15940_HoangDat</t>
  </si>
  <si>
    <t>STT_15946_HoangDao</t>
  </si>
  <si>
    <t>STT_15949_HoangThang</t>
  </si>
  <si>
    <t>STT_15952_HoangDong</t>
  </si>
  <si>
    <t>STT_15955_HoangThai</t>
  </si>
  <si>
    <t>STT_15958_HoangThinh</t>
  </si>
  <si>
    <t>STT_15961_HoangThanh</t>
  </si>
  <si>
    <t>STT_15964_HoangLoc</t>
  </si>
  <si>
    <t>STT_15967_HoangTrach</t>
  </si>
  <si>
    <t>STT_15973_HoangPhong</t>
  </si>
  <si>
    <t>STT_15976_HoangLuu</t>
  </si>
  <si>
    <t>STT_15979_HoangChau</t>
  </si>
  <si>
    <t>STT_15982_HoangTan</t>
  </si>
  <si>
    <t>STT_15985_HoangYen</t>
  </si>
  <si>
    <t>STT_15988_HoangTien</t>
  </si>
  <si>
    <t>STT_15991_HoangHai</t>
  </si>
  <si>
    <t>STT_15994_HoangNgoc</t>
  </si>
  <si>
    <t>STT_15997_HoangDong</t>
  </si>
  <si>
    <t>STT_16000_HoangThanh</t>
  </si>
  <si>
    <t>STT_16003_HoangPhu</t>
  </si>
  <si>
    <t>STT_16006_HoangTruong</t>
  </si>
  <si>
    <t>STT_08872_HoangHoa</t>
  </si>
  <si>
    <t>STT_08875_DongTinh</t>
  </si>
  <si>
    <t>STT_08878_KimLong</t>
  </si>
  <si>
    <t>STT_08881_HuongDao</t>
  </si>
  <si>
    <t>STT_08884_DaoTu</t>
  </si>
  <si>
    <t>STT_08887_AnHoa</t>
  </si>
  <si>
    <t>STT_08890_ThanhVan</t>
  </si>
  <si>
    <t>STT_08893_DuyPhien</t>
  </si>
  <si>
    <t>STT_08896_HoangDan</t>
  </si>
  <si>
    <t>STT_08899_HoangLau</t>
  </si>
  <si>
    <t>STT_08902_VanHoi</t>
  </si>
  <si>
    <t>STT_08905_HopThinh</t>
  </si>
  <si>
    <t>STT_06763_CuaOng</t>
  </si>
  <si>
    <t>STT_06766_CamSon</t>
  </si>
  <si>
    <t>STT_06769_CamDong</t>
  </si>
  <si>
    <t>STT_06772_CamPhu</t>
  </si>
  <si>
    <t>STT_06775_CamTay</t>
  </si>
  <si>
    <t>STT_06778_QuangHanh</t>
  </si>
  <si>
    <t>STT_06781_CamThinh</t>
  </si>
  <si>
    <t>STT_06784_CamThuy</t>
  </si>
  <si>
    <t>STT_06787_CamThach</t>
  </si>
  <si>
    <t>STT_06790_CamThanh</t>
  </si>
  <si>
    <t>STT_06793_CamTrung</t>
  </si>
  <si>
    <t>STT_06796_CamBinh</t>
  </si>
  <si>
    <t>STT_06799_CongHoa</t>
  </si>
  <si>
    <t>STT_06802_CamHai</t>
  </si>
  <si>
    <t>STT_06805_DuongHuy</t>
  </si>
  <si>
    <t>STT_31021_ThuanHoa</t>
  </si>
  <si>
    <t>STT_31024_DongHoa</t>
  </si>
  <si>
    <t>STT_31030_DongThanh</t>
  </si>
  <si>
    <t>STT_31031_TanThanh</t>
  </si>
  <si>
    <t>STT_31033_DongHung</t>
  </si>
  <si>
    <t>STT_31036_DongHungA</t>
  </si>
  <si>
    <t>STT_31039_DongHungB</t>
  </si>
  <si>
    <t>STT_31042_VanKhanh</t>
  </si>
  <si>
    <t>STT_31045_VanKhanhDong</t>
  </si>
  <si>
    <t>STT_31048_VanKhanhTay</t>
  </si>
  <si>
    <t>STT_12145_Phung</t>
  </si>
  <si>
    <t>STT_12148_BacSon</t>
  </si>
  <si>
    <t>STT_12151_BaiSay</t>
  </si>
  <si>
    <t>STT_12154_DaoDuong</t>
  </si>
  <si>
    <t>STT_12157_TanPhuc</t>
  </si>
  <si>
    <t>STT_12160_VanDu</t>
  </si>
  <si>
    <t>STT_12163_QuangVinh</t>
  </si>
  <si>
    <t>STT_12166_XuanTruc</t>
  </si>
  <si>
    <t>STT_12169_HoangHoaTham</t>
  </si>
  <si>
    <t>STT_12172_QuangLang</t>
  </si>
  <si>
    <t>STT_12175_VanNhue</t>
  </si>
  <si>
    <t>STT_12178_DangLe</t>
  </si>
  <si>
    <t>STT_12181_CamNinh</t>
  </si>
  <si>
    <t>STT_12184_NguyenTrai</t>
  </si>
  <si>
    <t>STT_12187_DaLoc</t>
  </si>
  <si>
    <t>STT_12190_HoTungMau</t>
  </si>
  <si>
    <t>STT_12193_TienPhong</t>
  </si>
  <si>
    <t>STT_12196_HongVan</t>
  </si>
  <si>
    <t>STT_12199_HongQuang</t>
  </si>
  <si>
    <t>STT_12202_HaLe</t>
  </si>
  <si>
    <t>STT_21856_CatSon</t>
  </si>
  <si>
    <t>STT_21859_CatMinh</t>
  </si>
  <si>
    <t>STT_21862_CatKhanh</t>
  </si>
  <si>
    <t>STT_21865_CatTai</t>
  </si>
  <si>
    <t>STT_21868_CatLam</t>
  </si>
  <si>
    <t>STT_21871_CatHanh</t>
  </si>
  <si>
    <t>STT_21874_CatThanh</t>
  </si>
  <si>
    <t>STT_21877_CatTrinh</t>
  </si>
  <si>
    <t>STT_21880_CatHai</t>
  </si>
  <si>
    <t>STT_21883_CatHiep</t>
  </si>
  <si>
    <t>STT_21886_CatNhon</t>
  </si>
  <si>
    <t>STT_21889_CatHung</t>
  </si>
  <si>
    <t>STT_21892_CatTuong</t>
  </si>
  <si>
    <t>STT_21895_CatTan</t>
  </si>
  <si>
    <t>STT_21898_CatTien</t>
  </si>
  <si>
    <t>STT_21901_CatThang</t>
  </si>
  <si>
    <t>STT_21904_CatChanh</t>
  </si>
  <si>
    <t>STT_25555_SuoiDa</t>
  </si>
  <si>
    <t>STT_25558_Phan</t>
  </si>
  <si>
    <t>STT_25561_PhuocNinh</t>
  </si>
  <si>
    <t>STT_25564_PhuocMinh</t>
  </si>
  <si>
    <t>STT_25567_BauNang</t>
  </si>
  <si>
    <t>STT_25570_ChaLa</t>
  </si>
  <si>
    <t>STT_25573_CauKhoi</t>
  </si>
  <si>
    <t>STT_25576_BenCui</t>
  </si>
  <si>
    <t>STT_25579_LocNinh</t>
  </si>
  <si>
    <t>STT_25582_TruongMit</t>
  </si>
  <si>
    <t>STT_20401_TanAn</t>
  </si>
  <si>
    <t>STT_20404_CamPho</t>
  </si>
  <si>
    <t>STT_20407_ThanhHa</t>
  </si>
  <si>
    <t>STT_20410_SonPhong</t>
  </si>
  <si>
    <t>STT_20413_CamChau</t>
  </si>
  <si>
    <t>STT_20416_CuaDai</t>
  </si>
  <si>
    <t>STT_20419_CamAn</t>
  </si>
  <si>
    <t>STT_20422_CamHa</t>
  </si>
  <si>
    <t>STT_20425_CamKim</t>
  </si>
  <si>
    <t>STT_20428_CamNam</t>
  </si>
  <si>
    <t>STT_20431_CamThanh</t>
  </si>
  <si>
    <t>STT_20434_TanHiep</t>
  </si>
  <si>
    <t>STT_05857_BacSon</t>
  </si>
  <si>
    <t>STT_05860_BaHang</t>
  </si>
  <si>
    <t>STT_05863_PhucTan</t>
  </si>
  <si>
    <t>STT_05866_PhucThuan</t>
  </si>
  <si>
    <t>STT_05869_HongTien</t>
  </si>
  <si>
    <t>STT_05872_MinhDuc</t>
  </si>
  <si>
    <t>STT_05875_DacSon</t>
  </si>
  <si>
    <t>STT_05878_DongTien</t>
  </si>
  <si>
    <t>STT_05881_ThanhCong</t>
  </si>
  <si>
    <t>STT_05884_TienPhong</t>
  </si>
  <si>
    <t>STT_05887_VanPhai</t>
  </si>
  <si>
    <t>STT_05890_NamTien</t>
  </si>
  <si>
    <t>STT_05893_TanHuong</t>
  </si>
  <si>
    <t>STT_05896_DongCao</t>
  </si>
  <si>
    <t>STT_05899_TrungThanh</t>
  </si>
  <si>
    <t>STT_05902_TanPhu</t>
  </si>
  <si>
    <t>STT_05905_ThuanThanh</t>
  </si>
  <si>
    <t>STT_08911_HopChau</t>
  </si>
  <si>
    <t>STT_08914_DaoTru</t>
  </si>
  <si>
    <t>STT_08917_YenDuong</t>
  </si>
  <si>
    <t>STT_08920_BoLy</t>
  </si>
  <si>
    <t>STT_08923_DaiDinh</t>
  </si>
  <si>
    <t>STT_08926_TamQuan</t>
  </si>
  <si>
    <t>STT_08929_HoSon</t>
  </si>
  <si>
    <t>STT_08932_MinhQuang</t>
  </si>
  <si>
    <t>STT_09718_VanHa</t>
  </si>
  <si>
    <t>STT_09721_VanPhuc</t>
  </si>
  <si>
    <t>STT_09724_VanNam</t>
  </si>
  <si>
    <t>STT_09727_XuanDinh</t>
  </si>
  <si>
    <t>STT_09733_SenPhuong</t>
  </si>
  <si>
    <t>STT_09739_VongXuyen</t>
  </si>
  <si>
    <t>STT_09742_ThoLoc</t>
  </si>
  <si>
    <t>STT_09745_LongXuyen</t>
  </si>
  <si>
    <t>STT_09748_ThuongCoc</t>
  </si>
  <si>
    <t>STT_09751_HatMon</t>
  </si>
  <si>
    <t>STT_09754_TichGiang</t>
  </si>
  <si>
    <t>STT_09757_ThanhDa</t>
  </si>
  <si>
    <t>STT_09760_TrachMyLoc</t>
  </si>
  <si>
    <t>STT_09763_PhucHoa</t>
  </si>
  <si>
    <t>STT_09766_NgocTao</t>
  </si>
  <si>
    <t>STT_09769_PhungThuong</t>
  </si>
  <si>
    <t>STT_09772_TamThuan</t>
  </si>
  <si>
    <t>STT_09775_TamHiep</t>
  </si>
  <si>
    <t>STT_09778_HiepThuan</t>
  </si>
  <si>
    <t>STT_09781_LienHiep</t>
  </si>
  <si>
    <t>STT_24121_TanHoa</t>
  </si>
  <si>
    <t>STT_24124_TanAn</t>
  </si>
  <si>
    <t>STT_24127_ThongNhat</t>
  </si>
  <si>
    <t>STT_24130_ThanhNhat</t>
  </si>
  <si>
    <t>STT_24133_ThangLoi</t>
  </si>
  <si>
    <t>STT_24136_TanLoi</t>
  </si>
  <si>
    <t>STT_24139_ThanhCong</t>
  </si>
  <si>
    <t>STT_24142_TanThanh</t>
  </si>
  <si>
    <t>STT_24145_TanTien</t>
  </si>
  <si>
    <t>STT_24148_TuAn</t>
  </si>
  <si>
    <t>STT_24151_EaTam</t>
  </si>
  <si>
    <t>STT_24154_KhanhXuan</t>
  </si>
  <si>
    <t>STT_24157_HoaThuan</t>
  </si>
  <si>
    <t>STT_24160_CuEBur</t>
  </si>
  <si>
    <t>STT_24163_EaTu</t>
  </si>
  <si>
    <t>STT_24166_HoaThang</t>
  </si>
  <si>
    <t>STT_24169_EaKao</t>
  </si>
  <si>
    <t>STT_24172_HoaPhu</t>
  </si>
  <si>
    <t>STT_24175_HoaKhanh</t>
  </si>
  <si>
    <t>STT_24178_HoaXuan</t>
  </si>
  <si>
    <t>STT_23482_DakKoi</t>
  </si>
  <si>
    <t>STT_23485_DakToLung</t>
  </si>
  <si>
    <t>STT_23488_DakRuong</t>
  </si>
  <si>
    <t>STT_23491_DakPne</t>
  </si>
  <si>
    <t>STT_23494_DakToRe</t>
  </si>
  <si>
    <t>STT_23497_TanLap</t>
  </si>
  <si>
    <t>STT_29962_ThuongThoiHauA</t>
  </si>
  <si>
    <t>STT_29971_ThuongThoiTien</t>
  </si>
  <si>
    <t>STT_29974_ThuongPhuoc2</t>
  </si>
  <si>
    <t>STT_29977_ThuongLac</t>
  </si>
  <si>
    <t>STT_29980_LongKhanhA</t>
  </si>
  <si>
    <t>STT_29983_LongKhanhB</t>
  </si>
  <si>
    <t>STT_29992_LongThuan</t>
  </si>
  <si>
    <t>STT_29995_PhuThuanB</t>
  </si>
  <si>
    <t>STT_29998_PhuThuanA</t>
  </si>
  <si>
    <t>STT_07816_ThanhVan</t>
  </si>
  <si>
    <t>STT_07819_HoangLuong</t>
  </si>
  <si>
    <t>STT_07822_HoangVan</t>
  </si>
  <si>
    <t>STT_07825_HoangThanh</t>
  </si>
  <si>
    <t>STT_07828_HoangAn</t>
  </si>
  <si>
    <t>STT_07831_NgocSon</t>
  </si>
  <si>
    <t>STT_07834_ThaiSon</t>
  </si>
  <si>
    <t>STT_07837_HoaSon</t>
  </si>
  <si>
    <t>STT_07840_Thang</t>
  </si>
  <si>
    <t>STT_07843_QuangMinh</t>
  </si>
  <si>
    <t>STT_07846_LuongPhong</t>
  </si>
  <si>
    <t>STT_07849_HungSon</t>
  </si>
  <si>
    <t>STT_07852_DaiThanh</t>
  </si>
  <si>
    <t>STT_07855_ThuongThang</t>
  </si>
  <si>
    <t>STT_07858_HopThinh</t>
  </si>
  <si>
    <t>STT_07861_DanhThang</t>
  </si>
  <si>
    <t>STT_07864_MaiTrung</t>
  </si>
  <si>
    <t>STT_07867_DoanBai</t>
  </si>
  <si>
    <t>STT_07870_BacLy</t>
  </si>
  <si>
    <t>STT_07873_XuanCam</t>
  </si>
  <si>
    <t>STT_07876_HuongLam</t>
  </si>
  <si>
    <t>STT_07879_DongLo</t>
  </si>
  <si>
    <t>STT_07882_ChauMinh</t>
  </si>
  <si>
    <t>STT_07885_MaiDinh</t>
  </si>
  <si>
    <t>STT_11242_ThanhTung</t>
  </si>
  <si>
    <t>STT_11245_PhamKha</t>
  </si>
  <si>
    <t>STT_11248_NgoQuyen</t>
  </si>
  <si>
    <t>STT_11251_DoanTung</t>
  </si>
  <si>
    <t>STT_11254_HongQuang</t>
  </si>
  <si>
    <t>STT_11257_TanTrao</t>
  </si>
  <si>
    <t>STT_11260_LamSon</t>
  </si>
  <si>
    <t>STT_11263_DoanKet</t>
  </si>
  <si>
    <t>STT_11266_LeHong</t>
  </si>
  <si>
    <t>STT_11269_TuCuong</t>
  </si>
  <si>
    <t>STT_11275_NguHung</t>
  </si>
  <si>
    <t>STT_11278_CaoThang</t>
  </si>
  <si>
    <t>STT_11281_ChiLangBac</t>
  </si>
  <si>
    <t>STT_11284_ChiLangNam</t>
  </si>
  <si>
    <t>STT_11287_ThanhGiang</t>
  </si>
  <si>
    <t>STT_11293_HongPhong</t>
  </si>
  <si>
    <t>STT_17392_DienLam</t>
  </si>
  <si>
    <t>STT_17395_DienDoai</t>
  </si>
  <si>
    <t>STT_17398_DienTruong</t>
  </si>
  <si>
    <t>STT_17401_DienYen</t>
  </si>
  <si>
    <t>STT_17404_DienHoang</t>
  </si>
  <si>
    <t>STT_17407_DienHung</t>
  </si>
  <si>
    <t>STT_17410_DienMy</t>
  </si>
  <si>
    <t>STT_17413_DienHong</t>
  </si>
  <si>
    <t>STT_17416_DienPhong</t>
  </si>
  <si>
    <t>STT_17419_DienHai</t>
  </si>
  <si>
    <t>STT_17422_DienThap</t>
  </si>
  <si>
    <t>STT_17425_DienLien</t>
  </si>
  <si>
    <t>STT_17428_DienVan</t>
  </si>
  <si>
    <t>STT_17431_DienKim</t>
  </si>
  <si>
    <t>STT_17434_DienKy</t>
  </si>
  <si>
    <t>STT_17437_DienXuan</t>
  </si>
  <si>
    <t>STT_17440_DienThai</t>
  </si>
  <si>
    <t>STT_17443_DienDong</t>
  </si>
  <si>
    <t>STT_17446_DienBich</t>
  </si>
  <si>
    <t>STT_17449_DienHanh</t>
  </si>
  <si>
    <t>STT_17452_DienNgoc</t>
  </si>
  <si>
    <t>STT_17455_DienQuang</t>
  </si>
  <si>
    <t>STT_17458_DienNguyen</t>
  </si>
  <si>
    <t>STT_17461_DienHoa</t>
  </si>
  <si>
    <t>STT_17464_DienThanh</t>
  </si>
  <si>
    <t>STT_17467_DienPhuc</t>
  </si>
  <si>
    <t>STT_17476_DienCat</t>
  </si>
  <si>
    <t>STT_17479_DienThinh</t>
  </si>
  <si>
    <t>STT_17482_DienTan</t>
  </si>
  <si>
    <t>STT_17485_MinhChau</t>
  </si>
  <si>
    <t>STT_17488_DienTho</t>
  </si>
  <si>
    <t>STT_17491_DienLoi</t>
  </si>
  <si>
    <t>STT_17494_DienLoc</t>
  </si>
  <si>
    <t>STT_17497_DienTrung</t>
  </si>
  <si>
    <t>STT_17500_DienAn</t>
  </si>
  <si>
    <t>STT_17503_DienPhu</t>
  </si>
  <si>
    <t>STT_12394_MinhTan</t>
  </si>
  <si>
    <t>STT_12397_PhanSaoNam</t>
  </si>
  <si>
    <t>STT_12400_QuangHung</t>
  </si>
  <si>
    <t>STT_12403_MinhHoang</t>
  </si>
  <si>
    <t>STT_12406_DoanDao</t>
  </si>
  <si>
    <t>STT_12409_TongPhan</t>
  </si>
  <si>
    <t>STT_12412_DinhCao</t>
  </si>
  <si>
    <t>STT_12415_NhatQuang</t>
  </si>
  <si>
    <t>STT_12418_TienTien</t>
  </si>
  <si>
    <t>STT_12421_TamDa</t>
  </si>
  <si>
    <t>STT_12424_MinhTien</t>
  </si>
  <si>
    <t>STT_12427_NguyenHoa</t>
  </si>
  <si>
    <t>STT_12430_TongTran</t>
  </si>
  <si>
    <t>STT_15667_ThoSon</t>
  </si>
  <si>
    <t>STT_15670_ThoBinh</t>
  </si>
  <si>
    <t>STT_15673_ThoTien</t>
  </si>
  <si>
    <t>STT_15676_HopLy</t>
  </si>
  <si>
    <t>STT_15679_HopTien</t>
  </si>
  <si>
    <t>STT_15682_HopThanh</t>
  </si>
  <si>
    <t>STT_15685_TrieuThanh</t>
  </si>
  <si>
    <t>STT_15688_HopThang</t>
  </si>
  <si>
    <t>STT_15691_MinhSon</t>
  </si>
  <si>
    <t>STT_15700_DanLuc</t>
  </si>
  <si>
    <t>STT_15703_DanLy</t>
  </si>
  <si>
    <t>STT_15706_DanQuyen</t>
  </si>
  <si>
    <t>STT_15709_AnNong</t>
  </si>
  <si>
    <t>STT_15712_VanSon</t>
  </si>
  <si>
    <t>STT_15715_ThaiHoa</t>
  </si>
  <si>
    <t>STT_15718_Nua</t>
  </si>
  <si>
    <t>STT_15721_DongLoi</t>
  </si>
  <si>
    <t>STT_15724_DongTien</t>
  </si>
  <si>
    <t>STT_15727_DongThang</t>
  </si>
  <si>
    <t>STT_15730_TienNong</t>
  </si>
  <si>
    <t>STT_15733_KhuyenNong</t>
  </si>
  <si>
    <t>STT_15736_XuanThinh</t>
  </si>
  <si>
    <t>STT_15739_XuanLoc</t>
  </si>
  <si>
    <t>STT_15742_ThoDan</t>
  </si>
  <si>
    <t>STT_15745_XuanTho</t>
  </si>
  <si>
    <t>STT_15748_ThoTan</t>
  </si>
  <si>
    <t>STT_15751_ThoNgoc</t>
  </si>
  <si>
    <t>STT_15754_ThoCuong</t>
  </si>
  <si>
    <t>STT_15757_ThoPhu</t>
  </si>
  <si>
    <t>STT_15760_ThoVuc</t>
  </si>
  <si>
    <t>STT_15763_ThoThe</t>
  </si>
  <si>
    <t>STT_15766_NongTruong</t>
  </si>
  <si>
    <t>STT_15769_BinhSon</t>
  </si>
  <si>
    <t>STT_11632_BatTrang</t>
  </si>
  <si>
    <t>STT_11635_TruongTho</t>
  </si>
  <si>
    <t>STT_11638_TruongThanh</t>
  </si>
  <si>
    <t>STT_11641_AnTien</t>
  </si>
  <si>
    <t>STT_11644_QuangHung</t>
  </si>
  <si>
    <t>STT_11647_QuangTrung</t>
  </si>
  <si>
    <t>STT_11650_QuocTuan</t>
  </si>
  <si>
    <t>STT_11653_AnThang</t>
  </si>
  <si>
    <t>STT_11656_TruongSon</t>
  </si>
  <si>
    <t>STT_11659_TanDan</t>
  </si>
  <si>
    <t>STT_11662_ThaiSon</t>
  </si>
  <si>
    <t>STT_11665_TanVien</t>
  </si>
  <si>
    <t>STT_11668_MyDuc</t>
  </si>
  <si>
    <t>STT_11671_ChienThang</t>
  </si>
  <si>
    <t>STT_11674_AnTho</t>
  </si>
  <si>
    <t>STT_11677_AnThai</t>
  </si>
  <si>
    <t>STT_08936_GiaKhanh</t>
  </si>
  <si>
    <t>STT_08938_TrungMy</t>
  </si>
  <si>
    <t>STT_08944_BaHien</t>
  </si>
  <si>
    <t>STT_08947_ThienKe</t>
  </si>
  <si>
    <t>STT_08950_HuongSon</t>
  </si>
  <si>
    <t>STT_08953_TamHop</t>
  </si>
  <si>
    <t>STT_08956_QuatLuu</t>
  </si>
  <si>
    <t>STT_08959_SonLoi</t>
  </si>
  <si>
    <t>STT_08962_DaoDuc</t>
  </si>
  <si>
    <t>STT_08965_TanPhong</t>
  </si>
  <si>
    <t>STT_08968_ThanhLang</t>
  </si>
  <si>
    <t>STT_08971_PhuXuan</t>
  </si>
  <si>
    <t>STT_31579_LongHung</t>
  </si>
  <si>
    <t>STT_31588_HungPhu</t>
  </si>
  <si>
    <t>STT_31591_MyHuong</t>
  </si>
  <si>
    <t>STT_31597_MyTu</t>
  </si>
  <si>
    <t>STT_31603_MyPhuoc</t>
  </si>
  <si>
    <t>STT_31606_ThuanHung</t>
  </si>
  <si>
    <t>STT_31609_MyThuan</t>
  </si>
  <si>
    <t>STT_31612_PhuMy</t>
  </si>
  <si>
    <t>STT_26383_AnPhuoc</t>
  </si>
  <si>
    <t>STT_26386_BinhAn</t>
  </si>
  <si>
    <t>STT_26389_LongDuc</t>
  </si>
  <si>
    <t>STT_26392_LocAn</t>
  </si>
  <si>
    <t>STT_26395_BinhSon</t>
  </si>
  <si>
    <t>STT_26398_TamAn</t>
  </si>
  <si>
    <t>STT_26401_CamDuong</t>
  </si>
  <si>
    <t>STT_26404_LongAn</t>
  </si>
  <si>
    <t>STT_26410_BauCan</t>
  </si>
  <si>
    <t>STT_26413_LongPhuoc</t>
  </si>
  <si>
    <t>STT_26416_PhuocBinh</t>
  </si>
  <si>
    <t>STT_26419_TanHiep</t>
  </si>
  <si>
    <t>STT_26422_PhuocThai</t>
  </si>
  <si>
    <t>STT_10120_CuKhe</t>
  </si>
  <si>
    <t>STT_10126_BichHoa</t>
  </si>
  <si>
    <t>STT_10129_MyHung</t>
  </si>
  <si>
    <t>STT_10132_CaoVien</t>
  </si>
  <si>
    <t>STT_10135_BinhMinh</t>
  </si>
  <si>
    <t>STT_10138_TamHung</t>
  </si>
  <si>
    <t>STT_10141_ThanhCao</t>
  </si>
  <si>
    <t>STT_10144_ThanhThuy</t>
  </si>
  <si>
    <t>STT_10147_ThanhMai</t>
  </si>
  <si>
    <t>STT_10150_ThanhVan</t>
  </si>
  <si>
    <t>STT_10153_DoDong</t>
  </si>
  <si>
    <t>STT_10156_KimAn</t>
  </si>
  <si>
    <t>STT_10159_KimThu</t>
  </si>
  <si>
    <t>STT_10162_PhuongTrung</t>
  </si>
  <si>
    <t>STT_10165_TanUoc</t>
  </si>
  <si>
    <t>STT_10168_DanHoa</t>
  </si>
  <si>
    <t>STT_10171_LienChau</t>
  </si>
  <si>
    <t>STT_10174_CaoDuong</t>
  </si>
  <si>
    <t>STT_10177_XuanDuong</t>
  </si>
  <si>
    <t>STT_10180_HongDuong</t>
  </si>
  <si>
    <t>STT_26302_GiaTan2</t>
  </si>
  <si>
    <t>STT_26305_GiaTan3</t>
  </si>
  <si>
    <t>STT_26308_GiaKiem</t>
  </si>
  <si>
    <t>STT_26311_QuangTrung</t>
  </si>
  <si>
    <t>STT_26314_BauHam2</t>
  </si>
  <si>
    <t>STT_26317_HungLoc</t>
  </si>
  <si>
    <t>STT_26320_Lo25</t>
  </si>
  <si>
    <t>STT_26323_XuanThien</t>
  </si>
  <si>
    <t>STT_26326_DauGiay</t>
  </si>
  <si>
    <t>STT_06256_TranNinh</t>
  </si>
  <si>
    <t>STT_06268_LienHoi</t>
  </si>
  <si>
    <t>STT_06274_HoaBinh</t>
  </si>
  <si>
    <t>STT_06277_TuXuyen</t>
  </si>
  <si>
    <t>STT_06280_DiemHe</t>
  </si>
  <si>
    <t>STT_06283_AnSon</t>
  </si>
  <si>
    <t>STT_06286_KhanhKhe</t>
  </si>
  <si>
    <t>STT_06292_LuongNang</t>
  </si>
  <si>
    <t>STT_06295_DongGiap</t>
  </si>
  <si>
    <t>STT_06298_BinhPhuc</t>
  </si>
  <si>
    <t>STT_06301_TrangCac</t>
  </si>
  <si>
    <t>STT_06307_TanDoan</t>
  </si>
  <si>
    <t>STT_06313_TriLe</t>
  </si>
  <si>
    <t>STT_06316_TrangPhai</t>
  </si>
  <si>
    <t>STT_06319_YenPhuc</t>
  </si>
  <si>
    <t>STT_06322_HuuLe</t>
  </si>
  <si>
    <t>STT_00379_BacSon</t>
  </si>
  <si>
    <t>STT_00382_MinhTri</t>
  </si>
  <si>
    <t>STT_00385_HongKy</t>
  </si>
  <si>
    <t>STT_00388_NamSon</t>
  </si>
  <si>
    <t>STT_00391_TrungGia</t>
  </si>
  <si>
    <t>STT_00394_TanHung</t>
  </si>
  <si>
    <t>STT_00397_MinhPhu</t>
  </si>
  <si>
    <t>STT_00400_PhuLinh</t>
  </si>
  <si>
    <t>STT_00403_BacPhu</t>
  </si>
  <si>
    <t>STT_00406_TanMinh</t>
  </si>
  <si>
    <t>STT_00409_QuangTien</t>
  </si>
  <si>
    <t>STT_00412_HienNinh</t>
  </si>
  <si>
    <t>STT_00415_TanDan</t>
  </si>
  <si>
    <t>STT_00418_TienDuoc</t>
  </si>
  <si>
    <t>STT_00421_VietLong</t>
  </si>
  <si>
    <t>STT_00424_XuanGiang</t>
  </si>
  <si>
    <t>STT_00427_MaiDinh</t>
  </si>
  <si>
    <t>STT_00430_DucHoa</t>
  </si>
  <si>
    <t>STT_00433_ThanhXuan</t>
  </si>
  <si>
    <t>STT_00436_DongXuan</t>
  </si>
  <si>
    <t>STT_00439_KimLu</t>
  </si>
  <si>
    <t>STT_00442_PhuCuong</t>
  </si>
  <si>
    <t>STT_00445_PhuMinh</t>
  </si>
  <si>
    <t>STT_00448_PhuLo</t>
  </si>
  <si>
    <t>STT_00451_XuanThu</t>
  </si>
  <si>
    <t>STT_02950_TanTien</t>
  </si>
  <si>
    <t>STT_02953_NghiaDo</t>
  </si>
  <si>
    <t>STT_02956_VinhYen</t>
  </si>
  <si>
    <t>STT_02959_DienQuan</t>
  </si>
  <si>
    <t>STT_02962_XuanHoa</t>
  </si>
  <si>
    <t>STT_02965_TanDuong</t>
  </si>
  <si>
    <t>STT_02968_ThuongHa</t>
  </si>
  <si>
    <t>STT_02971_KimSon</t>
  </si>
  <si>
    <t>STT_02974_CamCon</t>
  </si>
  <si>
    <t>STT_02977_MinhTan</t>
  </si>
  <si>
    <t>STT_02980_XuanThuong</t>
  </si>
  <si>
    <t>STT_02983_VietTien</t>
  </si>
  <si>
    <t>STT_02986_YenSon</t>
  </si>
  <si>
    <t>STT_02989_BaoHa</t>
  </si>
  <si>
    <t>STT_02992_LuongSon</t>
  </si>
  <si>
    <t>STT_02998_PhucKhanh</t>
  </si>
  <si>
    <t>STT_07762_VietTien</t>
  </si>
  <si>
    <t>STT_07765_NghiaTrung</t>
  </si>
  <si>
    <t>STT_07768_MinhDuc</t>
  </si>
  <si>
    <t>STT_07771_HuongMai</t>
  </si>
  <si>
    <t>STT_07774_TuLan</t>
  </si>
  <si>
    <t>STT_07777_BichDong</t>
  </si>
  <si>
    <t>STT_07780_TrungSon</t>
  </si>
  <si>
    <t>STT_07783_HongThai</t>
  </si>
  <si>
    <t>STT_07786_TienSon</t>
  </si>
  <si>
    <t>STT_07789_TangTien</t>
  </si>
  <si>
    <t>STT_07792_QuangMinh</t>
  </si>
  <si>
    <t>STT_07795_Nenh</t>
  </si>
  <si>
    <t>STT_07798_NinhSon</t>
  </si>
  <si>
    <t>STT_07801_VanTrung</t>
  </si>
  <si>
    <t>STT_07804_VanHa</t>
  </si>
  <si>
    <t>STT_07807_QuangChau</t>
  </si>
  <si>
    <t>STT_22873_PhuocSon</t>
  </si>
  <si>
    <t>STT_22876_PhuocThai</t>
  </si>
  <si>
    <t>STT_22879_PhuocHau</t>
  </si>
  <si>
    <t>STT_22882_PhuocThuan</t>
  </si>
  <si>
    <t>STT_22888_AnHai</t>
  </si>
  <si>
    <t>STT_22891_PhuocHuu</t>
  </si>
  <si>
    <t>STT_22894_PhuocHai</t>
  </si>
  <si>
    <t>STT_22912_PhuocVinh</t>
  </si>
  <si>
    <t>STT_16564_HaiChau</t>
  </si>
  <si>
    <t>STT_16567_ThanhThuy</t>
  </si>
  <si>
    <t>STT_16570_ThanhSon</t>
  </si>
  <si>
    <t>STT_16576_HaiNinh</t>
  </si>
  <si>
    <t>STT_16579_AnhSon</t>
  </si>
  <si>
    <t>STT_16582_NgocLinh</t>
  </si>
  <si>
    <t>STT_16585_HaiAn</t>
  </si>
  <si>
    <t>STT_16591_CacSon</t>
  </si>
  <si>
    <t>STT_16594_TanDan</t>
  </si>
  <si>
    <t>STT_16597_HaiLinh</t>
  </si>
  <si>
    <t>STT_16600_DinhHai</t>
  </si>
  <si>
    <t>STT_16603_PhuSon</t>
  </si>
  <si>
    <t>STT_16606_NinhHai</t>
  </si>
  <si>
    <t>STT_16609_NguyenBinh</t>
  </si>
  <si>
    <t>STT_16612_HaiNhan</t>
  </si>
  <si>
    <t>STT_16618_BinhMinh</t>
  </si>
  <si>
    <t>STT_16621_HaiThanh</t>
  </si>
  <si>
    <t>STT_16624_PhuLam</t>
  </si>
  <si>
    <t>STT_16627_XuanLam</t>
  </si>
  <si>
    <t>STT_16630_TrucLam</t>
  </si>
  <si>
    <t>STT_16633_HaiBinh</t>
  </si>
  <si>
    <t>STT_16636_TanTruong</t>
  </si>
  <si>
    <t>STT_16639_TungLam</t>
  </si>
  <si>
    <t>STT_16642_TinhHai</t>
  </si>
  <si>
    <t>STT_16645_MaiLam</t>
  </si>
  <si>
    <t>STT_16648_TruongLam</t>
  </si>
  <si>
    <t>STT_16651_HaiYen</t>
  </si>
  <si>
    <t>STT_16654_HaiThuong</t>
  </si>
  <si>
    <t>STT_16657_NghiSon</t>
  </si>
  <si>
    <t>STT_16660_HaiHa</t>
  </si>
  <si>
    <t>STT_04588_TucDan</t>
  </si>
  <si>
    <t>STT_04591_PaLau</t>
  </si>
  <si>
    <t>STT_04594_XaHo</t>
  </si>
  <si>
    <t>STT_04597_PhinhHo</t>
  </si>
  <si>
    <t>STT_04600_TramTau</t>
  </si>
  <si>
    <t>STT_04603_TaSiLang</t>
  </si>
  <si>
    <t>STT_04606_PaHu</t>
  </si>
  <si>
    <t>STT_04609_LangNhi</t>
  </si>
  <si>
    <t>STT_04612_BanCong</t>
  </si>
  <si>
    <t>STT_04615_BanMu</t>
  </si>
  <si>
    <t>STT_04618_HatLiu</t>
  </si>
  <si>
    <t>STT_14704_KhanhThuong</t>
  </si>
  <si>
    <t>STT_14707_KhanhDuong</t>
  </si>
  <si>
    <t>STT_14710_MaiSon</t>
  </si>
  <si>
    <t>STT_14713_KhanhThinh</t>
  </si>
  <si>
    <t>STT_14719_YenPhong</t>
  </si>
  <si>
    <t>STT_14722_YenHoa</t>
  </si>
  <si>
    <t>STT_14725_YenThang</t>
  </si>
  <si>
    <t>STT_14728_YenTu</t>
  </si>
  <si>
    <t>STT_14731_YenHung</t>
  </si>
  <si>
    <t>STT_14734_YenThanh</t>
  </si>
  <si>
    <t>STT_14737_YenNhan</t>
  </si>
  <si>
    <t>STT_14740_YenMy</t>
  </si>
  <si>
    <t>STT_14743_YenMac</t>
  </si>
  <si>
    <t>STT_14746_YenDong</t>
  </si>
  <si>
    <t>STT_14749_YenThai</t>
  </si>
  <si>
    <t>STT_14752_YenLam</t>
  </si>
  <si>
    <t>STT_00457_XuanNon</t>
  </si>
  <si>
    <t>STT_00460_ThuyLam</t>
  </si>
  <si>
    <t>STT_00463_BacHong</t>
  </si>
  <si>
    <t>STT_00466_NguyenKhe</t>
  </si>
  <si>
    <t>STT_00469_NamHong</t>
  </si>
  <si>
    <t>STT_00472_TienDuong</t>
  </si>
  <si>
    <t>STT_00475_VanHa</t>
  </si>
  <si>
    <t>STT_00478_UyNo</t>
  </si>
  <si>
    <t>STT_00481_VanNoi</t>
  </si>
  <si>
    <t>STT_00484_LienHa</t>
  </si>
  <si>
    <t>STT_00487_VietHung</t>
  </si>
  <si>
    <t>STT_00490_KimNo</t>
  </si>
  <si>
    <t>STT_00493_KimChung</t>
  </si>
  <si>
    <t>STT_00496_DucTu</t>
  </si>
  <si>
    <t>STT_00499_DaiMach</t>
  </si>
  <si>
    <t>STT_00502_VinhNgoc</t>
  </si>
  <si>
    <t>STT_00505_CoLoa</t>
  </si>
  <si>
    <t>STT_00508_HaiBoi</t>
  </si>
  <si>
    <t>STT_00511_XuanCanh</t>
  </si>
  <si>
    <t>STT_00514_VongLa</t>
  </si>
  <si>
    <t>STT_00517_TamXa</t>
  </si>
  <si>
    <t>STT_00520_MaiLam</t>
  </si>
  <si>
    <t>STT_00523_DongHoi</t>
  </si>
  <si>
    <t>STT_20047_HongVan</t>
  </si>
  <si>
    <t>STT_20050_HongHa</t>
  </si>
  <si>
    <t>STT_20053_HongKim</t>
  </si>
  <si>
    <t>STT_20056_TrungSon</t>
  </si>
  <si>
    <t>STT_20059_HuongNguyen</t>
  </si>
  <si>
    <t>STT_20065_HongBac</t>
  </si>
  <si>
    <t>STT_20068_ANgo</t>
  </si>
  <si>
    <t>STT_20071_SonThuy</t>
  </si>
  <si>
    <t>STT_20074_PhuVinh</t>
  </si>
  <si>
    <t>STT_20080_HuongPhong</t>
  </si>
  <si>
    <t>STT_20083_QuangNham</t>
  </si>
  <si>
    <t>STT_20086_HongThuong</t>
  </si>
  <si>
    <t>STT_20089_HongThai</t>
  </si>
  <si>
    <t>STT_20095_ARoang</t>
  </si>
  <si>
    <t>STT_20098_DongSon</t>
  </si>
  <si>
    <t>STT_20101_LamDot</t>
  </si>
  <si>
    <t>STT_20104_HongThuy</t>
  </si>
  <si>
    <t>STT_27787_1</t>
  </si>
  <si>
    <t>STT_27790_ThanhTri</t>
  </si>
  <si>
    <t>STT_27793_BinhHiep</t>
  </si>
  <si>
    <t>STT_27799_BinhTan</t>
  </si>
  <si>
    <t>STT_27805_TuyenThanh</t>
  </si>
  <si>
    <t>STT_27806_3</t>
  </si>
  <si>
    <t>STT_27817_ThanhHung</t>
  </si>
  <si>
    <t>STT_29776_TanThanh</t>
  </si>
  <si>
    <t>STT_29779_ThanhTrung</t>
  </si>
  <si>
    <t>STT_29782_TanAnThanh</t>
  </si>
  <si>
    <t>STT_29785_TanLuoc</t>
  </si>
  <si>
    <t>STT_29788_NguyenVanThanh</t>
  </si>
  <si>
    <t>STT_29791_ThanhLoi</t>
  </si>
  <si>
    <t>STT_29794_MyThuan</t>
  </si>
  <si>
    <t>STT_29797_TanBinh</t>
  </si>
  <si>
    <t>STT_29800_TanQuoi</t>
  </si>
  <si>
    <t>STT_21955_DieuTri</t>
  </si>
  <si>
    <t>STT_21958_PhuocThang</t>
  </si>
  <si>
    <t>STT_21961_PhuocHung</t>
  </si>
  <si>
    <t>STT_21964_PhuocQuang</t>
  </si>
  <si>
    <t>STT_21967_PhuocHoa</t>
  </si>
  <si>
    <t>STT_21970_PhuocSon</t>
  </si>
  <si>
    <t>STT_21973_PhuocHiep</t>
  </si>
  <si>
    <t>STT_21976_PhuocLoc</t>
  </si>
  <si>
    <t>STT_21979_PhuocNghia</t>
  </si>
  <si>
    <t>STT_21982_PhuocThuan</t>
  </si>
  <si>
    <t>STT_21985_PhuocAn</t>
  </si>
  <si>
    <t>STT_21988_PhuocThanh</t>
  </si>
  <si>
    <t>STT_23767_IaSao</t>
  </si>
  <si>
    <t>STT_23768_IaYok</t>
  </si>
  <si>
    <t>STT_23770_IaHrung</t>
  </si>
  <si>
    <t>STT_23771_IaBa</t>
  </si>
  <si>
    <t>STT_23773_IaKhai</t>
  </si>
  <si>
    <t>STT_23776_IaKRai</t>
  </si>
  <si>
    <t>STT_23778_IaGrang</t>
  </si>
  <si>
    <t>STT_23779_IaTo</t>
  </si>
  <si>
    <t>STT_23782_IaO</t>
  </si>
  <si>
    <t>STT_23785_IaDer</t>
  </si>
  <si>
    <t>STT_23788_IaChia</t>
  </si>
  <si>
    <t>STT_23791_IaPech</t>
  </si>
  <si>
    <t>STT_05998_KhanhLong</t>
  </si>
  <si>
    <t>STT_06001_DoanKet</t>
  </si>
  <si>
    <t>STT_06004_QuocKhanh</t>
  </si>
  <si>
    <t>STT_06007_VinhTien</t>
  </si>
  <si>
    <t>STT_06010_CaoMinh</t>
  </si>
  <si>
    <t>STT_06013_ChiMinh</t>
  </si>
  <si>
    <t>STT_06016_TriPhuong</t>
  </si>
  <si>
    <t>STT_06019_TanTien</t>
  </si>
  <si>
    <t>STT_06022_TanYen</t>
  </si>
  <si>
    <t>STT_06025_DoiCan</t>
  </si>
  <si>
    <t>STT_06028_TanMinh</t>
  </si>
  <si>
    <t>STT_06031_KimDong</t>
  </si>
  <si>
    <t>STT_06034_ChiLang</t>
  </si>
  <si>
    <t>STT_06037_TrungThanh</t>
  </si>
  <si>
    <t>STT_06040_DaiDong</t>
  </si>
  <si>
    <t>STT_06043_DaoVien</t>
  </si>
  <si>
    <t>STT_06046_DeTham</t>
  </si>
  <si>
    <t>STT_06049_KhangChien</t>
  </si>
  <si>
    <t>STT_06055_HungSon</t>
  </si>
  <si>
    <t>STT_06058_QuocViet</t>
  </si>
  <si>
    <t>STT_06061_HungViet</t>
  </si>
  <si>
    <t>STT_07682_TanAn</t>
  </si>
  <si>
    <t>STT_07684_LaoHo</t>
  </si>
  <si>
    <t>STT_07690_HuongGian</t>
  </si>
  <si>
    <t>STT_07702_QuynhSon</t>
  </si>
  <si>
    <t>STT_07708_NoiHoang</t>
  </si>
  <si>
    <t>STT_07711_TienPhong</t>
  </si>
  <si>
    <t>STT_07714_XuanPhu</t>
  </si>
  <si>
    <t>STT_07717_TanLieu</t>
  </si>
  <si>
    <t>STT_07720_TriYen</t>
  </si>
  <si>
    <t>STT_07723_LangSon</t>
  </si>
  <si>
    <t>STT_07726_YenLu</t>
  </si>
  <si>
    <t>STT_07729_TienDung</t>
  </si>
  <si>
    <t>STT_07735_DucGiang</t>
  </si>
  <si>
    <t>STT_07738_CanhThuy</t>
  </si>
  <si>
    <t>STT_07741_TuMai</t>
  </si>
  <si>
    <t>STT_07747_DongViet</t>
  </si>
  <si>
    <t>STT_07750_DongPhuc</t>
  </si>
  <si>
    <t>STT_03618_PhucThan</t>
  </si>
  <si>
    <t>STT_03619_MuongThan</t>
  </si>
  <si>
    <t>STT_03625_MuongMit</t>
  </si>
  <si>
    <t>STT_03628_PhaMu</t>
  </si>
  <si>
    <t>STT_03631_MuongCang</t>
  </si>
  <si>
    <t>STT_03632_HuaNa</t>
  </si>
  <si>
    <t>STT_03634_TaHua</t>
  </si>
  <si>
    <t>STT_03637_MuongKim</t>
  </si>
  <si>
    <t>STT_03638_TaMung</t>
  </si>
  <si>
    <t>STT_03640_TaGia</t>
  </si>
  <si>
    <t>STT_03643_KhoenOn</t>
  </si>
  <si>
    <t>STT_04984_DuSang</t>
  </si>
  <si>
    <t>STT_04987_HungSon</t>
  </si>
  <si>
    <t>STT_04990_BinhSon</t>
  </si>
  <si>
    <t>STT_04999_TuSon</t>
  </si>
  <si>
    <t>STT_05005_VinhTien</t>
  </si>
  <si>
    <t>STT_05014_DongBac</t>
  </si>
  <si>
    <t>STT_05017_XuanThuy</t>
  </si>
  <si>
    <t>STT_05026_VinhDong</t>
  </si>
  <si>
    <t>STT_05035_KimLap</t>
  </si>
  <si>
    <t>STT_05038_HopTien</t>
  </si>
  <si>
    <t>STT_05065_KimBoi</t>
  </si>
  <si>
    <t>STT_05068_NamThuong</t>
  </si>
  <si>
    <t>STT_05077_CuoiHa</t>
  </si>
  <si>
    <t>STT_05080_SaoBay</t>
  </si>
  <si>
    <t>STT_05083_MiHoa</t>
  </si>
  <si>
    <t>STT_05086_NuongDam</t>
  </si>
  <si>
    <t>STT_01453_TriPhuong</t>
  </si>
  <si>
    <t>STT_01456_QuangHan</t>
  </si>
  <si>
    <t>STT_01462_XuanNoi</t>
  </si>
  <si>
    <t>STT_01465_QuangTrung</t>
  </si>
  <si>
    <t>STT_01468_QuangVinh</t>
  </si>
  <si>
    <t>STT_01471_CaoChuong</t>
  </si>
  <si>
    <t>STT_01477_TrungKhanh</t>
  </si>
  <si>
    <t>STT_01480_NgocKhe</t>
  </si>
  <si>
    <t>STT_01481_NgocCon</t>
  </si>
  <si>
    <t>STT_01483_PhongNam</t>
  </si>
  <si>
    <t>STT_01489_DinhPhong</t>
  </si>
  <si>
    <t>STT_01495_DamThuy</t>
  </si>
  <si>
    <t>STT_01498_KhamThanh</t>
  </si>
  <si>
    <t>STT_01501_ChiVien</t>
  </si>
  <si>
    <t>STT_01504_LangHieu</t>
  </si>
  <si>
    <t>STT_01507_PhongChau</t>
  </si>
  <si>
    <t>STT_01516_TrungPhuc</t>
  </si>
  <si>
    <t>STT_01519_CaoThang</t>
  </si>
  <si>
    <t>STT_01522_DucHong</t>
  </si>
  <si>
    <t>STT_01525_DoaiDuong</t>
  </si>
  <si>
    <t>STT_02140_VanLang</t>
  </si>
  <si>
    <t>STT_02143_LuongThuong</t>
  </si>
  <si>
    <t>STT_02146_KimHy</t>
  </si>
  <si>
    <t>STT_02152_CuongLoi</t>
  </si>
  <si>
    <t>STT_02155_YenLac</t>
  </si>
  <si>
    <t>STT_02158_KimLu</t>
  </si>
  <si>
    <t>STT_02161_SonThanh</t>
  </si>
  <si>
    <t>STT_02170_VanMinh</t>
  </si>
  <si>
    <t>STT_02173_ConMinh</t>
  </si>
  <si>
    <t>STT_02176_CuLe</t>
  </si>
  <si>
    <t>STT_02179_TranPhu</t>
  </si>
  <si>
    <t>STT_02185_QuangPhong</t>
  </si>
  <si>
    <t>STT_02188_DuongSon</t>
  </si>
  <si>
    <t>STT_02191_XuanDuong</t>
  </si>
  <si>
    <t>STT_02194_DongXa</t>
  </si>
  <si>
    <t>STT_02197_LiemThuy</t>
  </si>
  <si>
    <t>STT_10891_LaiCach</t>
  </si>
  <si>
    <t>STT_10894_CamHung</t>
  </si>
  <si>
    <t>STT_10897_CamHoang</t>
  </si>
  <si>
    <t>STT_10900_CamVan</t>
  </si>
  <si>
    <t>STT_10903_NgocLien</t>
  </si>
  <si>
    <t>STT_10906_ThachLoi</t>
  </si>
  <si>
    <t>STT_10909_CamVu</t>
  </si>
  <si>
    <t>STT_10912_DucChinh</t>
  </si>
  <si>
    <t>STT_10918_DinhSon</t>
  </si>
  <si>
    <t>STT_10924_LuongDien</t>
  </si>
  <si>
    <t>STT_10927_CaoAn</t>
  </si>
  <si>
    <t>STT_10930_TanTruong</t>
  </si>
  <si>
    <t>STT_10933_CamPhuc</t>
  </si>
  <si>
    <t>STT_10936_CamDien</t>
  </si>
  <si>
    <t>STT_10939_CamDong</t>
  </si>
  <si>
    <t>STT_10942_CamDoai</t>
  </si>
  <si>
    <t>STT_27562_TanHiep</t>
  </si>
  <si>
    <t>STT_27565_NhiBinh</t>
  </si>
  <si>
    <t>STT_27568_DongThanh</t>
  </si>
  <si>
    <t>STT_27571_TanThoiNhi</t>
  </si>
  <si>
    <t>STT_27574_ThoiTamThon</t>
  </si>
  <si>
    <t>STT_27577_XuanThoiSon</t>
  </si>
  <si>
    <t>STT_27580_TanXuan</t>
  </si>
  <si>
    <t>STT_27583_XuanThoiDong</t>
  </si>
  <si>
    <t>STT_27586_TrungChanh</t>
  </si>
  <si>
    <t>STT_27589_XuanThoiThuong</t>
  </si>
  <si>
    <t>STT_27592_BaDiem</t>
  </si>
  <si>
    <t>STT_21334_SonMua</t>
  </si>
  <si>
    <t>STT_21335_SonLien</t>
  </si>
  <si>
    <t>STT_21337_SonTan</t>
  </si>
  <si>
    <t>STT_21338_SonMau</t>
  </si>
  <si>
    <t>STT_21340_SonDung</t>
  </si>
  <si>
    <t>STT_21341_SonLong</t>
  </si>
  <si>
    <t>STT_21343_SonTinh</t>
  </si>
  <si>
    <t>STT_21346_SonLap</t>
  </si>
  <si>
    <t>STT_31531_AnLacThon</t>
  </si>
  <si>
    <t>STT_31534_XuanHoa</t>
  </si>
  <si>
    <t>STT_31537_PhongNam</t>
  </si>
  <si>
    <t>STT_31540_AnLacTay</t>
  </si>
  <si>
    <t>STT_31543_TrinhPhu</t>
  </si>
  <si>
    <t>STT_31546_BaTrinh</t>
  </si>
  <si>
    <t>STT_31549_ThoiAnHoi</t>
  </si>
  <si>
    <t>STT_31552_NhonMy</t>
  </si>
  <si>
    <t>STT_31555_KeThanh</t>
  </si>
  <si>
    <t>STT_31558_KeAn</t>
  </si>
  <si>
    <t>STT_31561_DaiHai</t>
  </si>
  <si>
    <t>STT_31564_AnMy</t>
  </si>
  <si>
    <t>STT_11299_HungVuong</t>
  </si>
  <si>
    <t>STT_11302_SoDau</t>
  </si>
  <si>
    <t>STT_11305_ThuongLy</t>
  </si>
  <si>
    <t>STT_11308_HaLy</t>
  </si>
  <si>
    <t>STT_11311_MinhKhai</t>
  </si>
  <si>
    <t>STT_11314_TraiChuoi</t>
  </si>
  <si>
    <t>STT_11320_HoangVanThu</t>
  </si>
  <si>
    <t>STT_11323_PhanBoiChau</t>
  </si>
  <si>
    <t>STT_20195_HoaHiepNam</t>
  </si>
  <si>
    <t>STT_20197_HoaKhanhBac</t>
  </si>
  <si>
    <t>STT_20198_HoaKhanhNam</t>
  </si>
  <si>
    <t>STT_20200_HoaMinh</t>
  </si>
  <si>
    <t>STT_29578_DongPhu</t>
  </si>
  <si>
    <t>STT_29581_BinhHoaPhuoc</t>
  </si>
  <si>
    <t>STT_29584_HoaNinh</t>
  </si>
  <si>
    <t>STT_29587_AnBinh</t>
  </si>
  <si>
    <t>STT_29590_ThanhDuc</t>
  </si>
  <si>
    <t>STT_29593_TanHanh</t>
  </si>
  <si>
    <t>STT_29596_PhuocHau</t>
  </si>
  <si>
    <t>STT_29599_LongPhuoc</t>
  </si>
  <si>
    <t>STT_29602_PhuDuc</t>
  </si>
  <si>
    <t>STT_29605_LocHoa</t>
  </si>
  <si>
    <t>STT_29608_LongAn</t>
  </si>
  <si>
    <t>STT_29611_PhuQuoi</t>
  </si>
  <si>
    <t>STT_29614_ThanhQuoi</t>
  </si>
  <si>
    <t>STT_29617_HoaPhu</t>
  </si>
  <si>
    <t>STT_03487_ChanNua</t>
  </si>
  <si>
    <t>STT_03493_PaTan</t>
  </si>
  <si>
    <t>STT_03496_PhinHo</t>
  </si>
  <si>
    <t>STT_03499_HongThu</t>
  </si>
  <si>
    <t>STT_03505_PhangSoLin</t>
  </si>
  <si>
    <t>STT_03508_MaQuai</t>
  </si>
  <si>
    <t>STT_03509_LungThang</t>
  </si>
  <si>
    <t>STT_03511_TaPhin</t>
  </si>
  <si>
    <t>STT_03514_SaDePhin</t>
  </si>
  <si>
    <t>STT_03517_NamTam</t>
  </si>
  <si>
    <t>STT_03520_TaNgao</t>
  </si>
  <si>
    <t>STT_03523_PuSamCap</t>
  </si>
  <si>
    <t>STT_03526_NamCha</t>
  </si>
  <si>
    <t>STT_03527_PaKhoa</t>
  </si>
  <si>
    <t>STT_03529_LangMo</t>
  </si>
  <si>
    <t>STT_03532_NoongHeo</t>
  </si>
  <si>
    <t>STT_03535_NamMa</t>
  </si>
  <si>
    <t>STT_03538_CanCo</t>
  </si>
  <si>
    <t>STT_03541_TuaSinChai</t>
  </si>
  <si>
    <t>STT_03544_NamCuoi</t>
  </si>
  <si>
    <t>STT_03547_NamHan</t>
  </si>
  <si>
    <t>STT_04834_NanhNghe</t>
  </si>
  <si>
    <t>STT_04840_GiapDat</t>
  </si>
  <si>
    <t>STT_04846_MuongChieng</t>
  </si>
  <si>
    <t>STT_04849_TanPheo</t>
  </si>
  <si>
    <t>STT_04852_DongChum</t>
  </si>
  <si>
    <t>STT_04855_TanMinh</t>
  </si>
  <si>
    <t>STT_04858_DoanKet</t>
  </si>
  <si>
    <t>STT_04861_DongRuong</t>
  </si>
  <si>
    <t>STT_04867_TuLy</t>
  </si>
  <si>
    <t>STT_04870_TrungThanh</t>
  </si>
  <si>
    <t>STT_04873_YenHoa</t>
  </si>
  <si>
    <t>STT_04876_CaoSon</t>
  </si>
  <si>
    <t>STT_04879_ToanSon</t>
  </si>
  <si>
    <t>STT_04885_HienLuong</t>
  </si>
  <si>
    <t>STT_04888_TienPhong</t>
  </si>
  <si>
    <t>STT_04891_VayNua</t>
  </si>
  <si>
    <t>STT_12589_DiepNong</t>
  </si>
  <si>
    <t>STT_12592_TanLe</t>
  </si>
  <si>
    <t>STT_12595_CongHoa</t>
  </si>
  <si>
    <t>STT_12598_DanChu</t>
  </si>
  <si>
    <t>STT_12601_CanhTan</t>
  </si>
  <si>
    <t>STT_12604_HoaTien</t>
  </si>
  <si>
    <t>STT_12607_HungDung</t>
  </si>
  <si>
    <t>STT_12610_TanTien</t>
  </si>
  <si>
    <t>STT_12613_HungNhan</t>
  </si>
  <si>
    <t>STT_12616_DoanHung</t>
  </si>
  <si>
    <t>STT_12619_DuyenHai</t>
  </si>
  <si>
    <t>STT_12622_TanHoa</t>
  </si>
  <si>
    <t>STT_12625_VanCam</t>
  </si>
  <si>
    <t>STT_12628_BacSon</t>
  </si>
  <si>
    <t>STT_12631_DongDo</t>
  </si>
  <si>
    <t>STT_12634_PhucKhanh</t>
  </si>
  <si>
    <t>STT_12637_LienHiep</t>
  </si>
  <si>
    <t>STT_12640_TayDo</t>
  </si>
  <si>
    <t>STT_12643_ThongNhat</t>
  </si>
  <si>
    <t>STT_12646_TienDuc</t>
  </si>
  <si>
    <t>STT_12649_ThaiHung</t>
  </si>
  <si>
    <t>STT_12652_ThaiPhuong</t>
  </si>
  <si>
    <t>STT_12655_HoaBinh</t>
  </si>
  <si>
    <t>STT_12656_ChiLang</t>
  </si>
  <si>
    <t>STT_12658_MinhKhai</t>
  </si>
  <si>
    <t>STT_12661_HongAn</t>
  </si>
  <si>
    <t>STT_12664_KimChung</t>
  </si>
  <si>
    <t>STT_12667_HongLinh</t>
  </si>
  <si>
    <t>STT_12670_MinhTan</t>
  </si>
  <si>
    <t>STT_12673_VanLang</t>
  </si>
  <si>
    <t>STT_12676_DocLap</t>
  </si>
  <si>
    <t>STT_12679_ChiHoa</t>
  </si>
  <si>
    <t>STT_12682_MinhHoa</t>
  </si>
  <si>
    <t>STT_12685_HongMinh</t>
  </si>
  <si>
    <t>STT_24042_HoaBinh</t>
  </si>
  <si>
    <t>STT_24044_DoanKet</t>
  </si>
  <si>
    <t>STT_24045_SongBo</t>
  </si>
  <si>
    <t>STT_24064_IaRBol</t>
  </si>
  <si>
    <t>STT_24065_ChuBah</t>
  </si>
  <si>
    <t>STT_24070_IaRTo</t>
  </si>
  <si>
    <t>STT_24073_IaSao</t>
  </si>
  <si>
    <t>STT_31300_NhonAi</t>
  </si>
  <si>
    <t>STT_31303_GiaiXuan</t>
  </si>
  <si>
    <t>STT_31306_TanThoi</t>
  </si>
  <si>
    <t>STT_31309_TruongLong</t>
  </si>
  <si>
    <t>STT_31312_MyKhanh</t>
  </si>
  <si>
    <t>STT_31315_NhonNghia</t>
  </si>
  <si>
    <t>STT_31570_HoDacKien</t>
  </si>
  <si>
    <t>STT_31573_PhuTam</t>
  </si>
  <si>
    <t>STT_31576_ThuanHoa</t>
  </si>
  <si>
    <t>STT_31582_PhuTan</t>
  </si>
  <si>
    <t>STT_31585_ThienMy</t>
  </si>
  <si>
    <t>STT_31594_AnHiep</t>
  </si>
  <si>
    <t>STT_31600_AnNinh</t>
  </si>
  <si>
    <t>STT_22052_XuanLam</t>
  </si>
  <si>
    <t>STT_22053_XuanThanh</t>
  </si>
  <si>
    <t>STT_22054_XuanHai</t>
  </si>
  <si>
    <t>STT_22057_XuanLoc</t>
  </si>
  <si>
    <t>STT_22060_XuanBinh</t>
  </si>
  <si>
    <t>STT_22066_XuanCanh</t>
  </si>
  <si>
    <t>STT_22069_XuanThinh</t>
  </si>
  <si>
    <t>STT_22072_XuanPhuong</t>
  </si>
  <si>
    <t>STT_22073_XuanYen</t>
  </si>
  <si>
    <t>STT_22075_XuanTho1</t>
  </si>
  <si>
    <t>STT_22076_XuanDai</t>
  </si>
  <si>
    <t>STT_22078_XuanTho2</t>
  </si>
  <si>
    <t>STT_10357_VienAn</t>
  </si>
  <si>
    <t>STT_10360_VienNoi</t>
  </si>
  <si>
    <t>STT_10363_HoaSon</t>
  </si>
  <si>
    <t>STT_10366_QuangPhuCau</t>
  </si>
  <si>
    <t>STT_10369_TruongThinh</t>
  </si>
  <si>
    <t>STT_10372_CaoThanh</t>
  </si>
  <si>
    <t>STT_10375_LienBat</t>
  </si>
  <si>
    <t>STT_10378_SonCong</t>
  </si>
  <si>
    <t>STT_10381_DongTien</t>
  </si>
  <si>
    <t>STT_10384_PhuongTu</t>
  </si>
  <si>
    <t>STT_10387_TrungTu</t>
  </si>
  <si>
    <t>STT_10390_DongTan</t>
  </si>
  <si>
    <t>STT_10393_TaoDuongVan</t>
  </si>
  <si>
    <t>STT_10396_VanThai</t>
  </si>
  <si>
    <t>STT_10399_MinhDuc</t>
  </si>
  <si>
    <t>STT_10402_HoaLam</t>
  </si>
  <si>
    <t>STT_10405_HoaXa</t>
  </si>
  <si>
    <t>STT_10408_TramLong</t>
  </si>
  <si>
    <t>STT_10411_KimDuong</t>
  </si>
  <si>
    <t>STT_10414_HoaNam</t>
  </si>
  <si>
    <t>STT_10417_HoaPhu</t>
  </si>
  <si>
    <t>STT_10420_DoiBinh</t>
  </si>
  <si>
    <t>STT_10423_DaiHung</t>
  </si>
  <si>
    <t>STT_10426_DongLo</t>
  </si>
  <si>
    <t>STT_10429_PhuLuu</t>
  </si>
  <si>
    <t>STT_10432_DaiCuong</t>
  </si>
  <si>
    <t>STT_10435_LuuHoang</t>
  </si>
  <si>
    <t>STT_10438_HongQuang</t>
  </si>
  <si>
    <t>STT_28078_TanBinh</t>
  </si>
  <si>
    <t>STT_28084_QueMyThanh</t>
  </si>
  <si>
    <t>STT_28087_LacTan</t>
  </si>
  <si>
    <t>STT_28090_BinhTrinhDong</t>
  </si>
  <si>
    <t>STT_28093_TanPhuocTay</t>
  </si>
  <si>
    <t>STT_28096_BinhLang</t>
  </si>
  <si>
    <t>STT_28099_BinhTinh</t>
  </si>
  <si>
    <t>STT_28102_DucTan</t>
  </si>
  <si>
    <t>STT_28105_NhutNinh</t>
  </si>
  <si>
    <t>STT_18118_NamHong</t>
  </si>
  <si>
    <t>STT_18121_TrungLuong</t>
  </si>
  <si>
    <t>STT_18124_DucThuan</t>
  </si>
  <si>
    <t>STT_18127_DauLieu</t>
  </si>
  <si>
    <t>STT_18130_ThuanLoc</t>
  </si>
  <si>
    <t>STT_23971_IaHru</t>
  </si>
  <si>
    <t>STT_23972_IaRong</t>
  </si>
  <si>
    <t>STT_23974_IaDreng</t>
  </si>
  <si>
    <t>STT_23978_IaHla</t>
  </si>
  <si>
    <t>STT_23980_ChuDon</t>
  </si>
  <si>
    <t>STT_23983_IaPhang</t>
  </si>
  <si>
    <t>STT_23986_IaLe</t>
  </si>
  <si>
    <t>STT_23987_IaBLu</t>
  </si>
  <si>
    <t>STT_29722_TanLoc</t>
  </si>
  <si>
    <t>STT_29725_PhuThinh</t>
  </si>
  <si>
    <t>STT_29728_HauLoc</t>
  </si>
  <si>
    <t>STT_29731_HoaThanh</t>
  </si>
  <si>
    <t>STT_29734_HoaLoc</t>
  </si>
  <si>
    <t>STT_29737_PhuLoc</t>
  </si>
  <si>
    <t>STT_29740_SongPhu</t>
  </si>
  <si>
    <t>STT_29743_HoaHiep</t>
  </si>
  <si>
    <t>STT_29746_MyLoc</t>
  </si>
  <si>
    <t>STT_29749_TanPhu</t>
  </si>
  <si>
    <t>STT_29752_LongPhu</t>
  </si>
  <si>
    <t>STT_29755_MyThanhTrung</t>
  </si>
  <si>
    <t>STT_29758_TuongLoc</t>
  </si>
  <si>
    <t>STT_29761_LoanMy</t>
  </si>
  <si>
    <t>STT_29764_NgaiTu</t>
  </si>
  <si>
    <t>STT_29767_BinhNinh</t>
  </si>
  <si>
    <t>STT_14758_DongTho</t>
  </si>
  <si>
    <t>STT_14761_NamNgan</t>
  </si>
  <si>
    <t>STT_14764_TruongThi</t>
  </si>
  <si>
    <t>STT_14767_DienBien</t>
  </si>
  <si>
    <t>STT_14770_PhuSon</t>
  </si>
  <si>
    <t>STT_14773_LamSon</t>
  </si>
  <si>
    <t>STT_14776_BaDinh</t>
  </si>
  <si>
    <t>STT_14779_NgocTrao</t>
  </si>
  <si>
    <t>STT_14782_DongVe</t>
  </si>
  <si>
    <t>STT_14785_DongSon</t>
  </si>
  <si>
    <t>STT_14788_TanSon</t>
  </si>
  <si>
    <t>STT_14791_DongCuong</t>
  </si>
  <si>
    <t>STT_14794_DongHuong</t>
  </si>
  <si>
    <t>STT_14797_DongHai</t>
  </si>
  <si>
    <t>STT_14800_QuangHung</t>
  </si>
  <si>
    <t>STT_14803_QuangThang</t>
  </si>
  <si>
    <t>STT_14806_QuangThanh</t>
  </si>
  <si>
    <t>STT_15850_ThieuVan</t>
  </si>
  <si>
    <t>STT_15856_ThieuKhanh</t>
  </si>
  <si>
    <t>STT_15859_ThieuDuong</t>
  </si>
  <si>
    <t>STT_15913_TaoXuyen</t>
  </si>
  <si>
    <t>STT_15922_LongAnh</t>
  </si>
  <si>
    <t>STT_15925_HoangQuang</t>
  </si>
  <si>
    <t>STT_15970_HoangDai</t>
  </si>
  <si>
    <t>STT_16396_DongLinh</t>
  </si>
  <si>
    <t>STT_16429_DongVinh</t>
  </si>
  <si>
    <t>STT_16432_DongTan</t>
  </si>
  <si>
    <t>STT_16435_AnHung</t>
  </si>
  <si>
    <t>STT_16441_QuangThinh</t>
  </si>
  <si>
    <t>STT_16459_QuangDong</t>
  </si>
  <si>
    <t>STT_16507_QuangCat</t>
  </si>
  <si>
    <t>STT_16522_QuangPhu</t>
  </si>
  <si>
    <t>STT_16525_QuangTam</t>
  </si>
  <si>
    <t>STT_05509_ChauSon</t>
  </si>
  <si>
    <t>STT_05512_MoChe</t>
  </si>
  <si>
    <t>STT_05515_CaiDan</t>
  </si>
  <si>
    <t>STT_05518_ThangLoi</t>
  </si>
  <si>
    <t>STT_05521_PhoCo</t>
  </si>
  <si>
    <t>STT_05527_TanQuang</t>
  </si>
  <si>
    <t>STT_05528_BachQuang</t>
  </si>
  <si>
    <t>STT_05530_BinhSon</t>
  </si>
  <si>
    <t>STT_05533_BaXuyen</t>
  </si>
  <si>
    <t>STT_24772_8</t>
  </si>
  <si>
    <t>STT_24775_12</t>
  </si>
  <si>
    <t>STT_24778_9</t>
  </si>
  <si>
    <t>STT_24781_2</t>
  </si>
  <si>
    <t>STT_24784_1</t>
  </si>
  <si>
    <t>STT_24787_6</t>
  </si>
  <si>
    <t>STT_24790_5</t>
  </si>
  <si>
    <t>STT_24793_4</t>
  </si>
  <si>
    <t>STT_24796_10</t>
  </si>
  <si>
    <t>STT_24799_11</t>
  </si>
  <si>
    <t>STT_24802_3</t>
  </si>
  <si>
    <t>STT_24805_XuanTho</t>
  </si>
  <si>
    <t>STT_24808_TaNung</t>
  </si>
  <si>
    <t>STT_24810_TramHanh</t>
  </si>
  <si>
    <t>STT_24811_XuanTruong</t>
  </si>
  <si>
    <t>STT_30820_SocSon</t>
  </si>
  <si>
    <t>STT_30823_BinhSon</t>
  </si>
  <si>
    <t>STT_30826_BinhGiang</t>
  </si>
  <si>
    <t>STT_30828_MyThai</t>
  </si>
  <si>
    <t>STT_30829_NamThaiSon</t>
  </si>
  <si>
    <t>STT_30832_MyHiepSon</t>
  </si>
  <si>
    <t>STT_30835_SonKien</t>
  </si>
  <si>
    <t>STT_30836_SonBinh</t>
  </si>
  <si>
    <t>STT_30838_MyThuan</t>
  </si>
  <si>
    <t>STT_30840_LinhHuynh</t>
  </si>
  <si>
    <t>STT_30841_ThoSon</t>
  </si>
  <si>
    <t>STT_30844_MyLam</t>
  </si>
  <si>
    <t>STT_30847_MyPhuoc</t>
  </si>
  <si>
    <t>STT_02089_TanSon</t>
  </si>
  <si>
    <t>STT_02092_ThanhVan</t>
  </si>
  <si>
    <t>STT_02095_MaiLap</t>
  </si>
  <si>
    <t>STT_02098_HoaMuc</t>
  </si>
  <si>
    <t>STT_02101_ThanhMai</t>
  </si>
  <si>
    <t>STT_02104_CaoKy</t>
  </si>
  <si>
    <t>STT_02107_NongHa</t>
  </si>
  <si>
    <t>STT_02110_YenCu</t>
  </si>
  <si>
    <t>STT_02113_ThanhThinh</t>
  </si>
  <si>
    <t>STT_02116_YenHan</t>
  </si>
  <si>
    <t>STT_02122_NhuCo</t>
  </si>
  <si>
    <t>STT_02125_BinhVan</t>
  </si>
  <si>
    <t>STT_02131_QuangChu</t>
  </si>
  <si>
    <t>STT_16741_ThongThu</t>
  </si>
  <si>
    <t>STT_16744_DongVan</t>
  </si>
  <si>
    <t>STT_16747_HanhDich</t>
  </si>
  <si>
    <t>STT_16750_TienPhong</t>
  </si>
  <si>
    <t>STT_16753_NamGiai</t>
  </si>
  <si>
    <t>STT_16756_TriLe</t>
  </si>
  <si>
    <t>STT_16759_ChauKim</t>
  </si>
  <si>
    <t>STT_16763_MuongNoc</t>
  </si>
  <si>
    <t>STT_16765_ChauThon</t>
  </si>
  <si>
    <t>STT_16768_NamNhoong</t>
  </si>
  <si>
    <t>STT_16771_QuangPhong</t>
  </si>
  <si>
    <t>STT_16774_CamMuon</t>
  </si>
  <si>
    <t>STT_17038_YenHop</t>
  </si>
  <si>
    <t>STT_17041_ChauTien</t>
  </si>
  <si>
    <t>STT_17044_ChauHong</t>
  </si>
  <si>
    <t>STT_17047_DongHop</t>
  </si>
  <si>
    <t>STT_17050_ChauThanh</t>
  </si>
  <si>
    <t>STT_17053_LienHop</t>
  </si>
  <si>
    <t>STT_17056_ChauLoc</t>
  </si>
  <si>
    <t>STT_17059_TamHop</t>
  </si>
  <si>
    <t>STT_17062_ChauCuong</t>
  </si>
  <si>
    <t>STT_17065_ChauQuang</t>
  </si>
  <si>
    <t>STT_17068_ThoHop</t>
  </si>
  <si>
    <t>STT_17071_MinhHop</t>
  </si>
  <si>
    <t>STT_17074_NghiaXuan</t>
  </si>
  <si>
    <t>STT_17077_ChauThai</t>
  </si>
  <si>
    <t>STT_17080_ChauDinh</t>
  </si>
  <si>
    <t>STT_17083_VanLoi</t>
  </si>
  <si>
    <t>STT_17086_NamSon</t>
  </si>
  <si>
    <t>STT_17089_ChauLy</t>
  </si>
  <si>
    <t>STT_17092_HaSon</t>
  </si>
  <si>
    <t>STT_17095_BacSon</t>
  </si>
  <si>
    <t>STT_11989_LacDao</t>
  </si>
  <si>
    <t>STT_11992_ChiDao</t>
  </si>
  <si>
    <t>STT_11995_DaiDong</t>
  </si>
  <si>
    <t>STT_11998_VietHung</t>
  </si>
  <si>
    <t>STT_12001_TanQuang</t>
  </si>
  <si>
    <t>STT_12004_DinhDu</t>
  </si>
  <si>
    <t>STT_12007_MinhHai</t>
  </si>
  <si>
    <t>STT_12010_LuongTai</t>
  </si>
  <si>
    <t>STT_12013_TrungTrac</t>
  </si>
  <si>
    <t>STT_12016_LacHong</t>
  </si>
  <si>
    <t>STT_06529_LocBinh</t>
  </si>
  <si>
    <t>STT_06532_MauSon</t>
  </si>
  <si>
    <t>STT_06541_YenKhoai</t>
  </si>
  <si>
    <t>STT_06544_KhanhXuan</t>
  </si>
  <si>
    <t>STT_06547_TuMich</t>
  </si>
  <si>
    <t>STT_06550_HuuKhanh</t>
  </si>
  <si>
    <t>STT_06553_DongBuc</t>
  </si>
  <si>
    <t>STT_06559_TamGia</t>
  </si>
  <si>
    <t>STT_06562_TuDoan</t>
  </si>
  <si>
    <t>STT_06565_KhuatXa</t>
  </si>
  <si>
    <t>STT_06574_TinhBac</t>
  </si>
  <si>
    <t>STT_06577_ThongNhat</t>
  </si>
  <si>
    <t>STT_06589_SanVien</t>
  </si>
  <si>
    <t>STT_06592_DongQuan</t>
  </si>
  <si>
    <t>STT_06595_MinhHiep</t>
  </si>
  <si>
    <t>STT_06598_HuuLan</t>
  </si>
  <si>
    <t>STT_06601_LoiBac</t>
  </si>
  <si>
    <t>STT_06604_NamQuan</t>
  </si>
  <si>
    <t>STT_06607_XuanDuong</t>
  </si>
  <si>
    <t>STT_06610_AiQuoc</t>
  </si>
  <si>
    <t>STT_24451_DangKang</t>
  </si>
  <si>
    <t>STT_24454_CuKTy</t>
  </si>
  <si>
    <t>STT_24457_HoaThanh</t>
  </si>
  <si>
    <t>STT_24460_HoaTan</t>
  </si>
  <si>
    <t>STT_24463_HoaPhong</t>
  </si>
  <si>
    <t>STT_24466_HoaLe</t>
  </si>
  <si>
    <t>STT_24469_YangReh</t>
  </si>
  <si>
    <t>STT_24472_EaTrul</t>
  </si>
  <si>
    <t>STT_24475_KhueNgocDien</t>
  </si>
  <si>
    <t>STT_24478_CuPui</t>
  </si>
  <si>
    <t>STT_24481_HoaSon</t>
  </si>
  <si>
    <t>STT_24484_CuDram</t>
  </si>
  <si>
    <t>STT_24487_YangMao</t>
  </si>
  <si>
    <t>STT_04285_TrungTam</t>
  </si>
  <si>
    <t>STT_04288_TanAn</t>
  </si>
  <si>
    <t>STT_04291_CauThia</t>
  </si>
  <si>
    <t>STT_04294_NghiaLoi</t>
  </si>
  <si>
    <t>STT_04297_NghiaPhuc</t>
  </si>
  <si>
    <t>STT_04300_NghiaAn</t>
  </si>
  <si>
    <t>STT_04624_NghiaLo</t>
  </si>
  <si>
    <t>STT_04660_SonA</t>
  </si>
  <si>
    <t>STT_04663_PhuNham</t>
  </si>
  <si>
    <t>STT_04675_ThanhLuong</t>
  </si>
  <si>
    <t>STT_04678_HanhSon</t>
  </si>
  <si>
    <t>STT_04681_PhucSon</t>
  </si>
  <si>
    <t>STT_04684_ThachLuong</t>
  </si>
  <si>
    <t>STT_23992_AnThanh</t>
  </si>
  <si>
    <t>STT_23995_DakPo</t>
  </si>
  <si>
    <t>STT_23998_YangBac</t>
  </si>
  <si>
    <t>STT_24001_CuAn</t>
  </si>
  <si>
    <t>STT_24004_TanAn</t>
  </si>
  <si>
    <t>STT_24007_PhuAn</t>
  </si>
  <si>
    <t>STT_24010_YaHoi</t>
  </si>
  <si>
    <t>STT_16993_QuangPhong</t>
  </si>
  <si>
    <t>STT_16994_QuangTien</t>
  </si>
  <si>
    <t>STT_17003_LongSon</t>
  </si>
  <si>
    <t>STT_17005_NghiaTien</t>
  </si>
  <si>
    <t>STT_17008_NghiaMy</t>
  </si>
  <si>
    <t>STT_17011_TayHieu</t>
  </si>
  <si>
    <t>STT_17014_NghiaThuan</t>
  </si>
  <si>
    <t>STT_17017_DongHieu</t>
  </si>
  <si>
    <t>STT_23236_TanNghia</t>
  </si>
  <si>
    <t>STT_23239_SongPhan</t>
  </si>
  <si>
    <t>STT_23242_TanPhuc</t>
  </si>
  <si>
    <t>STT_23251_TanDuc</t>
  </si>
  <si>
    <t>STT_23254_TanThang</t>
  </si>
  <si>
    <t>STT_23255_ThangHai</t>
  </si>
  <si>
    <t>STT_23257_TanHa</t>
  </si>
  <si>
    <t>STT_23260_TanXuan</t>
  </si>
  <si>
    <t>STT_23266_SonMy</t>
  </si>
  <si>
    <t>STT_16282_TanPhuc</t>
  </si>
  <si>
    <t>STT_16285_TanTho</t>
  </si>
  <si>
    <t>STT_16288_HoangSon</t>
  </si>
  <si>
    <t>STT_16291_TanKhang</t>
  </si>
  <si>
    <t>STT_16294_HoangGiang</t>
  </si>
  <si>
    <t>STT_16297_TrungChinh</t>
  </si>
  <si>
    <t>STT_16303_TrungThanh</t>
  </si>
  <si>
    <t>STT_16309_TeThang</t>
  </si>
  <si>
    <t>STT_16315_TeLoi</t>
  </si>
  <si>
    <t>STT_16318_TeNong</t>
  </si>
  <si>
    <t>STT_16321_MinhNghia</t>
  </si>
  <si>
    <t>STT_16324_MinhKhoi</t>
  </si>
  <si>
    <t>STT_16327_VanHoa</t>
  </si>
  <si>
    <t>STT_16330_TruongTrung</t>
  </si>
  <si>
    <t>STT_16333_VanThang</t>
  </si>
  <si>
    <t>STT_16336_TruongGiang</t>
  </si>
  <si>
    <t>STT_16339_VanThien</t>
  </si>
  <si>
    <t>STT_16342_ThangLong</t>
  </si>
  <si>
    <t>STT_16345_TruongMinh</t>
  </si>
  <si>
    <t>STT_16348_TruongSon</t>
  </si>
  <si>
    <t>STT_16351_ThangBinh</t>
  </si>
  <si>
    <t>STT_16354_CongLiem</t>
  </si>
  <si>
    <t>STT_16357_TuongVan</t>
  </si>
  <si>
    <t>STT_16360_ThangTho</t>
  </si>
  <si>
    <t>STT_16363_TuongLinh</t>
  </si>
  <si>
    <t>STT_16366_TuongSon</t>
  </si>
  <si>
    <t>STT_16369_CongChinh</t>
  </si>
  <si>
    <t>STT_16375_YenMy</t>
  </si>
  <si>
    <t>STT_19753_ThuanLoc</t>
  </si>
  <si>
    <t>STT_19756_GiaHoi</t>
  </si>
  <si>
    <t>STT_19759_PhuHau</t>
  </si>
  <si>
    <t>STT_19762_ThuanHoa</t>
  </si>
  <si>
    <t>STT_19768_DongBa</t>
  </si>
  <si>
    <t>STT_19774_KimLong</t>
  </si>
  <si>
    <t>STT_19777_VyDa</t>
  </si>
  <si>
    <t>STT_19780_PhuongDuc</t>
  </si>
  <si>
    <t>STT_19783_VinhNinh</t>
  </si>
  <si>
    <t>STT_19786_PhuHoi</t>
  </si>
  <si>
    <t>STT_19789_PhuNhuan</t>
  </si>
  <si>
    <t>STT_19792_XuanPhu</t>
  </si>
  <si>
    <t>STT_19795_TruongAn</t>
  </si>
  <si>
    <t>STT_19798_PhuocVinh</t>
  </si>
  <si>
    <t>STT_19801_AnCuu</t>
  </si>
  <si>
    <t>STT_19803_AnHoa</t>
  </si>
  <si>
    <t>STT_19804_HuongSo</t>
  </si>
  <si>
    <t>STT_19807_ThuyBieu</t>
  </si>
  <si>
    <t>STT_19810_HuongLong</t>
  </si>
  <si>
    <t>STT_19813_ThuyXuan</t>
  </si>
  <si>
    <t>STT_19815_AnDong</t>
  </si>
  <si>
    <t>STT_19816_AnTay</t>
  </si>
  <si>
    <t>STT_19900_ThuanAn</t>
  </si>
  <si>
    <t>STT_19906_PhuDuong</t>
  </si>
  <si>
    <t>STT_19909_PhuMau</t>
  </si>
  <si>
    <t>STT_19924_PhuThanh</t>
  </si>
  <si>
    <t>STT_19930_PhuThuong</t>
  </si>
  <si>
    <t>STT_19963_ThuyVan</t>
  </si>
  <si>
    <t>STT_19981_ThuyBang</t>
  </si>
  <si>
    <t>STT_19999_HaiDuong</t>
  </si>
  <si>
    <t>STT_20002_HuongPhong</t>
  </si>
  <si>
    <t>STT_20014_HuongVinh</t>
  </si>
  <si>
    <t>STT_20023_HuongAn</t>
  </si>
  <si>
    <t>STT_20029_HuongHo</t>
  </si>
  <si>
    <t>STT_20032_HuongTho</t>
  </si>
  <si>
    <t>STT_30790_KienBinh</t>
  </si>
  <si>
    <t>STT_30802_HoaDien</t>
  </si>
  <si>
    <t>STT_30805_DuongHoa</t>
  </si>
  <si>
    <t>STT_30808_BinhAn</t>
  </si>
  <si>
    <t>STT_30809_BinhTri</t>
  </si>
  <si>
    <t>STT_30811_SonHai</t>
  </si>
  <si>
    <t>STT_30814_HonNghe</t>
  </si>
  <si>
    <t>STT_19114_NTVietTrung</t>
  </si>
  <si>
    <t>STT_19117_XuanTrach</t>
  </si>
  <si>
    <t>STT_19120_MyTrach</t>
  </si>
  <si>
    <t>STT_19123_HaTrach</t>
  </si>
  <si>
    <t>STT_19126_BacTrach</t>
  </si>
  <si>
    <t>STT_19129_LamTrach</t>
  </si>
  <si>
    <t>STT_19132_ThanhTrach</t>
  </si>
  <si>
    <t>STT_19135_LienTrach</t>
  </si>
  <si>
    <t>STT_19138_PhucTrach</t>
  </si>
  <si>
    <t>STT_19141_CuNam</t>
  </si>
  <si>
    <t>STT_19144_HaiPhu</t>
  </si>
  <si>
    <t>STT_19147_ThuongTrach</t>
  </si>
  <si>
    <t>STT_19150_SonLoc</t>
  </si>
  <si>
    <t>STT_19156_HungTrach</t>
  </si>
  <si>
    <t>STT_19159_DongTrach</t>
  </si>
  <si>
    <t>STT_19162_DucTrach</t>
  </si>
  <si>
    <t>STT_19165_PhongNha</t>
  </si>
  <si>
    <t>STT_19168_VanTrach</t>
  </si>
  <si>
    <t>STT_19174_PhuDinh</t>
  </si>
  <si>
    <t>STT_19177_TrungTrach</t>
  </si>
  <si>
    <t>STT_19180_TayTrach</t>
  </si>
  <si>
    <t>STT_19183_HoaTrach</t>
  </si>
  <si>
    <t>STT_19186_DaiTrach</t>
  </si>
  <si>
    <t>STT_19189_NhanTrach</t>
  </si>
  <si>
    <t>STT_19192_TanTrach</t>
  </si>
  <si>
    <t>STT_19195_NamTrach</t>
  </si>
  <si>
    <t>STT_19198_LyTrach</t>
  </si>
  <si>
    <t>STT_13387_NguyenUy</t>
  </si>
  <si>
    <t>STT_13390_DaiCuong</t>
  </si>
  <si>
    <t>STT_13393_LeHo</t>
  </si>
  <si>
    <t>STT_13396_TuongLinh</t>
  </si>
  <si>
    <t>STT_13399_NhatTuu</t>
  </si>
  <si>
    <t>STT_13402_NhatTan</t>
  </si>
  <si>
    <t>STT_13405_DongHoa</t>
  </si>
  <si>
    <t>STT_13408_HoangTay</t>
  </si>
  <si>
    <t>STT_13411_TanSon</t>
  </si>
  <si>
    <t>STT_13414_ThuyLoi</t>
  </si>
  <si>
    <t>STT_13417_VanXa</t>
  </si>
  <si>
    <t>STT_13420_KhaPhong</t>
  </si>
  <si>
    <t>STT_13423_NgocSon</t>
  </si>
  <si>
    <t>STT_13429_BaSao</t>
  </si>
  <si>
    <t>STT_13432_LienSon</t>
  </si>
  <si>
    <t>STT_13435_ThiSon</t>
  </si>
  <si>
    <t>STT_13438_ThanhSon</t>
  </si>
  <si>
    <t>STT_00304_VinhHung</t>
  </si>
  <si>
    <t>STT_00307_DinhCong</t>
  </si>
  <si>
    <t>STT_00310_MaiDong</t>
  </si>
  <si>
    <t>STT_00313_TuongMai</t>
  </si>
  <si>
    <t>STT_00316_DaiKim</t>
  </si>
  <si>
    <t>STT_00319_TanMai</t>
  </si>
  <si>
    <t>STT_00322_HoangVanThu</t>
  </si>
  <si>
    <t>STT_00325_GiapBat</t>
  </si>
  <si>
    <t>STT_00328_LinhNam</t>
  </si>
  <si>
    <t>STT_00331_ThinhLiet</t>
  </si>
  <si>
    <t>STT_00334_TranPhu</t>
  </si>
  <si>
    <t>STT_00337_HoangLiet</t>
  </si>
  <si>
    <t>STT_00340_YenSo</t>
  </si>
  <si>
    <t>STT_14155_GiaoHuong</t>
  </si>
  <si>
    <t>STT_14158_HongThuan</t>
  </si>
  <si>
    <t>STT_14161_GiaoThien</t>
  </si>
  <si>
    <t>STT_14164_GiaoThanh</t>
  </si>
  <si>
    <t>STT_14167_GiaoThuy</t>
  </si>
  <si>
    <t>STT_14170_BinhHoa</t>
  </si>
  <si>
    <t>STT_14176_GiaoHa</t>
  </si>
  <si>
    <t>STT_14179_GiaoNhan</t>
  </si>
  <si>
    <t>STT_14182_GiaoAn</t>
  </si>
  <si>
    <t>STT_14185_GiaoLac</t>
  </si>
  <si>
    <t>STT_14188_GiaoChau</t>
  </si>
  <si>
    <t>STT_14191_GiaoTan</t>
  </si>
  <si>
    <t>STT_14194_GiaoYen</t>
  </si>
  <si>
    <t>STT_14197_GiaoXuan</t>
  </si>
  <si>
    <t>STT_14200_GiaoThinh</t>
  </si>
  <si>
    <t>STT_14203_GiaoHai</t>
  </si>
  <si>
    <t>STT_14206_BachLong</t>
  </si>
  <si>
    <t>STT_14209_GiaoLong</t>
  </si>
  <si>
    <t>STT_14212_GiaoPhong</t>
  </si>
  <si>
    <t>STT_15133_CamThanh</t>
  </si>
  <si>
    <t>STT_15136_CamQuy</t>
  </si>
  <si>
    <t>STT_15139_CamLuong</t>
  </si>
  <si>
    <t>STT_15142_CamThach</t>
  </si>
  <si>
    <t>STT_15145_CamLien</t>
  </si>
  <si>
    <t>STT_15148_CamGiang</t>
  </si>
  <si>
    <t>STT_15151_CamBinh</t>
  </si>
  <si>
    <t>STT_15154_CamTu</t>
  </si>
  <si>
    <t>STT_15160_CamChau</t>
  </si>
  <si>
    <t>STT_15163_CamTam</t>
  </si>
  <si>
    <t>STT_15169_CamNgoc</t>
  </si>
  <si>
    <t>STT_15172_CamLong</t>
  </si>
  <si>
    <t>STT_15175_CamYen</t>
  </si>
  <si>
    <t>STT_15178_CamTan</t>
  </si>
  <si>
    <t>STT_15181_CamPhu</t>
  </si>
  <si>
    <t>STT_15184_CamVan</t>
  </si>
  <si>
    <t>STT_23617_TaySon</t>
  </si>
  <si>
    <t>STT_23620_AnPhu</t>
  </si>
  <si>
    <t>STT_23623_AnTan</t>
  </si>
  <si>
    <t>STT_23626_TuAn</t>
  </si>
  <si>
    <t>STT_23627_XuanAn</t>
  </si>
  <si>
    <t>STT_23629_CuuAn</t>
  </si>
  <si>
    <t>STT_23630_AnPhuoc</t>
  </si>
  <si>
    <t>STT_23632_SongAn</t>
  </si>
  <si>
    <t>STT_23633_NgoMay</t>
  </si>
  <si>
    <t>STT_23635_ThanhAn</t>
  </si>
  <si>
    <t>STT_13801_TrungNghia</t>
  </si>
  <si>
    <t>STT_13807_TanMinh</t>
  </si>
  <si>
    <t>STT_13810_YenTho</t>
  </si>
  <si>
    <t>STT_13819_PhuHung</t>
  </si>
  <si>
    <t>STT_13822_YenChinh</t>
  </si>
  <si>
    <t>STT_13825_YenBinh</t>
  </si>
  <si>
    <t>STT_13831_YenMy</t>
  </si>
  <si>
    <t>STT_13834_YenDuong</t>
  </si>
  <si>
    <t>STT_13843_YenKhanh</t>
  </si>
  <si>
    <t>STT_13846_YenPhong</t>
  </si>
  <si>
    <t>STT_13849_YenNinh</t>
  </si>
  <si>
    <t>STT_13852_YenLuong</t>
  </si>
  <si>
    <t>STT_13861_YenTien</t>
  </si>
  <si>
    <t>STT_13864_YenThang</t>
  </si>
  <si>
    <t>STT_13867_YenPhuc</t>
  </si>
  <si>
    <t>STT_13870_YenCuong</t>
  </si>
  <si>
    <t>STT_13873_YenLoc</t>
  </si>
  <si>
    <t>STT_13876_HongQuang</t>
  </si>
  <si>
    <t>STT_13879_YenDong</t>
  </si>
  <si>
    <t>STT_13882_YenKhang</t>
  </si>
  <si>
    <t>STT_13885_YenNhan</t>
  </si>
  <si>
    <t>STT_13888_YenTri</t>
  </si>
  <si>
    <t>STT_26968_04</t>
  </si>
  <si>
    <t>STT_26971_12</t>
  </si>
  <si>
    <t>STT_26974_13</t>
  </si>
  <si>
    <t>STT_26977_01</t>
  </si>
  <si>
    <t>STT_26980_03</t>
  </si>
  <si>
    <t>STT_26983_11</t>
  </si>
  <si>
    <t>STT_26986_07</t>
  </si>
  <si>
    <t>STT_26989_05</t>
  </si>
  <si>
    <t>STT_26992_10</t>
  </si>
  <si>
    <t>STT_26995_06</t>
  </si>
  <si>
    <t>STT_26998_08</t>
  </si>
  <si>
    <t>STT_27001_09</t>
  </si>
  <si>
    <t>STT_27004_14</t>
  </si>
  <si>
    <t>STT_27007_15</t>
  </si>
  <si>
    <t>STT_15064_LamSon</t>
  </si>
  <si>
    <t>STT_15067_MyTan</t>
  </si>
  <si>
    <t>STT_15070_ThuySon</t>
  </si>
  <si>
    <t>STT_15073_ThachLap</t>
  </si>
  <si>
    <t>STT_15076_VanAm</t>
  </si>
  <si>
    <t>STT_15079_CaoNgoc</t>
  </si>
  <si>
    <t>STT_15085_QuangTrung</t>
  </si>
  <si>
    <t>STT_15088_DongThinh</t>
  </si>
  <si>
    <t>STT_15091_NgocLien</t>
  </si>
  <si>
    <t>STT_15094_NgocSon</t>
  </si>
  <si>
    <t>STT_15097_LocThinh</t>
  </si>
  <si>
    <t>STT_15100_CaoThinh</t>
  </si>
  <si>
    <t>STT_15103_NgocTrung</t>
  </si>
  <si>
    <t>STT_15106_PhungGiao</t>
  </si>
  <si>
    <t>STT_15109_PhungMinh</t>
  </si>
  <si>
    <t>STT_15112_PhucThinh</t>
  </si>
  <si>
    <t>STT_15115_NguyetAn</t>
  </si>
  <si>
    <t>STT_15118_KienTho</t>
  </si>
  <si>
    <t>STT_15121_MinhTien</t>
  </si>
  <si>
    <t>STT_15124_MinhSon</t>
  </si>
  <si>
    <t>STT_22411_CamPhucBac</t>
  </si>
  <si>
    <t>STT_22414_CamPhucNam</t>
  </si>
  <si>
    <t>STT_22417_CamLoc</t>
  </si>
  <si>
    <t>STT_22420_CamPhu</t>
  </si>
  <si>
    <t>STT_22423_BaNgoi</t>
  </si>
  <si>
    <t>STT_22426_CamThuan</t>
  </si>
  <si>
    <t>STT_22429_CamLoi</t>
  </si>
  <si>
    <t>STT_22432_CamLinh</t>
  </si>
  <si>
    <t>STT_22468_CamThanhNam</t>
  </si>
  <si>
    <t>STT_22474_CamPhuocDong</t>
  </si>
  <si>
    <t>STT_22477_CamThinhTay</t>
  </si>
  <si>
    <t>STT_22480_CamThinhDong</t>
  </si>
  <si>
    <t>STT_22483_CamLap</t>
  </si>
  <si>
    <t>STT_22486_CamBinh</t>
  </si>
  <si>
    <t>STT_01729_TinhTuc</t>
  </si>
  <si>
    <t>STT_01732_YenLac</t>
  </si>
  <si>
    <t>STT_01735_TrieuNguyen</t>
  </si>
  <si>
    <t>STT_01738_CaThanh</t>
  </si>
  <si>
    <t>STT_01744_VuNong</t>
  </si>
  <si>
    <t>STT_01747_MinhTam</t>
  </si>
  <si>
    <t>STT_01750_TheDuc</t>
  </si>
  <si>
    <t>STT_01756_MaiLong</t>
  </si>
  <si>
    <t>STT_01762_VuMinh</t>
  </si>
  <si>
    <t>STT_01765_HoaTham</t>
  </si>
  <si>
    <t>STT_01768_PhanThanh</t>
  </si>
  <si>
    <t>STT_01771_QuangThanh</t>
  </si>
  <si>
    <t>STT_01774_TamKim</t>
  </si>
  <si>
    <t>STT_01777_ThanhCong</t>
  </si>
  <si>
    <t>STT_01780_ThinhVuong</t>
  </si>
  <si>
    <t>STT_01783_HungDao</t>
  </si>
  <si>
    <t>STT_13657_TruongThi</t>
  </si>
  <si>
    <t>STT_13666_TranHungDao</t>
  </si>
  <si>
    <t>STT_13669_CuaBac</t>
  </si>
  <si>
    <t>STT_13678_NangTinh</t>
  </si>
  <si>
    <t>STT_13681_QuangTrung</t>
  </si>
  <si>
    <t>STT_13684_LocHa</t>
  </si>
  <si>
    <t>STT_13687_LocVuong</t>
  </si>
  <si>
    <t>STT_13690_CuaNam</t>
  </si>
  <si>
    <t>STT_13693_LocHoa</t>
  </si>
  <si>
    <t>STT_13696_NamPhong</t>
  </si>
  <si>
    <t>STT_13699_MyXa</t>
  </si>
  <si>
    <t>STT_13705_NamVan</t>
  </si>
  <si>
    <t>STT_13708_HungLoc</t>
  </si>
  <si>
    <t>STT_13711_MyHa</t>
  </si>
  <si>
    <t>STT_13717_MyThang</t>
  </si>
  <si>
    <t>STT_13720_MyTrung</t>
  </si>
  <si>
    <t>STT_13723_MyTan</t>
  </si>
  <si>
    <t>STT_13726_MyPhuc</t>
  </si>
  <si>
    <t>STT_13732_MyThuan</t>
  </si>
  <si>
    <t>STT_13735_MyLoc</t>
  </si>
  <si>
    <t>STT_19015_QuangKim</t>
  </si>
  <si>
    <t>STT_19018_QuangDong</t>
  </si>
  <si>
    <t>STT_19021_QuangPhu</t>
  </si>
  <si>
    <t>STT_19024_QuangChau</t>
  </si>
  <si>
    <t>STT_19027_QuangThach</t>
  </si>
  <si>
    <t>STT_19030_QuangLuu</t>
  </si>
  <si>
    <t>STT_19033_QuangTung</t>
  </si>
  <si>
    <t>STT_19036_CanhDuong</t>
  </si>
  <si>
    <t>STT_19039_QuangTien</t>
  </si>
  <si>
    <t>STT_19042_QuangHung</t>
  </si>
  <si>
    <t>STT_19045_QuangXuan</t>
  </si>
  <si>
    <t>STT_19048_CanhHoa</t>
  </si>
  <si>
    <t>STT_19051_LienTruong</t>
  </si>
  <si>
    <t>STT_19057_QuangPhuong</t>
  </si>
  <si>
    <t>STT_19063_PhuHoa</t>
  </si>
  <si>
    <t>STT_19072_QuangThanh</t>
  </si>
  <si>
    <t>STT_21487_BaDien</t>
  </si>
  <si>
    <t>STT_21490_BaVinh</t>
  </si>
  <si>
    <t>STT_21493_BaThanh</t>
  </si>
  <si>
    <t>STT_21496_BaDong</t>
  </si>
  <si>
    <t>STT_21499_BaDinh</t>
  </si>
  <si>
    <t>STT_21500_BaGiang</t>
  </si>
  <si>
    <t>STT_21502_BaLien</t>
  </si>
  <si>
    <t>STT_21505_BaNgac</t>
  </si>
  <si>
    <t>STT_21508_BaKham</t>
  </si>
  <si>
    <t>STT_21511_BaCung</t>
  </si>
  <si>
    <t>STT_21517_BaTieu</t>
  </si>
  <si>
    <t>STT_21520_BaTrang</t>
  </si>
  <si>
    <t>STT_21523_BaTo</t>
  </si>
  <si>
    <t>STT_21526_BaBich</t>
  </si>
  <si>
    <t>STT_21529_BaVi</t>
  </si>
  <si>
    <t>STT_21532_BaLe</t>
  </si>
  <si>
    <t>STT_21535_BaNam</t>
  </si>
  <si>
    <t>STT_21538_BaXa</t>
  </si>
  <si>
    <t>STT_25003_DinhTrangThuong</t>
  </si>
  <si>
    <t>STT_25006_TanThuong</t>
  </si>
  <si>
    <t>STT_25007_TanLam</t>
  </si>
  <si>
    <t>STT_25009_TanChau</t>
  </si>
  <si>
    <t>STT_25012_TanNghia</t>
  </si>
  <si>
    <t>STT_25015_GiaHiep</t>
  </si>
  <si>
    <t>STT_25018_DinhLac</t>
  </si>
  <si>
    <t>STT_25021_TamBo</t>
  </si>
  <si>
    <t>STT_25024_DinhTrangHoa</t>
  </si>
  <si>
    <t>STT_25027_LienDam</t>
  </si>
  <si>
    <t>STT_25030_GungRe</t>
  </si>
  <si>
    <t>STT_25033_BaoThuan</t>
  </si>
  <si>
    <t>STT_25036_HoaNinh</t>
  </si>
  <si>
    <t>STT_25039_HoaTrung</t>
  </si>
  <si>
    <t>STT_25042_HoaNam</t>
  </si>
  <si>
    <t>STT_25045_HoaBac</t>
  </si>
  <si>
    <t>STT_25048_SonDien</t>
  </si>
  <si>
    <t>STT_25051_GiaBac</t>
  </si>
  <si>
    <t>STT_20761_HiepThuan</t>
  </si>
  <si>
    <t>STT_20764_QueTho</t>
  </si>
  <si>
    <t>STT_20767_BinhLam</t>
  </si>
  <si>
    <t>STT_20770_SongTra</t>
  </si>
  <si>
    <t>STT_20773_PhuocTra</t>
  </si>
  <si>
    <t>STT_20776_PhuocGia</t>
  </si>
  <si>
    <t>STT_20779_TanBinh</t>
  </si>
  <si>
    <t>STT_20782_QueLuu</t>
  </si>
  <si>
    <t>STT_20785_ThangPhuoc</t>
  </si>
  <si>
    <t>STT_20788_BinhSon</t>
  </si>
  <si>
    <t>STT_23725_HaTay</t>
  </si>
  <si>
    <t>STT_23728_IaKhuol</t>
  </si>
  <si>
    <t>STT_23731_IaPhi</t>
  </si>
  <si>
    <t>STT_23734_IaLy</t>
  </si>
  <si>
    <t>STT_23737_IaMoNong</t>
  </si>
  <si>
    <t>STT_23738_IaKreng</t>
  </si>
  <si>
    <t>STT_23740_DakToVer</t>
  </si>
  <si>
    <t>STT_23743_HoaPhu</t>
  </si>
  <si>
    <t>STT_23746_ChuDangYa</t>
  </si>
  <si>
    <t>STT_23749_IaKa</t>
  </si>
  <si>
    <t>STT_23752_IaNhin</t>
  </si>
  <si>
    <t>STT_23755_NghiaHoa</t>
  </si>
  <si>
    <t>STT_23761_NghiaHung</t>
  </si>
  <si>
    <t>STT_26119_DakLua</t>
  </si>
  <si>
    <t>STT_26122_NamCatTien</t>
  </si>
  <si>
    <t>STT_26125_PhuAn</t>
  </si>
  <si>
    <t>STT_26128_NuiTuong</t>
  </si>
  <si>
    <t>STT_26131_TaLai</t>
  </si>
  <si>
    <t>STT_26134_PhuLap</t>
  </si>
  <si>
    <t>STT_26137_PhuSon</t>
  </si>
  <si>
    <t>STT_26140_PhuThinh</t>
  </si>
  <si>
    <t>STT_26143_ThanhSon</t>
  </si>
  <si>
    <t>STT_26146_PhuTrung</t>
  </si>
  <si>
    <t>STT_26149_PhuXuan</t>
  </si>
  <si>
    <t>STT_26152_PhuLoc</t>
  </si>
  <si>
    <t>STT_26155_PhuLam</t>
  </si>
  <si>
    <t>STT_26158_PhuBinh</t>
  </si>
  <si>
    <t>STT_26161_PhuThanh</t>
  </si>
  <si>
    <t>STT_26164_TraCo</t>
  </si>
  <si>
    <t>STT_26167_PhuDien</t>
  </si>
  <si>
    <t>STT_01366_CanYen</t>
  </si>
  <si>
    <t>STT_01367_CanNong</t>
  </si>
  <si>
    <t>STT_01372_LuongThong</t>
  </si>
  <si>
    <t>STT_01375_DaThong</t>
  </si>
  <si>
    <t>STT_01378_NgocDong</t>
  </si>
  <si>
    <t>STT_01381_YenSon</t>
  </si>
  <si>
    <t>STT_01384_LuongCan</t>
  </si>
  <si>
    <t>STT_01387_ThanhLong</t>
  </si>
  <si>
    <t>STT_01392_XuanHoa</t>
  </si>
  <si>
    <t>STT_01393_LungNam</t>
  </si>
  <si>
    <t>STT_01399_TruongHa</t>
  </si>
  <si>
    <t>STT_01402_CaiVien</t>
  </si>
  <si>
    <t>STT_01411_NoiThon</t>
  </si>
  <si>
    <t>STT_01414_TongCot</t>
  </si>
  <si>
    <t>STT_01417_SocHa</t>
  </si>
  <si>
    <t>STT_01420_ThuongThon</t>
  </si>
  <si>
    <t>STT_01429_HongSy</t>
  </si>
  <si>
    <t>STT_01432_QuyQuan</t>
  </si>
  <si>
    <t>STT_01435_MaBa</t>
  </si>
  <si>
    <t>STT_01438_NgocDao</t>
  </si>
  <si>
    <t>STT_26737_DaKao</t>
  </si>
  <si>
    <t>STT_26740_BenNghe</t>
  </si>
  <si>
    <t>STT_26743_BenThanh</t>
  </si>
  <si>
    <t>STT_26746_NguyenThaiBinh</t>
  </si>
  <si>
    <t>STT_26749_PhamNguLao</t>
  </si>
  <si>
    <t>STT_26752_CauOngLanh</t>
  </si>
  <si>
    <t>STT_26755_CoGiang</t>
  </si>
  <si>
    <t>STT_26758_NguyenCuTrinh</t>
  </si>
  <si>
    <t>STT_26761_CauKho</t>
  </si>
  <si>
    <t>STT_28705_TangHoa</t>
  </si>
  <si>
    <t>STT_28711_TanPhuoc</t>
  </si>
  <si>
    <t>STT_28714_GiaThuan</t>
  </si>
  <si>
    <t>STT_28720_VamLang</t>
  </si>
  <si>
    <t>STT_28723_TanTay</t>
  </si>
  <si>
    <t>STT_28726_KiengPhuoc</t>
  </si>
  <si>
    <t>STT_28732_TanDong</t>
  </si>
  <si>
    <t>STT_28735_BinhAn</t>
  </si>
  <si>
    <t>STT_28738_TanDien</t>
  </si>
  <si>
    <t>STT_28741_BinhNghi</t>
  </si>
  <si>
    <t>STT_28744_PhuocTrung</t>
  </si>
  <si>
    <t>STT_28747_TanThanh</t>
  </si>
  <si>
    <t>STT_30133_TanQuoi</t>
  </si>
  <si>
    <t>STT_30136_TanHoa</t>
  </si>
  <si>
    <t>STT_30139_AnPhong</t>
  </si>
  <si>
    <t>STT_30142_PhuLoi</t>
  </si>
  <si>
    <t>STT_30145_TanMy</t>
  </si>
  <si>
    <t>STT_30148_BinhTan</t>
  </si>
  <si>
    <t>STT_30151_TanHue</t>
  </si>
  <si>
    <t>STT_30154_TanBinh</t>
  </si>
  <si>
    <t>STT_30157_TanThanh</t>
  </si>
  <si>
    <t>STT_30160_TanPhu</t>
  </si>
  <si>
    <t>STT_30163_BinhThanh</t>
  </si>
  <si>
    <t>STT_30166_TanLong</t>
  </si>
  <si>
    <t>STT_04942_LamSon</t>
  </si>
  <si>
    <t>STT_04945_HoaSon</t>
  </si>
  <si>
    <t>STT_04951_TanVinh</t>
  </si>
  <si>
    <t>STT_04954_NhuanTrach</t>
  </si>
  <si>
    <t>STT_04957_CaoSon</t>
  </si>
  <si>
    <t>STT_04960_CuYen</t>
  </si>
  <si>
    <t>STT_04969_LienSon</t>
  </si>
  <si>
    <t>STT_05008_CaoDuong</t>
  </si>
  <si>
    <t>STT_05041_ThanhSon</t>
  </si>
  <si>
    <t>STT_05047_ThanhCao</t>
  </si>
  <si>
    <t>STT_00529_YenThuong</t>
  </si>
  <si>
    <t>STT_00532_YenVien</t>
  </si>
  <si>
    <t>STT_00535_NinhHiep</t>
  </si>
  <si>
    <t>STT_00538_DinhXuyen</t>
  </si>
  <si>
    <t>STT_00541_DuongHa</t>
  </si>
  <si>
    <t>STT_00544_PhuDong</t>
  </si>
  <si>
    <t>STT_00547_TrungMau</t>
  </si>
  <si>
    <t>STT_00550_LeChi</t>
  </si>
  <si>
    <t>STT_00553_CoBi</t>
  </si>
  <si>
    <t>STT_00556_DangXa</t>
  </si>
  <si>
    <t>STT_00559_PhuThi</t>
  </si>
  <si>
    <t>STT_00562_KimSon</t>
  </si>
  <si>
    <t>STT_00565_TrauQuy</t>
  </si>
  <si>
    <t>STT_00568_DuongQuang</t>
  </si>
  <si>
    <t>STT_00571_DuongXa</t>
  </si>
  <si>
    <t>STT_00574_DongDu</t>
  </si>
  <si>
    <t>STT_00577_DaTon</t>
  </si>
  <si>
    <t>STT_00580_KieuKy</t>
  </si>
  <si>
    <t>STT_00583_BatTrang</t>
  </si>
  <si>
    <t>STT_00586_KimLan</t>
  </si>
  <si>
    <t>STT_00589_VanDuc</t>
  </si>
  <si>
    <t>STT_26173_PhuLy</t>
  </si>
  <si>
    <t>STT_26176_TriAn</t>
  </si>
  <si>
    <t>STT_26179_TanAn</t>
  </si>
  <si>
    <t>STT_26182_VinhTan</t>
  </si>
  <si>
    <t>STT_26185_BinhLoi</t>
  </si>
  <si>
    <t>STT_26188_ThanhPhu</t>
  </si>
  <si>
    <t>STT_26191_ThienTan</t>
  </si>
  <si>
    <t>STT_26194_TanBinh</t>
  </si>
  <si>
    <t>STT_26197_BinhHoa</t>
  </si>
  <si>
    <t>STT_26200_MaDa</t>
  </si>
  <si>
    <t>STT_26203_HieuLiem</t>
  </si>
  <si>
    <t>STT_07246_CanhNau</t>
  </si>
  <si>
    <t>STT_07249_XuanLuong</t>
  </si>
  <si>
    <t>STT_07252_TamTien</t>
  </si>
  <si>
    <t>STT_07255_DongVuong</t>
  </si>
  <si>
    <t>STT_07258_DongHuu</t>
  </si>
  <si>
    <t>STT_07260_DongTam</t>
  </si>
  <si>
    <t>STT_07261_TamHiep</t>
  </si>
  <si>
    <t>STT_07264_TienThang</t>
  </si>
  <si>
    <t>STT_07267_HongKy</t>
  </si>
  <si>
    <t>STT_07270_DongLac</t>
  </si>
  <si>
    <t>STT_07273_DongSon</t>
  </si>
  <si>
    <t>STT_07276_TanHiep</t>
  </si>
  <si>
    <t>STT_07279_HuongVi</t>
  </si>
  <si>
    <t>STT_07282_DongKy</t>
  </si>
  <si>
    <t>STT_07285_AnThuong</t>
  </si>
  <si>
    <t>STT_07288_PhonXuong</t>
  </si>
  <si>
    <t>STT_07291_TanSoi</t>
  </si>
  <si>
    <t>STT_07294_BoHa</t>
  </si>
  <si>
    <t>STT_25945_TanBinh</t>
  </si>
  <si>
    <t>STT_25948_TanDongHiep</t>
  </si>
  <si>
    <t>STT_25951_BinhAn</t>
  </si>
  <si>
    <t>STT_25954_BinhThang</t>
  </si>
  <si>
    <t>STT_25957_DongHoa</t>
  </si>
  <si>
    <t>STT_25960_AnBinh</t>
  </si>
  <si>
    <t>STT_31231_ThanhAn</t>
  </si>
  <si>
    <t>STT_31232_VinhThanh</t>
  </si>
  <si>
    <t>STT_31234_ThanhMy</t>
  </si>
  <si>
    <t>STT_31237_VinhTrinh</t>
  </si>
  <si>
    <t>STT_31240_ThanhAn</t>
  </si>
  <si>
    <t>STT_31241_ThanhTien</t>
  </si>
  <si>
    <t>STT_31243_ThanhThang</t>
  </si>
  <si>
    <t>STT_31244_ThanhLoi</t>
  </si>
  <si>
    <t>STT_31246_ThanhQuoi</t>
  </si>
  <si>
    <t>STT_31252_ThanhLoc</t>
  </si>
  <si>
    <t>STT_03165_PaTan</t>
  </si>
  <si>
    <t>STT_03166_ChaCang</t>
  </si>
  <si>
    <t>STT_03167_NaCoSa</t>
  </si>
  <si>
    <t>STT_03168_NaKhoa</t>
  </si>
  <si>
    <t>STT_03169_NaHy</t>
  </si>
  <si>
    <t>STT_03170_NaBung</t>
  </si>
  <si>
    <t>STT_03171_NamNhu</t>
  </si>
  <si>
    <t>STT_03173_NamChua</t>
  </si>
  <si>
    <t>STT_03174_NamKhan</t>
  </si>
  <si>
    <t>STT_03175_ChaTo</t>
  </si>
  <si>
    <t>STT_03176_VangDan</t>
  </si>
  <si>
    <t>STT_03187_ChaNua</t>
  </si>
  <si>
    <t>STT_03198_PhinHo</t>
  </si>
  <si>
    <t>STT_03199_SiPaPhin</t>
  </si>
  <si>
    <t>STT_21403_DucLoi</t>
  </si>
  <si>
    <t>STT_21406_DucThang</t>
  </si>
  <si>
    <t>STT_21409_DucNhuan</t>
  </si>
  <si>
    <t>STT_21412_DucChanh</t>
  </si>
  <si>
    <t>STT_21415_DucHiep</t>
  </si>
  <si>
    <t>STT_21418_DucMinh</t>
  </si>
  <si>
    <t>STT_21421_DucThanh</t>
  </si>
  <si>
    <t>STT_21424_DucHoa</t>
  </si>
  <si>
    <t>STT_21427_DucTan</t>
  </si>
  <si>
    <t>STT_21430_DucPhu</t>
  </si>
  <si>
    <t>STT_21433_DucPhong</t>
  </si>
  <si>
    <t>STT_21436_DucLan</t>
  </si>
  <si>
    <t>STT_17935_NamNghia</t>
  </si>
  <si>
    <t>STT_17938_NamThanh</t>
  </si>
  <si>
    <t>STT_17941_NamAnh</t>
  </si>
  <si>
    <t>STT_17944_NamXuan</t>
  </si>
  <si>
    <t>STT_17947_NamThai</t>
  </si>
  <si>
    <t>STT_17950_NamDan</t>
  </si>
  <si>
    <t>STT_17953_NamLinh</t>
  </si>
  <si>
    <t>STT_17956_NamGiang</t>
  </si>
  <si>
    <t>STT_17959_XuanHoa</t>
  </si>
  <si>
    <t>STT_17962_HungTien</t>
  </si>
  <si>
    <t>STT_17968_ThuongTanLoc</t>
  </si>
  <si>
    <t>STT_17971_KimLien</t>
  </si>
  <si>
    <t>STT_17977_HongLong</t>
  </si>
  <si>
    <t>STT_17980_XuanLam</t>
  </si>
  <si>
    <t>STT_17983_NamCat</t>
  </si>
  <si>
    <t>STT_17986_KhanhSon</t>
  </si>
  <si>
    <t>STT_17989_TrungPhucCuong</t>
  </si>
  <si>
    <t>STT_17998_NamKim</t>
  </si>
  <si>
    <t>STT_23827_ChuKrey</t>
  </si>
  <si>
    <t>STT_23830_AnTrung</t>
  </si>
  <si>
    <t>STT_23833_KongYang</t>
  </si>
  <si>
    <t>STT_23836_DakToPang</t>
  </si>
  <si>
    <t>STT_23839_SRo</t>
  </si>
  <si>
    <t>STT_23840_DakKoNing</t>
  </si>
  <si>
    <t>STT_23842_DakSong</t>
  </si>
  <si>
    <t>STT_23843_DakPling</t>
  </si>
  <si>
    <t>STT_23845_YangTrung</t>
  </si>
  <si>
    <t>STT_23846_DakPoPho</t>
  </si>
  <si>
    <t>STT_23848_YaMa</t>
  </si>
  <si>
    <t>STT_23851_ChoLong</t>
  </si>
  <si>
    <t>STT_23854_YangNam</t>
  </si>
  <si>
    <t>STT_20644_QueXuan1</t>
  </si>
  <si>
    <t>STT_20647_QueXuan2</t>
  </si>
  <si>
    <t>STT_20650_QuePhu</t>
  </si>
  <si>
    <t>STT_20651_HuongAn</t>
  </si>
  <si>
    <t>STT_20659_QueHiep</t>
  </si>
  <si>
    <t>STT_20662_QueThuan</t>
  </si>
  <si>
    <t>STT_20665_QueMy</t>
  </si>
  <si>
    <t>STT_20677_QueLong</t>
  </si>
  <si>
    <t>STT_20680_QueChau</t>
  </si>
  <si>
    <t>STT_20683_QuePhong</t>
  </si>
  <si>
    <t>STT_20686_QueAn</t>
  </si>
  <si>
    <t>STT_20689_QueMinh</t>
  </si>
  <si>
    <t>STT_21553_NhonPhu</t>
  </si>
  <si>
    <t>STT_21556_DongDa</t>
  </si>
  <si>
    <t>STT_21559_TranQuangDieu</t>
  </si>
  <si>
    <t>STT_21562_HaiCang</t>
  </si>
  <si>
    <t>STT_21565_QuangTrung</t>
  </si>
  <si>
    <t>STT_21568_ThiNai</t>
  </si>
  <si>
    <t>STT_21571_LeHongPhong</t>
  </si>
  <si>
    <t>STT_21574_TranHungDao</t>
  </si>
  <si>
    <t>STT_21577_NgoMay</t>
  </si>
  <si>
    <t>STT_21580_LyThuongKiet</t>
  </si>
  <si>
    <t>STT_21583_LeLoi</t>
  </si>
  <si>
    <t>STT_21586_TranPhu</t>
  </si>
  <si>
    <t>STT_21589_BuiThiXuan</t>
  </si>
  <si>
    <t>STT_21592_NguyenVanCu</t>
  </si>
  <si>
    <t>STT_21595_GhenhRang</t>
  </si>
  <si>
    <t>STT_21598_NhonLy</t>
  </si>
  <si>
    <t>STT_21601_NhonHoi</t>
  </si>
  <si>
    <t>STT_21604_NhonHai</t>
  </si>
  <si>
    <t>STT_21607_NhonChau</t>
  </si>
  <si>
    <t>STT_21991_PhuocMy</t>
  </si>
  <si>
    <t>STT_25996_TanPhong</t>
  </si>
  <si>
    <t>STT_25999_TanBien</t>
  </si>
  <si>
    <t>STT_26002_HoNai</t>
  </si>
  <si>
    <t>STT_26005_TanHoa</t>
  </si>
  <si>
    <t>STT_26008_TanHiep</t>
  </si>
  <si>
    <t>STT_26011_BuuLong</t>
  </si>
  <si>
    <t>STT_26014_TanTien</t>
  </si>
  <si>
    <t>STT_26017_TamHiep</t>
  </si>
  <si>
    <t>STT_26020_LongBinh</t>
  </si>
  <si>
    <t>STT_26023_QuangVinh</t>
  </si>
  <si>
    <t>STT_26026_TanMai</t>
  </si>
  <si>
    <t>STT_26029_ThongNhat</t>
  </si>
  <si>
    <t>STT_26032_TrungDung</t>
  </si>
  <si>
    <t>STT_26035_TamHoa</t>
  </si>
  <si>
    <t>STT_26038_HoaBinh</t>
  </si>
  <si>
    <t>STT_26041_QuyetThang</t>
  </si>
  <si>
    <t>STT_26044_ThanhBinh</t>
  </si>
  <si>
    <t>STT_26047_BinhDa</t>
  </si>
  <si>
    <t>STT_26050_AnBinh</t>
  </si>
  <si>
    <t>STT_26053_BuuHoa</t>
  </si>
  <si>
    <t>STT_26056_LongBinhTan</t>
  </si>
  <si>
    <t>STT_26059_TanVan</t>
  </si>
  <si>
    <t>STT_26062_TanHanh</t>
  </si>
  <si>
    <t>STT_26065_HiepHoa</t>
  </si>
  <si>
    <t>STT_26068_HoaAn</t>
  </si>
  <si>
    <t>STT_26371_AnHoa</t>
  </si>
  <si>
    <t>STT_26374_TamPhuoc</t>
  </si>
  <si>
    <t>STT_26377_PhuocTan</t>
  </si>
  <si>
    <t>STT_26380_LongHung</t>
  </si>
  <si>
    <t>STT_17332_ThoSon</t>
  </si>
  <si>
    <t>STT_17335_ThanhSon</t>
  </si>
  <si>
    <t>STT_17338_BinhSon</t>
  </si>
  <si>
    <t>STT_17341_TamSon</t>
  </si>
  <si>
    <t>STT_17344_DinhSon</t>
  </si>
  <si>
    <t>STT_17347_HungSon</t>
  </si>
  <si>
    <t>STT_17350_CamSon</t>
  </si>
  <si>
    <t>STT_17353_DucSon</t>
  </si>
  <si>
    <t>STT_17356_TuongSon</t>
  </si>
  <si>
    <t>STT_17357_HoaSon</t>
  </si>
  <si>
    <t>STT_17359_TaoSon</t>
  </si>
  <si>
    <t>STT_17362_VinhSon</t>
  </si>
  <si>
    <t>STT_17365_LangSon</t>
  </si>
  <si>
    <t>STT_17368_HoiSon</t>
  </si>
  <si>
    <t>STT_17371_ThachSon</t>
  </si>
  <si>
    <t>STT_17374_PhucSon</t>
  </si>
  <si>
    <t>STT_17377_LongSon</t>
  </si>
  <si>
    <t>STT_17380_KhaiSon</t>
  </si>
  <si>
    <t>STT_17383_LinhSon</t>
  </si>
  <si>
    <t>STT_17386_CaoSon</t>
  </si>
  <si>
    <t>STT_04171_BoSinh</t>
  </si>
  <si>
    <t>STT_04174_PuPau</t>
  </si>
  <si>
    <t>STT_04177_ChiengPhung</t>
  </si>
  <si>
    <t>STT_04180_ChiengEn</t>
  </si>
  <si>
    <t>STT_04183_MuongLam</t>
  </si>
  <si>
    <t>STT_04186_NamTy</t>
  </si>
  <si>
    <t>STT_04189_DuaMon</t>
  </si>
  <si>
    <t>STT_04192_YenHung</t>
  </si>
  <si>
    <t>STT_04195_ChiengSo</t>
  </si>
  <si>
    <t>STT_04198_NaNghiu</t>
  </si>
  <si>
    <t>STT_04201_NamMan</t>
  </si>
  <si>
    <t>STT_04204_ChiengKhoong</t>
  </si>
  <si>
    <t>STT_04207_ChiengCang</t>
  </si>
  <si>
    <t>STT_04210_HuoiMot</t>
  </si>
  <si>
    <t>STT_04213_MuongSai</t>
  </si>
  <si>
    <t>STT_04216_MuongCai</t>
  </si>
  <si>
    <t>STT_04219_MuongHung</t>
  </si>
  <si>
    <t>STT_04222_ChiengKhuong</t>
  </si>
  <si>
    <t>STT_23455_DakRing</t>
  </si>
  <si>
    <t>STT_23458_MangBuk</t>
  </si>
  <si>
    <t>STT_23461_DakTang</t>
  </si>
  <si>
    <t>STT_23464_NgokTem</t>
  </si>
  <si>
    <t>STT_23467_PoE</t>
  </si>
  <si>
    <t>STT_23470_MangCanh</t>
  </si>
  <si>
    <t>STT_23473_MangDen</t>
  </si>
  <si>
    <t>STT_23476_Hieu</t>
  </si>
  <si>
    <t>STT_01225_TienNguyen</t>
  </si>
  <si>
    <t>STT_01228_TanNam</t>
  </si>
  <si>
    <t>STT_01231_BanRia</t>
  </si>
  <si>
    <t>STT_01234_YenThanh</t>
  </si>
  <si>
    <t>STT_01237_YenBinh</t>
  </si>
  <si>
    <t>STT_01240_TanTrinh</t>
  </si>
  <si>
    <t>STT_01243_TanBac</t>
  </si>
  <si>
    <t>STT_01246_BangLang</t>
  </si>
  <si>
    <t>STT_01249_YenHa</t>
  </si>
  <si>
    <t>STT_01252_HuongSon</t>
  </si>
  <si>
    <t>STT_01255_XuanGiang</t>
  </si>
  <si>
    <t>STT_01258_NaKhuong</t>
  </si>
  <si>
    <t>STT_01261_TienYen</t>
  </si>
  <si>
    <t>STT_01264_ViThuong</t>
  </si>
  <si>
    <t>STT_27262_09</t>
  </si>
  <si>
    <t>STT_27265_06</t>
  </si>
  <si>
    <t>STT_27268_08</t>
  </si>
  <si>
    <t>STT_27271_10</t>
  </si>
  <si>
    <t>STT_27277_18</t>
  </si>
  <si>
    <t>STT_27280_14</t>
  </si>
  <si>
    <t>STT_27283_04</t>
  </si>
  <si>
    <t>STT_27286_03</t>
  </si>
  <si>
    <t>STT_27289_16</t>
  </si>
  <si>
    <t>STT_27292_02</t>
  </si>
  <si>
    <t>STT_27295_15</t>
  </si>
  <si>
    <t>STT_27298_01</t>
  </si>
  <si>
    <t>STT_16231_CanKhe</t>
  </si>
  <si>
    <t>STT_16234_XuanDu</t>
  </si>
  <si>
    <t>STT_16240_PhuongNghi</t>
  </si>
  <si>
    <t>STT_16243_MauLam</t>
  </si>
  <si>
    <t>STT_16246_XuanKhang</t>
  </si>
  <si>
    <t>STT_16249_PhuNhuan</t>
  </si>
  <si>
    <t>STT_16252_HaiLong</t>
  </si>
  <si>
    <t>STT_16258_XuanThai</t>
  </si>
  <si>
    <t>STT_16261_XuanPhuc</t>
  </si>
  <si>
    <t>STT_16264_YenTho</t>
  </si>
  <si>
    <t>STT_16267_YenLac</t>
  </si>
  <si>
    <t>STT_16273_ThanhTan</t>
  </si>
  <si>
    <t>STT_16276_ThanhKy</t>
  </si>
  <si>
    <t>STT_01024_BanMay</t>
  </si>
  <si>
    <t>STT_01027_ThangTin</t>
  </si>
  <si>
    <t>STT_01030_ThenChuPhin</t>
  </si>
  <si>
    <t>STT_01033_PoLo</t>
  </si>
  <si>
    <t>STT_01036_BanPhung</t>
  </si>
  <si>
    <t>STT_01039_TungSan</t>
  </si>
  <si>
    <t>STT_01042_ChienPho</t>
  </si>
  <si>
    <t>STT_01045_DanVan</t>
  </si>
  <si>
    <t>STT_01048_TuNhan</t>
  </si>
  <si>
    <t>STT_01051_TanTien</t>
  </si>
  <si>
    <t>STT_01054_NangDon</t>
  </si>
  <si>
    <t>STT_01057_PoLyNgai</t>
  </si>
  <si>
    <t>STT_01060_SanXaHo</t>
  </si>
  <si>
    <t>STT_01063_BanLuoc</t>
  </si>
  <si>
    <t>STT_01066_NgamDangVai</t>
  </si>
  <si>
    <t>STT_01069_BanNhung</t>
  </si>
  <si>
    <t>STT_01072_TaSuChoong</t>
  </si>
  <si>
    <t>STT_01075_NamDich</t>
  </si>
  <si>
    <t>STT_01081_HoThau</t>
  </si>
  <si>
    <t>STT_01084_NamSon</t>
  </si>
  <si>
    <t>STT_01087_NamTy</t>
  </si>
  <si>
    <t>STT_01090_ThongNguyen</t>
  </si>
  <si>
    <t>STT_01093_NamKhoa</t>
  </si>
  <si>
    <t>STT_08665_ThachDong</t>
  </si>
  <si>
    <t>STT_08668_XuanLoc</t>
  </si>
  <si>
    <t>STT_08671_TanPhuong</t>
  </si>
  <si>
    <t>STT_08674_ThanhThuy</t>
  </si>
  <si>
    <t>STT_08677_SonThuy</t>
  </si>
  <si>
    <t>STT_08680_BaoYen</t>
  </si>
  <si>
    <t>STT_08683_DoanHa</t>
  </si>
  <si>
    <t>STT_08686_DongTrung</t>
  </si>
  <si>
    <t>STT_08689_HoangXa</t>
  </si>
  <si>
    <t>STT_08701_TuVu</t>
  </si>
  <si>
    <t>STT_08737_HungVuong</t>
  </si>
  <si>
    <t>STT_08740_TrungNhi</t>
  </si>
  <si>
    <t>STT_08743_PhucThang</t>
  </si>
  <si>
    <t>STT_08746_XuanHoa</t>
  </si>
  <si>
    <t>STT_08747_DongXuan</t>
  </si>
  <si>
    <t>STT_08749_NgocThanh</t>
  </si>
  <si>
    <t>STT_08752_CaoMinh</t>
  </si>
  <si>
    <t>STT_08755_NamViem</t>
  </si>
  <si>
    <t>STT_08758_TienChau</t>
  </si>
  <si>
    <t>STT_09577_PhuThinh</t>
  </si>
  <si>
    <t>STT_09580_NgoQuyen</t>
  </si>
  <si>
    <t>STT_09583_QuangTrung</t>
  </si>
  <si>
    <t>STT_09586_SonLoc</t>
  </si>
  <si>
    <t>STT_09589_XuanKhanh</t>
  </si>
  <si>
    <t>STT_09592_DuongLam</t>
  </si>
  <si>
    <t>STT_09595_VienSon</t>
  </si>
  <si>
    <t>STT_09598_XuanSon</t>
  </si>
  <si>
    <t>STT_09601_TrungHung</t>
  </si>
  <si>
    <t>STT_09604_ThanhMy</t>
  </si>
  <si>
    <t>STT_09607_TrungSonTram</t>
  </si>
  <si>
    <t>STT_09610_KimSon</t>
  </si>
  <si>
    <t>STT_09613_SonDong</t>
  </si>
  <si>
    <t>STT_09616_CoDong</t>
  </si>
  <si>
    <t>STT_20005_HuongToan</t>
  </si>
  <si>
    <t>STT_20008_HuongVan</t>
  </si>
  <si>
    <t>STT_20011_HuongVan</t>
  </si>
  <si>
    <t>STT_20017_HuongXuan</t>
  </si>
  <si>
    <t>STT_20020_HuongChu</t>
  </si>
  <si>
    <t>STT_20026_HuongBinh</t>
  </si>
  <si>
    <t>STT_20035_BinhTien</t>
  </si>
  <si>
    <t>STT_20041_BinhThanh</t>
  </si>
  <si>
    <t>STT_05611_Du</t>
  </si>
  <si>
    <t>STT_05614_YenNinh</t>
  </si>
  <si>
    <t>STT_05617_YenTrach</t>
  </si>
  <si>
    <t>STT_05620_YenDo</t>
  </si>
  <si>
    <t>STT_05623_YenLac</t>
  </si>
  <si>
    <t>STT_05626_OnLuong</t>
  </si>
  <si>
    <t>STT_05629_DongDat</t>
  </si>
  <si>
    <t>STT_05632_PhuLy</t>
  </si>
  <si>
    <t>STT_05635_PhuDo</t>
  </si>
  <si>
    <t>STT_05638_HopThanh</t>
  </si>
  <si>
    <t>STT_05641_TucTranh</t>
  </si>
  <si>
    <t>STT_05644_PhanMe</t>
  </si>
  <si>
    <t>STT_05647_VoTranh</t>
  </si>
  <si>
    <t>STT_05650_CoLung</t>
  </si>
  <si>
    <t>STT_02755_TaNgaiCho</t>
  </si>
  <si>
    <t>STT_02758_TungChungPho</t>
  </si>
  <si>
    <t>STT_02761_MuongKhuong</t>
  </si>
  <si>
    <t>STT_02764_DinChin</t>
  </si>
  <si>
    <t>STT_02767_TaGiaKhau</t>
  </si>
  <si>
    <t>STT_02770_NamChay</t>
  </si>
  <si>
    <t>STT_02773_NamLu</t>
  </si>
  <si>
    <t>STT_02776_LungKhauNhin</t>
  </si>
  <si>
    <t>STT_02779_ThanhBinh</t>
  </si>
  <si>
    <t>STT_02782_CaoSon</t>
  </si>
  <si>
    <t>STT_02785_LungVai</t>
  </si>
  <si>
    <t>STT_02788_BanLau</t>
  </si>
  <si>
    <t>STT_02791_LaPanTan</t>
  </si>
  <si>
    <t>STT_02794_TaThang</t>
  </si>
  <si>
    <t>STT_02797_BanSen</t>
  </si>
  <si>
    <t>STT_20968_TamXuanI</t>
  </si>
  <si>
    <t>STT_20971_TamXuanII</t>
  </si>
  <si>
    <t>STT_20974_TamTien</t>
  </si>
  <si>
    <t>STT_20977_TamSon</t>
  </si>
  <si>
    <t>STT_20980_TamThanh</t>
  </si>
  <si>
    <t>STT_20983_TamAnhBac</t>
  </si>
  <si>
    <t>STT_20984_TamAnhNam</t>
  </si>
  <si>
    <t>STT_20986_TamHoa</t>
  </si>
  <si>
    <t>STT_20989_TamHiep</t>
  </si>
  <si>
    <t>STT_20992_TamHai</t>
  </si>
  <si>
    <t>STT_20995_TamGiang</t>
  </si>
  <si>
    <t>STT_20998_TamQuang</t>
  </si>
  <si>
    <t>STT_21001_TamNghia</t>
  </si>
  <si>
    <t>STT_21004_TamMyTay</t>
  </si>
  <si>
    <t>STT_21005_TamMyDong</t>
  </si>
  <si>
    <t>STT_21007_TamTra</t>
  </si>
  <si>
    <t>STT_07378_NghiaHoa</t>
  </si>
  <si>
    <t>STT_07381_NghiaHung</t>
  </si>
  <si>
    <t>STT_07384_QuangThinh</t>
  </si>
  <si>
    <t>STT_07387_HuongSon</t>
  </si>
  <si>
    <t>STT_07390_DaoMy</t>
  </si>
  <si>
    <t>STT_07393_TienLuc</t>
  </si>
  <si>
    <t>STT_07396_AnHa</t>
  </si>
  <si>
    <t>STT_07399_Kep</t>
  </si>
  <si>
    <t>STT_07402_MyHa</t>
  </si>
  <si>
    <t>STT_07405_HuongLac</t>
  </si>
  <si>
    <t>STT_07408_DuongDuc</t>
  </si>
  <si>
    <t>STT_07411_TanThanh</t>
  </si>
  <si>
    <t>STT_07414_YenMy</t>
  </si>
  <si>
    <t>STT_07417_TanHung</t>
  </si>
  <si>
    <t>STT_07420_MyThai</t>
  </si>
  <si>
    <t>STT_07426_XuongLam</t>
  </si>
  <si>
    <t>STT_07429_XuanHuong</t>
  </si>
  <si>
    <t>STT_07432_TanDinh</t>
  </si>
  <si>
    <t>STT_07435_DaiLam</t>
  </si>
  <si>
    <t>STT_07438_ThaiDao</t>
  </si>
  <si>
    <t>STT_18856_DongPhu</t>
  </si>
  <si>
    <t>STT_18859_BacLy</t>
  </si>
  <si>
    <t>STT_18865_NamLy</t>
  </si>
  <si>
    <t>STT_18868_DongHai</t>
  </si>
  <si>
    <t>STT_18871_DongSon</t>
  </si>
  <si>
    <t>STT_18874_PhuHai</t>
  </si>
  <si>
    <t>STT_18877_BacNghia</t>
  </si>
  <si>
    <t>STT_18880_DucNinhDong</t>
  </si>
  <si>
    <t>STT_18883_QuangPhu</t>
  </si>
  <si>
    <t>STT_18886_LocNinh</t>
  </si>
  <si>
    <t>STT_18889_BaoNinh</t>
  </si>
  <si>
    <t>STT_18892_NghiaNinh</t>
  </si>
  <si>
    <t>STT_18895_ThuanDuc</t>
  </si>
  <si>
    <t>STT_18898_DucNinh</t>
  </si>
  <si>
    <t>STT_14623_BinhMinh</t>
  </si>
  <si>
    <t>STT_14629_HoiNinh</t>
  </si>
  <si>
    <t>STT_14632_XuanChinh</t>
  </si>
  <si>
    <t>STT_14635_KimDinh</t>
  </si>
  <si>
    <t>STT_14638_AnHoa</t>
  </si>
  <si>
    <t>STT_14641_HungTien</t>
  </si>
  <si>
    <t>STT_14647_QuangThien</t>
  </si>
  <si>
    <t>STT_14650_NhuHoa</t>
  </si>
  <si>
    <t>STT_14653_ChatBinh</t>
  </si>
  <si>
    <t>STT_14656_DongHuong</t>
  </si>
  <si>
    <t>STT_14659_KimChinh</t>
  </si>
  <si>
    <t>STT_14662_ThuongKiem</t>
  </si>
  <si>
    <t>STT_14665_LuuPhuong</t>
  </si>
  <si>
    <t>STT_14668_TanThanh</t>
  </si>
  <si>
    <t>STT_14671_YenLoc</t>
  </si>
  <si>
    <t>STT_14674_LaiThanh</t>
  </si>
  <si>
    <t>STT_14677_DinhHoa</t>
  </si>
  <si>
    <t>STT_14680_VanHai</t>
  </si>
  <si>
    <t>STT_14683_KimTan</t>
  </si>
  <si>
    <t>STT_14686_KimMy</t>
  </si>
  <si>
    <t>STT_14689_ConThoi</t>
  </si>
  <si>
    <t>STT_14692_KimHai</t>
  </si>
  <si>
    <t>STT_14695_KimTrung</t>
  </si>
  <si>
    <t>STT_14698_KimDong</t>
  </si>
  <si>
    <t>STT_14926_DienThuong</t>
  </si>
  <si>
    <t>STT_14929_DienHa</t>
  </si>
  <si>
    <t>STT_14932_DienQuang</t>
  </si>
  <si>
    <t>STT_14935_DienTrung</t>
  </si>
  <si>
    <t>STT_14938_ThanhSon</t>
  </si>
  <si>
    <t>STT_14941_LuongNgoai</t>
  </si>
  <si>
    <t>STT_14944_AiThuong</t>
  </si>
  <si>
    <t>STT_14947_LuongNoi</t>
  </si>
  <si>
    <t>STT_14950_DienLu</t>
  </si>
  <si>
    <t>STT_14953_LuongTrung</t>
  </si>
  <si>
    <t>STT_14956_LungNiem</t>
  </si>
  <si>
    <t>STT_14959_LungCao</t>
  </si>
  <si>
    <t>STT_14962_HaTrung</t>
  </si>
  <si>
    <t>STT_14965_CoLung</t>
  </si>
  <si>
    <t>STT_14968_ThanhLam</t>
  </si>
  <si>
    <t>STT_14971_BanCong</t>
  </si>
  <si>
    <t>STT_14974_KyTan</t>
  </si>
  <si>
    <t>STT_14977_VanNho</t>
  </si>
  <si>
    <t>STT_14980_ThietOng</t>
  </si>
  <si>
    <t>STT_14986_ThietKe</t>
  </si>
  <si>
    <t>STT_29269_MyCam</t>
  </si>
  <si>
    <t>STT_29272_AnTruongA</t>
  </si>
  <si>
    <t>STT_29275_AnTruong</t>
  </si>
  <si>
    <t>STT_29278_HuyenHoi</t>
  </si>
  <si>
    <t>STT_29281_TanAn</t>
  </si>
  <si>
    <t>STT_29284_TanBinh</t>
  </si>
  <si>
    <t>STT_29287_BinhPhu</t>
  </si>
  <si>
    <t>STT_29290_PhuongThanh</t>
  </si>
  <si>
    <t>STT_29293_DaiPhuc</t>
  </si>
  <si>
    <t>STT_29296_DaiPhuoc</t>
  </si>
  <si>
    <t>STT_29299_NhiLongPhu</t>
  </si>
  <si>
    <t>STT_29302_NhiLong</t>
  </si>
  <si>
    <t>STT_29305_DucMy</t>
  </si>
  <si>
    <t>STT_18499_DienMy</t>
  </si>
  <si>
    <t>STT_18502_HaLinh</t>
  </si>
  <si>
    <t>STT_18505_HuongThuy</t>
  </si>
  <si>
    <t>STT_18508_HoaHai</t>
  </si>
  <si>
    <t>STT_18514_PhucDong</t>
  </si>
  <si>
    <t>STT_18517_HuongGiang</t>
  </si>
  <si>
    <t>STT_18520_LocYen</t>
  </si>
  <si>
    <t>STT_18523_HuongBinh</t>
  </si>
  <si>
    <t>STT_18526_HuongLong</t>
  </si>
  <si>
    <t>STT_18529_PhuGia</t>
  </si>
  <si>
    <t>STT_18532_GiaPho</t>
  </si>
  <si>
    <t>STT_18535_PhuPhong</t>
  </si>
  <si>
    <t>STT_18538_HuongDo</t>
  </si>
  <si>
    <t>STT_18541_HuongVinh</t>
  </si>
  <si>
    <t>STT_18544_HuongXuan</t>
  </si>
  <si>
    <t>STT_18547_PhucTrach</t>
  </si>
  <si>
    <t>STT_18550_HuongTra</t>
  </si>
  <si>
    <t>STT_18553_HuongTrach</t>
  </si>
  <si>
    <t>STT_18556_HuongLam</t>
  </si>
  <si>
    <t>STT_18559_HuongLien</t>
  </si>
  <si>
    <t>STT_29462_DinhAn</t>
  </si>
  <si>
    <t>STT_29464_PhuocHung</t>
  </si>
  <si>
    <t>STT_29467_TapSon</t>
  </si>
  <si>
    <t>STT_29470_TanSon</t>
  </si>
  <si>
    <t>STT_29473_AnQuangHuu</t>
  </si>
  <si>
    <t>STT_29476_LuuNghiepAnh</t>
  </si>
  <si>
    <t>STT_29479_NgaiXuyen</t>
  </si>
  <si>
    <t>STT_29482_KimSon</t>
  </si>
  <si>
    <t>STT_29485_ThanhSon</t>
  </si>
  <si>
    <t>STT_29488_HamGiang</t>
  </si>
  <si>
    <t>STT_29489_HamTan</t>
  </si>
  <si>
    <t>STT_29491_DaiAn</t>
  </si>
  <si>
    <t>STT_29494_DinhAn</t>
  </si>
  <si>
    <t>STT_29503_NgocBien</t>
  </si>
  <si>
    <t>STT_29506_LongHiep</t>
  </si>
  <si>
    <t>STT_29509_TanHiep</t>
  </si>
  <si>
    <t>STT_17269_TanHop</t>
  </si>
  <si>
    <t>STT_17272_TanPhu</t>
  </si>
  <si>
    <t>STT_17275_TanXuan</t>
  </si>
  <si>
    <t>STT_17278_GiaiXuan</t>
  </si>
  <si>
    <t>STT_17281_NghiaBinh</t>
  </si>
  <si>
    <t>STT_17284_NghiaDong</t>
  </si>
  <si>
    <t>STT_17287_DongVan</t>
  </si>
  <si>
    <t>STT_17290_NghiaThai</t>
  </si>
  <si>
    <t>STT_17293_NghiaHop</t>
  </si>
  <si>
    <t>STT_17296_NghiaHoan</t>
  </si>
  <si>
    <t>STT_17299_NghiaPhuc</t>
  </si>
  <si>
    <t>STT_17302_TienKy</t>
  </si>
  <si>
    <t>STT_17305_TanAn</t>
  </si>
  <si>
    <t>STT_17308_NghiaDung</t>
  </si>
  <si>
    <t>STT_17311_TanLong</t>
  </si>
  <si>
    <t>STT_17314_KySon</t>
  </si>
  <si>
    <t>STT_17317_HuongSon</t>
  </si>
  <si>
    <t>STT_17320_KyTan</t>
  </si>
  <si>
    <t>STT_17323_PhuSon</t>
  </si>
  <si>
    <t>STT_17325_TanHuong</t>
  </si>
  <si>
    <t>STT_17326_NghiaHanh</t>
  </si>
  <si>
    <t>STT_03155_SenThuong</t>
  </si>
  <si>
    <t>STT_03157_ChungChai</t>
  </si>
  <si>
    <t>STT_03158_LengSuSin</t>
  </si>
  <si>
    <t>STT_03159_PaMy</t>
  </si>
  <si>
    <t>STT_03160_MuongNhe</t>
  </si>
  <si>
    <t>STT_03161_NamVi</t>
  </si>
  <si>
    <t>STT_03162_NamKe</t>
  </si>
  <si>
    <t>STT_03163_MuongToong</t>
  </si>
  <si>
    <t>STT_03164_QuangLam</t>
  </si>
  <si>
    <t>STT_03177_HuoiLenh</t>
  </si>
  <si>
    <t>STT_07616_TayYenTu</t>
  </si>
  <si>
    <t>STT_07621_VanSon</t>
  </si>
  <si>
    <t>STT_07624_HuuSan</t>
  </si>
  <si>
    <t>STT_07627_DaiSon</t>
  </si>
  <si>
    <t>STT_07630_PhucSon</t>
  </si>
  <si>
    <t>STT_07636_GiaoLiem</t>
  </si>
  <si>
    <t>STT_07642_CamDan</t>
  </si>
  <si>
    <t>STT_07645_AnLac</t>
  </si>
  <si>
    <t>STT_07648_VinhAn</t>
  </si>
  <si>
    <t>STT_07651_YenDinh</t>
  </si>
  <si>
    <t>STT_07654_LeVien</t>
  </si>
  <si>
    <t>STT_07660_AnBa</t>
  </si>
  <si>
    <t>STT_07663_TuanDao</t>
  </si>
  <si>
    <t>STT_07666_DuongHuu</t>
  </si>
  <si>
    <t>STT_07672_LongSon</t>
  </si>
  <si>
    <t>STT_07678_ThanhLuan</t>
  </si>
  <si>
    <t>STT_14323_TanThanh</t>
  </si>
  <si>
    <t>STT_14326_ThanhBinh</t>
  </si>
  <si>
    <t>STT_14329_VanGiang</t>
  </si>
  <si>
    <t>STT_14332_BichDao</t>
  </si>
  <si>
    <t>STT_14335_PhucThanh</t>
  </si>
  <si>
    <t>STT_14338_NamBinh</t>
  </si>
  <si>
    <t>STT_14341_NamThanh</t>
  </si>
  <si>
    <t>STT_14344_NinhKhanh</t>
  </si>
  <si>
    <t>STT_14347_NinhNhat</t>
  </si>
  <si>
    <t>STT_14350_NinhTien</t>
  </si>
  <si>
    <t>STT_14353_NinhPhuc</t>
  </si>
  <si>
    <t>STT_14356_NinhSon</t>
  </si>
  <si>
    <t>STT_14359_NinhPhong</t>
  </si>
  <si>
    <t>STT_18004_HungTrung</t>
  </si>
  <si>
    <t>STT_18007_HungYen</t>
  </si>
  <si>
    <t>STT_18008_HungYenBac</t>
  </si>
  <si>
    <t>STT_18010_HungTay</t>
  </si>
  <si>
    <t>STT_18016_HungDao</t>
  </si>
  <si>
    <t>STT_18019_HungMy</t>
  </si>
  <si>
    <t>STT_18022_HungThinh</t>
  </si>
  <si>
    <t>STT_18025_HungLinh</t>
  </si>
  <si>
    <t>STT_18028_HungThong</t>
  </si>
  <si>
    <t>STT_18031_HungTan</t>
  </si>
  <si>
    <t>STT_18034_HungLoi</t>
  </si>
  <si>
    <t>STT_18037_HungNghia</t>
  </si>
  <si>
    <t>STT_18040_HungPhuc</t>
  </si>
  <si>
    <t>STT_18043_LongXa</t>
  </si>
  <si>
    <t>STT_18052_ChauNhan</t>
  </si>
  <si>
    <t>STT_18055_XuanLam</t>
  </si>
  <si>
    <t>STT_18064_HungThanh</t>
  </si>
  <si>
    <t>STT_00181_VanMieu</t>
  </si>
  <si>
    <t>STT_00184_QuocTuGiam</t>
  </si>
  <si>
    <t>STT_00187_LangThuong</t>
  </si>
  <si>
    <t>STT_00190_OChoDua</t>
  </si>
  <si>
    <t>STT_00193_VanChuong</t>
  </si>
  <si>
    <t>STT_00196_HangBot</t>
  </si>
  <si>
    <t>STT_00199_LangHa</t>
  </si>
  <si>
    <t>STT_00202_KhamThien</t>
  </si>
  <si>
    <t>STT_00205_ThoQuan</t>
  </si>
  <si>
    <t>STT_00208_NamDong</t>
  </si>
  <si>
    <t>STT_00211_TrungPhung</t>
  </si>
  <si>
    <t>STT_00214_QuangTrung</t>
  </si>
  <si>
    <t>STT_00217_TrungLiet</t>
  </si>
  <si>
    <t>STT_00220_PhuongLien</t>
  </si>
  <si>
    <t>STT_00223_ThinhQuang</t>
  </si>
  <si>
    <t>STT_00226_TrungTu</t>
  </si>
  <si>
    <t>STT_00229_KimLien</t>
  </si>
  <si>
    <t>STT_00232_PhuongMai</t>
  </si>
  <si>
    <t>STT_00235_NgaTuSo</t>
  </si>
  <si>
    <t>STT_00238_KhuongThuong</t>
  </si>
  <si>
    <t>STT_15352_VinhQuang</t>
  </si>
  <si>
    <t>STT_15355_VinhYen</t>
  </si>
  <si>
    <t>STT_15358_VinhTien</t>
  </si>
  <si>
    <t>STT_15361_VinhLong</t>
  </si>
  <si>
    <t>STT_15364_VinhPhuc</t>
  </si>
  <si>
    <t>STT_15367_VinhHung</t>
  </si>
  <si>
    <t>STT_15376_VinhHoa</t>
  </si>
  <si>
    <t>STT_15379_VinhHung</t>
  </si>
  <si>
    <t>STT_15382_MinhTan</t>
  </si>
  <si>
    <t>STT_15385_NinhKhang</t>
  </si>
  <si>
    <t>STT_15388_VinhThinh</t>
  </si>
  <si>
    <t>STT_15391_VinhAn</t>
  </si>
  <si>
    <t>STT_23152_BacRuong</t>
  </si>
  <si>
    <t>STT_23158_NghiDuc</t>
  </si>
  <si>
    <t>STT_23161_LaNgau</t>
  </si>
  <si>
    <t>STT_23164_HuyKhiem</t>
  </si>
  <si>
    <t>STT_23167_MangTo</t>
  </si>
  <si>
    <t>STT_23170_DucPhu</t>
  </si>
  <si>
    <t>STT_23173_DongKho</t>
  </si>
  <si>
    <t>STT_23176_GiaAn</t>
  </si>
  <si>
    <t>STT_23179_DucBinh</t>
  </si>
  <si>
    <t>STT_23182_GiaHuynh</t>
  </si>
  <si>
    <t>STT_23185_DucThuan</t>
  </si>
  <si>
    <t>STT_23188_SuoiKiet</t>
  </si>
  <si>
    <t>STT_03127_HimLam</t>
  </si>
  <si>
    <t>STT_03130_ThanhBinh</t>
  </si>
  <si>
    <t>STT_03133_TanThanh</t>
  </si>
  <si>
    <t>STT_03136_MuongThanh</t>
  </si>
  <si>
    <t>STT_03139_NamThanh</t>
  </si>
  <si>
    <t>STT_03142_ThanhTruong</t>
  </si>
  <si>
    <t>STT_03145_ThanhMinh</t>
  </si>
  <si>
    <t>STT_03316_NaTau</t>
  </si>
  <si>
    <t>STT_03317_NaNhan</t>
  </si>
  <si>
    <t>STT_03325_MuongPhang</t>
  </si>
  <si>
    <t>STT_03326_PaKhoang</t>
  </si>
  <si>
    <t>STT_03178_XaTong</t>
  </si>
  <si>
    <t>STT_03181_MuongTung</t>
  </si>
  <si>
    <t>STT_03190_HuaNgai</t>
  </si>
  <si>
    <t>STT_03191_HuoiMi</t>
  </si>
  <si>
    <t>STT_03193_PaHam</t>
  </si>
  <si>
    <t>STT_03194_NamNen</t>
  </si>
  <si>
    <t>STT_03196_HuoiLeng</t>
  </si>
  <si>
    <t>STT_03197_SaLong</t>
  </si>
  <si>
    <t>STT_03200_MaThiHo</t>
  </si>
  <si>
    <t>STT_03201_NaSang</t>
  </si>
  <si>
    <t>STT_03202_MuongMuon</t>
  </si>
  <si>
    <t>STT_13570_NguyenLy</t>
  </si>
  <si>
    <t>STT_13573_ChinhLy</t>
  </si>
  <si>
    <t>STT_13576_ChanLy</t>
  </si>
  <si>
    <t>STT_13579_DaoLy</t>
  </si>
  <si>
    <t>STT_13582_CongLy</t>
  </si>
  <si>
    <t>STT_13585_VanLy</t>
  </si>
  <si>
    <t>STT_13588_BacLy</t>
  </si>
  <si>
    <t>STT_13591_DucLy</t>
  </si>
  <si>
    <t>STT_13594_TranHungDao</t>
  </si>
  <si>
    <t>STT_13597_VinhTru</t>
  </si>
  <si>
    <t>STT_13600_NhanThinh</t>
  </si>
  <si>
    <t>STT_13606_NhanKhang</t>
  </si>
  <si>
    <t>STT_13609_NhanMy</t>
  </si>
  <si>
    <t>STT_13612_NhanNghia</t>
  </si>
  <si>
    <t>STT_13615_NhanChinh</t>
  </si>
  <si>
    <t>STT_13618_NhanBinh</t>
  </si>
  <si>
    <t>STT_13621_PhuPhuc</t>
  </si>
  <si>
    <t>STT_13624_XuanKhe</t>
  </si>
  <si>
    <t>STT_13627_TienThang</t>
  </si>
  <si>
    <t>STT_13630_HoaHau</t>
  </si>
  <si>
    <t>STT_24308_AnBinh</t>
  </si>
  <si>
    <t>STT_24311_ThienAn</t>
  </si>
  <si>
    <t>STT_24318_DatHieu</t>
  </si>
  <si>
    <t>STT_24322_DoanKet</t>
  </si>
  <si>
    <t>STT_24325_EaBlang</t>
  </si>
  <si>
    <t>STT_24328_EaDrong</t>
  </si>
  <si>
    <t>STT_24331_ThongNhat</t>
  </si>
  <si>
    <t>STT_24332_BinhTan</t>
  </si>
  <si>
    <t>STT_24334_EaSien</t>
  </si>
  <si>
    <t>STT_24337_BinhThuan</t>
  </si>
  <si>
    <t>STT_24340_CuBao</t>
  </si>
  <si>
    <t>STT_21733_BinhDuong</t>
  </si>
  <si>
    <t>STT_21736_MyDuc</t>
  </si>
  <si>
    <t>STT_21739_MyChau</t>
  </si>
  <si>
    <t>STT_21742_MyThang</t>
  </si>
  <si>
    <t>STT_21745_MyLoc</t>
  </si>
  <si>
    <t>STT_21748_MyLoi</t>
  </si>
  <si>
    <t>STT_21751_MyAn</t>
  </si>
  <si>
    <t>STT_21754_MyPhong</t>
  </si>
  <si>
    <t>STT_21757_MyTrinh</t>
  </si>
  <si>
    <t>STT_21760_MyTho</t>
  </si>
  <si>
    <t>STT_21763_MyHoa</t>
  </si>
  <si>
    <t>STT_21766_MyThanh</t>
  </si>
  <si>
    <t>STT_21769_MyChanh</t>
  </si>
  <si>
    <t>STT_21772_MyQuang</t>
  </si>
  <si>
    <t>STT_21775_MyHiep</t>
  </si>
  <si>
    <t>STT_21778_MyTai</t>
  </si>
  <si>
    <t>STT_21781_MyCat</t>
  </si>
  <si>
    <t>STT_21784_MyChanhTay</t>
  </si>
  <si>
    <t>STT_25273_LocHoa</t>
  </si>
  <si>
    <t>STT_25276_LocAn</t>
  </si>
  <si>
    <t>STT_25279_LocTan</t>
  </si>
  <si>
    <t>STT_25280_LocThanh</t>
  </si>
  <si>
    <t>STT_25282_LocHiep</t>
  </si>
  <si>
    <t>STT_25285_LocThien</t>
  </si>
  <si>
    <t>STT_25288_LocThuan</t>
  </si>
  <si>
    <t>STT_25291_LocQuang</t>
  </si>
  <si>
    <t>STT_25292_LocPhu</t>
  </si>
  <si>
    <t>STT_25294_LocThanh</t>
  </si>
  <si>
    <t>STT_25297_LocThai</t>
  </si>
  <si>
    <t>STT_25300_LocDien</t>
  </si>
  <si>
    <t>STT_25303_LocHung</t>
  </si>
  <si>
    <t>STT_25305_LocThinh</t>
  </si>
  <si>
    <t>STT_25306_LocKhanh</t>
  </si>
  <si>
    <t>STT_30466_KhanhHoa</t>
  </si>
  <si>
    <t>STT_30469_MyDuc</t>
  </si>
  <si>
    <t>STT_30472_MyPhu</t>
  </si>
  <si>
    <t>STT_30475_OLongVy</t>
  </si>
  <si>
    <t>STT_30478_VinhThanhTrung</t>
  </si>
  <si>
    <t>STT_30481_ThanhMyTay</t>
  </si>
  <si>
    <t>STT_30484_BinhLong</t>
  </si>
  <si>
    <t>STT_30487_BinhMy</t>
  </si>
  <si>
    <t>STT_30490_BinhThuy</t>
  </si>
  <si>
    <t>STT_30493_DaoHuuCanh</t>
  </si>
  <si>
    <t>STT_30496_BinhPhu</t>
  </si>
  <si>
    <t>STT_30499_BinhChanh</t>
  </si>
  <si>
    <t>STT_30733_VinhThanh</t>
  </si>
  <si>
    <t>STT_30736_VinhQuang</t>
  </si>
  <si>
    <t>STT_30739_VinhHiep</t>
  </si>
  <si>
    <t>STT_30742_VinhBao</t>
  </si>
  <si>
    <t>STT_30745_VinhLac</t>
  </si>
  <si>
    <t>STT_30748_AnHoa</t>
  </si>
  <si>
    <t>STT_30751_AnBinh</t>
  </si>
  <si>
    <t>STT_30754_RachSoi</t>
  </si>
  <si>
    <t>STT_30757_VinhLoi</t>
  </si>
  <si>
    <t>STT_30760_VinhThong</t>
  </si>
  <si>
    <t>STT_30763_PhiThong</t>
  </si>
  <si>
    <t>STT_02377_YenThuan</t>
  </si>
  <si>
    <t>STT_02380_BachXa</t>
  </si>
  <si>
    <t>STT_02383_MinhKhuong</t>
  </si>
  <si>
    <t>STT_02386_YenLam</t>
  </si>
  <si>
    <t>STT_02389_MinhDan</t>
  </si>
  <si>
    <t>STT_02392_PhuLuu</t>
  </si>
  <si>
    <t>STT_02395_MinhHuong</t>
  </si>
  <si>
    <t>STT_02398_YenPhu</t>
  </si>
  <si>
    <t>STT_02401_TanThanh</t>
  </si>
  <si>
    <t>STT_02404_BinhXa</t>
  </si>
  <si>
    <t>STT_02407_ThaiSon</t>
  </si>
  <si>
    <t>STT_02410_NhanMuc</t>
  </si>
  <si>
    <t>STT_02413_ThanhLong</t>
  </si>
  <si>
    <t>STT_02416_BangCoc</t>
  </si>
  <si>
    <t>STT_02419_ThaiHoa</t>
  </si>
  <si>
    <t>STT_02422_DucNinh</t>
  </si>
  <si>
    <t>STT_02425_HungDuc</t>
  </si>
  <si>
    <t>STT_10609_NamHung</t>
  </si>
  <si>
    <t>STT_10612_NamTan</t>
  </si>
  <si>
    <t>STT_10615_HopTien</t>
  </si>
  <si>
    <t>STT_10618_HiepCat</t>
  </si>
  <si>
    <t>STT_10621_ThanhQuang</t>
  </si>
  <si>
    <t>STT_10624_QuocTuan</t>
  </si>
  <si>
    <t>STT_10627_NamChinh</t>
  </si>
  <si>
    <t>STT_10630_AnBinh</t>
  </si>
  <si>
    <t>STT_10633_NamTrung</t>
  </si>
  <si>
    <t>STT_10636_AnSon</t>
  </si>
  <si>
    <t>STT_10639_CongHoa</t>
  </si>
  <si>
    <t>STT_10642_ThaiTan</t>
  </si>
  <si>
    <t>STT_10645_AnLam</t>
  </si>
  <si>
    <t>STT_10648_PhuDien</t>
  </si>
  <si>
    <t>STT_10651_NamHong</t>
  </si>
  <si>
    <t>STT_10654_HongPhong</t>
  </si>
  <si>
    <t>STT_10657_DongLac</t>
  </si>
  <si>
    <t>STT_10666_MinhTan</t>
  </si>
  <si>
    <t>STT_01537_LyQuoc</t>
  </si>
  <si>
    <t>STT_01540_ThangLoi</t>
  </si>
  <si>
    <t>STT_01543_DongLoan</t>
  </si>
  <si>
    <t>STT_01546_DucQuang</t>
  </si>
  <si>
    <t>STT_01549_KimLoan</t>
  </si>
  <si>
    <t>STT_01552_QuangLong</t>
  </si>
  <si>
    <t>STT_01555_AnLac</t>
  </si>
  <si>
    <t>STT_01558_ThanhNhat</t>
  </si>
  <si>
    <t>STT_01561_VinhQuy</t>
  </si>
  <si>
    <t>STT_01564_ThongNhat</t>
  </si>
  <si>
    <t>STT_01567_CoNgan</t>
  </si>
  <si>
    <t>STT_01573_ThiHoa</t>
  </si>
  <si>
    <t>STT_31816_3</t>
  </si>
  <si>
    <t>STT_31819_5</t>
  </si>
  <si>
    <t>STT_31822_7</t>
  </si>
  <si>
    <t>STT_31825_1</t>
  </si>
  <si>
    <t>STT_31828_8</t>
  </si>
  <si>
    <t>STT_31831_NhaMat</t>
  </si>
  <si>
    <t>STT_31834_VinhTrach</t>
  </si>
  <si>
    <t>STT_31837_VinhTrachDong</t>
  </si>
  <si>
    <t>STT_31840_HiepThanh</t>
  </si>
  <si>
    <t>STT_08974_DaiThinh</t>
  </si>
  <si>
    <t>STT_08977_KimHoa</t>
  </si>
  <si>
    <t>STT_08980_ThachDa</t>
  </si>
  <si>
    <t>STT_08983_TienThang</t>
  </si>
  <si>
    <t>STT_08986_TuLap</t>
  </si>
  <si>
    <t>STT_08989_QuangMinh</t>
  </si>
  <si>
    <t>STT_08992_ThanhLam</t>
  </si>
  <si>
    <t>STT_08995_TamDong</t>
  </si>
  <si>
    <t>STT_08998_LienMac</t>
  </si>
  <si>
    <t>STT_09001_VanYen</t>
  </si>
  <si>
    <t>STT_09004_ChuPhan</t>
  </si>
  <si>
    <t>STT_09007_TienThinh</t>
  </si>
  <si>
    <t>STT_09010_MeLinh</t>
  </si>
  <si>
    <t>STT_09013_VanKhe</t>
  </si>
  <si>
    <t>STT_09016_HoangKim</t>
  </si>
  <si>
    <t>STT_09019_TienPhong</t>
  </si>
  <si>
    <t>STT_09022_TrangViet</t>
  </si>
  <si>
    <t>STT_20554_DienTien</t>
  </si>
  <si>
    <t>STT_20557_DienHoa</t>
  </si>
  <si>
    <t>STT_20560_DienThangBac</t>
  </si>
  <si>
    <t>STT_20561_DienThangTrung</t>
  </si>
  <si>
    <t>STT_20562_DienThangNam</t>
  </si>
  <si>
    <t>STT_20563_DienNgoc</t>
  </si>
  <si>
    <t>STT_20566_DienHong</t>
  </si>
  <si>
    <t>STT_20569_DienTho</t>
  </si>
  <si>
    <t>STT_20572_DienPhuoc</t>
  </si>
  <si>
    <t>STT_20575_DienAn</t>
  </si>
  <si>
    <t>STT_20578_DienNamBac</t>
  </si>
  <si>
    <t>STT_20579_DienNamTrung</t>
  </si>
  <si>
    <t>STT_20580_DienNamDong</t>
  </si>
  <si>
    <t>STT_20581_DienDuong</t>
  </si>
  <si>
    <t>STT_20584_DienQuang</t>
  </si>
  <si>
    <t>STT_20587_DienTrung</t>
  </si>
  <si>
    <t>STT_20590_DienPhong</t>
  </si>
  <si>
    <t>STT_20593_DienMinh</t>
  </si>
  <si>
    <t>STT_20596_DienPhuong</t>
  </si>
  <si>
    <t>STT_00244_BachDang</t>
  </si>
  <si>
    <t>STT_00247_PhamDinhHo</t>
  </si>
  <si>
    <t>STT_00256_LeDaiHanh</t>
  </si>
  <si>
    <t>STT_00259_DongNhan</t>
  </si>
  <si>
    <t>STT_00262_PhoHue</t>
  </si>
  <si>
    <t>STT_00265_DongMac</t>
  </si>
  <si>
    <t>STT_00268_ThanhLuong</t>
  </si>
  <si>
    <t>STT_00271_ThanhNhan</t>
  </si>
  <si>
    <t>STT_00274_CauDen</t>
  </si>
  <si>
    <t>STT_00277_BachKhoa</t>
  </si>
  <si>
    <t>STT_00280_DongTam</t>
  </si>
  <si>
    <t>STT_00283_VinhTuy</t>
  </si>
  <si>
    <t>STT_00286_BachMai</t>
  </si>
  <si>
    <t>STT_00289_QuynhMai</t>
  </si>
  <si>
    <t>STT_00292_QuynhLoi</t>
  </si>
  <si>
    <t>STT_00295_MinhKhai</t>
  </si>
  <si>
    <t>STT_00298_TruongDinh</t>
  </si>
  <si>
    <t>STT_13747_HienKhanh</t>
  </si>
  <si>
    <t>STT_13750_MinhTan</t>
  </si>
  <si>
    <t>STT_13753_HopHung</t>
  </si>
  <si>
    <t>STT_13756_DaiAn</t>
  </si>
  <si>
    <t>STT_13762_CongHoa</t>
  </si>
  <si>
    <t>STT_13765_TrungThanh</t>
  </si>
  <si>
    <t>STT_13768_QuangTrung</t>
  </si>
  <si>
    <t>STT_13777_ThanhLoi</t>
  </si>
  <si>
    <t>STT_13780_KimThai</t>
  </si>
  <si>
    <t>STT_13783_LienMinh</t>
  </si>
  <si>
    <t>STT_13786_DaiThang</t>
  </si>
  <si>
    <t>STT_13789_TamThanh</t>
  </si>
  <si>
    <t>STT_13792_VinhHao</t>
  </si>
  <si>
    <t>STT_21043_BinhThuan</t>
  </si>
  <si>
    <t>STT_21046_BinhThanh</t>
  </si>
  <si>
    <t>STT_21049_BinhDong</t>
  </si>
  <si>
    <t>STT_21052_BinhChanh</t>
  </si>
  <si>
    <t>STT_21055_BinhNguyen</t>
  </si>
  <si>
    <t>STT_21058_BinhKhuong</t>
  </si>
  <si>
    <t>STT_21061_BinhTri</t>
  </si>
  <si>
    <t>STT_21064_BinhAn</t>
  </si>
  <si>
    <t>STT_21067_BinhHai</t>
  </si>
  <si>
    <t>STT_21070_BinhDuong</t>
  </si>
  <si>
    <t>STT_21073_BinhPhuoc</t>
  </si>
  <si>
    <t>STT_21079_BinhHoa</t>
  </si>
  <si>
    <t>STT_21082_BinhTrung</t>
  </si>
  <si>
    <t>STT_21085_BinhMinh</t>
  </si>
  <si>
    <t>STT_21088_BinhLong</t>
  </si>
  <si>
    <t>STT_21091_BinhThanh</t>
  </si>
  <si>
    <t>STT_21100_BinhChuong</t>
  </si>
  <si>
    <t>STT_21103_BinhHiep</t>
  </si>
  <si>
    <t>STT_21106_BinhMy</t>
  </si>
  <si>
    <t>STT_21109_BinhTanPhu</t>
  </si>
  <si>
    <t>STT_21112_BinhChau</t>
  </si>
  <si>
    <t>8_Viện Đào tạo Quốc tế về Khoa học Vật liệu (ITIMS)</t>
  </si>
  <si>
    <t>9_Trường Cơ khí</t>
  </si>
  <si>
    <t>10_Trung tâm Chuyển đổi số</t>
  </si>
  <si>
    <t>23_Ký túc xá</t>
  </si>
  <si>
    <t>25_BK-Holdings</t>
  </si>
  <si>
    <t>32_Ban Công tác sinh viên</t>
  </si>
  <si>
    <t>33_Ban Cơ sở vật chất</t>
  </si>
  <si>
    <t>34_Ban Hợp tác đối ngoại</t>
  </si>
  <si>
    <t>35_Ban Khoa học - Công nghệ</t>
  </si>
  <si>
    <t>37_Ban Quản lý chất lượng</t>
  </si>
  <si>
    <t>39_Ban Quản lý dự án Nâng cao chất lượng giáo dục đại học</t>
  </si>
  <si>
    <t>41_Ban Thanh Tra Nhân dân</t>
  </si>
  <si>
    <t>42_Ban Thanh tra, Pháp chế và Kiểm toán nội bộ</t>
  </si>
  <si>
    <t>43_Ban Tuyển sinh - Hướng nghiệp</t>
  </si>
  <si>
    <t>44_Ban Tài chính - Kế hoạch</t>
  </si>
  <si>
    <t>45_Ban Tổ chức - Nhân sự</t>
  </si>
  <si>
    <t>47_Ban Xúc tiến đầu tư và Phát triển hạ tầng</t>
  </si>
  <si>
    <t>48_Ban Đào tạo</t>
  </si>
  <si>
    <t>51_Hội Cựu Chiến binh</t>
  </si>
  <si>
    <t>52_Hội đồng ĐHBKHN</t>
  </si>
  <si>
    <t>53_Khoa Giáo dục Quốc phòng và An ninh</t>
  </si>
  <si>
    <t>60_Khoa  Giáo dục Thể chất</t>
  </si>
  <si>
    <t>66_Khoa Khoa học và Công nghệ giáo dục</t>
  </si>
  <si>
    <t>67_Khoa Lý luận chính trị</t>
  </si>
  <si>
    <t>75_Khoa Ngoại ngữ</t>
  </si>
  <si>
    <t>90_Khoa Toán - Tin</t>
  </si>
  <si>
    <t>91_Khoa Vật lý kỹ thuật</t>
  </si>
  <si>
    <t>100_Nhà xuất bản Bách Khoa</t>
  </si>
  <si>
    <t>134_Trung tâm Chuyển đổi số</t>
  </si>
  <si>
    <t>137_Trung tâm Dịch vụ và Hỗ trợ Bách khoa</t>
  </si>
  <si>
    <t>139_Trung tâm Khảo thí ngoại ngữ và Trao đổi văn hóa</t>
  </si>
  <si>
    <t>145_Trung tâm Ngôn ngữ &amp; Hỗ trợ trao đổi học thuật</t>
  </si>
  <si>
    <t>150_Trung tâm Sáng tạo và khởi nghiệp sinh viên</t>
  </si>
  <si>
    <t>152_Trung tâm Thể thao-Văn hoá</t>
  </si>
  <si>
    <t>153_Trung tâm Truyền thông và Tri thức số</t>
  </si>
  <si>
    <t>155_Trung tâm Y tế Bách khoa</t>
  </si>
  <si>
    <t>161_Trung tâm Điện tử Y sinh</t>
  </si>
  <si>
    <t>164_Trung tâm Đào tạo liên tục</t>
  </si>
  <si>
    <t>166_Trường Công nghệ Thông tin và Truyền thông</t>
  </si>
  <si>
    <t>176_Trường Cơ khí</t>
  </si>
  <si>
    <t>187_Trường Hóa và Khoa học Sự sống</t>
  </si>
  <si>
    <t>197_Trường Kinh tế</t>
  </si>
  <si>
    <t>201_Trường Vật liệu</t>
  </si>
  <si>
    <t>210_Trường Điện - Điện tử</t>
  </si>
  <si>
    <t>219_Tạp chí khoa học và công nghệ</t>
  </si>
  <si>
    <t>220_Viện Công nghệ Năng lượng</t>
  </si>
  <si>
    <t>221_Viện Công nghệ và Kinh tế số</t>
  </si>
  <si>
    <t>222_Viện Công nghệ Điều khiển và Tự động hóa</t>
  </si>
  <si>
    <t>223_Viện Khoa học và Công nghệ sức khỏe</t>
  </si>
  <si>
    <t>224_Viện Kinh tế và Quản lý</t>
  </si>
  <si>
    <t>235_Viện Kỹ thuật điều khiển và Tự động hóa</t>
  </si>
  <si>
    <t>236_Viện Nghiên cứu Quốc tế về Khoa học và Kỹ thuật tính toán</t>
  </si>
  <si>
    <t>237_Viện Nghiên cứu công nghệ không gian và dưới nước</t>
  </si>
  <si>
    <t>240_Văn phòng Đại học</t>
  </si>
  <si>
    <t>241_Đoàn Thanh niên</t>
  </si>
  <si>
    <t>11_Phòng ban số 1 - Viện đào tạo quốc tế</t>
  </si>
  <si>
    <t>12_Phòng ban số 2 - Viện đào tạo quốc tế1</t>
  </si>
  <si>
    <t>13_Bộ môn cơ khí chính xác 01</t>
  </si>
  <si>
    <t>14_Bộ môn cơ khí chính xác 02</t>
  </si>
  <si>
    <t>15_Phòng ban IT 01 - TTCDS</t>
  </si>
  <si>
    <t>16_Phòng ban IT 02 - TTCDS</t>
  </si>
  <si>
    <t>18_Phòng ban HLS 02 - TTCDS</t>
  </si>
  <si>
    <t>24_B9 ký túc xá</t>
  </si>
  <si>
    <t>26_Công ty Cổ phần nghiên cứu kỹ thuật cơ khí chính xác</t>
  </si>
  <si>
    <t>27_Trường Cao đẳng nghề Bách Khoa Hà Nội</t>
  </si>
  <si>
    <t>28_Công ty TNHH một thành viên Tư vấn và chuyển giao công nghệ Bách khoa</t>
  </si>
  <si>
    <t>29_Trường Trung học cơ sở  và Trung học phổ thông Tạ Quang Bửu</t>
  </si>
  <si>
    <t>30_Công ty TNHH trung tâm sản xuất sạch hơn Việt Nam</t>
  </si>
  <si>
    <t>54_Bm Quân sự</t>
  </si>
  <si>
    <t>55_Bm Đường lối và Công tác quốc phòng-An ninh</t>
  </si>
  <si>
    <t>59_Bm Công tác Quốc phòng</t>
  </si>
  <si>
    <t>63_Bm Thể thao cá nhân</t>
  </si>
  <si>
    <t>64_Văn phòng Khoa Giáo dục thể chất</t>
  </si>
  <si>
    <t>65_Bm Thể thao đồng đội</t>
  </si>
  <si>
    <t>76_Văn phòng Khoa</t>
  </si>
  <si>
    <t>77_Nhóm CM CTTT</t>
  </si>
  <si>
    <t>78_Nhóm CM Biên Phiên Dịch</t>
  </si>
  <si>
    <t>79_Nhóm CM Biên Phiên Dịch</t>
  </si>
  <si>
    <t>80_Nhóm CM Tiếng Pháp</t>
  </si>
  <si>
    <t>81_Nhóm CM Tiếng Anh Nghề nghiệp</t>
  </si>
  <si>
    <t>82_Nhóm CM Thực hành tiếng</t>
  </si>
  <si>
    <t>83_Nhóm CM Lý thuyết tiếng Anh</t>
  </si>
  <si>
    <t>84_Nhóm CM Ngôn ngữ Á Đông</t>
  </si>
  <si>
    <t>85_Nhóm CM Tiếng Anh Chuyên ngành</t>
  </si>
  <si>
    <t>86_Nhóm CM Tiếng Anh Cơ sở (khối KT)</t>
  </si>
  <si>
    <t>87_Nhóm CM Văn hóa Văn minh Anh – Mỹ</t>
  </si>
  <si>
    <t>88_Nhóm CM Tiếng Anh Nâng cao (khối KT)</t>
  </si>
  <si>
    <t>89_Nhóm CM Kỹ năng học thuật</t>
  </si>
  <si>
    <t>92_Văn phòng Khoa</t>
  </si>
  <si>
    <t>93_Trung tâm TN-TH Vật lý</t>
  </si>
  <si>
    <t>94_Vật lý lý thuyết</t>
  </si>
  <si>
    <t>95_Kỹ thuật hạt nhân và Vật lý y khoa</t>
  </si>
  <si>
    <t>96_Vật lý đại cương</t>
  </si>
  <si>
    <t>97_Vật lý và vật liệu điện tử</t>
  </si>
  <si>
    <t>98_Quang học và quang điện tử</t>
  </si>
  <si>
    <t>99_Vật lý tin học và ứng dụng</t>
  </si>
  <si>
    <t>167_Khoa Kỹ thuật Máy tính</t>
  </si>
  <si>
    <t>168_Trung tâm An toàn, anh ninh thông tin</t>
  </si>
  <si>
    <t>169_Trung tâm Quốc tế Nghiên cứu và phát triển công nghệ định vị sử dụng vệ tinh (NAVIS)</t>
  </si>
  <si>
    <t>170_Trung tâm Máy tính và Thực hành</t>
  </si>
  <si>
    <t>171_Trung tâm hỗ trợ nghiên cứu, phát triển và chuyển giao công nghệ</t>
  </si>
  <si>
    <t>172_Trung tâm Công nghệ và Giải pháp chuyển đổi số trong giáo dục</t>
  </si>
  <si>
    <t>173_Văn phòng Trường Công nghệ Thông tin và Truyền thông</t>
  </si>
  <si>
    <t>174_Trung tâm Nghiên cứu Quốc tế về trí tuệ nhân tạo</t>
  </si>
  <si>
    <t>175_Khoa Khoa học Máy tính</t>
  </si>
  <si>
    <t>177_Phòng thí nghiệm nhà máy số thông minh</t>
  </si>
  <si>
    <t>178_Khoa Cơ khí chế tạo máy</t>
  </si>
  <si>
    <t>179_Khoa Cơ điện tử</t>
  </si>
  <si>
    <t>180_Văn phòng Trường Cơ khí</t>
  </si>
  <si>
    <t>181_Khoa Năng lượng nhiệt</t>
  </si>
  <si>
    <t>182_Trung tâm Kỹ thuật Cơ khí</t>
  </si>
  <si>
    <t>183_Trung tâm nghiên cứu Công nghệ hàn và Ghép nối</t>
  </si>
  <si>
    <t>184_Trung tâm Nghiên cứu các nguồn động lực và phương tiện tự hành</t>
  </si>
  <si>
    <t>185_Khoa Cơ khí động lực</t>
  </si>
  <si>
    <t>186_Trung tâm nghiên cứu Khoa học và Công nghệ quốc tế Việt Nam-Nhật Bản</t>
  </si>
  <si>
    <t>188_Khoa Hóa học</t>
  </si>
  <si>
    <t>189_Khoa Kỹ thuật Thực phẩm</t>
  </si>
  <si>
    <t>190_Trung tâm Khoa học và Công nghệ Cao su</t>
  </si>
  <si>
    <t>191_Khoa Khoa học và Công nghệ Môi trường</t>
  </si>
  <si>
    <t>192_Văn phòng trường</t>
  </si>
  <si>
    <t>193_Khoa Kỹ thuật Sinh học</t>
  </si>
  <si>
    <t>194_Khoa Kỹ thuật Hóa học</t>
  </si>
  <si>
    <t>195_Trung tâm kỹ thuật</t>
  </si>
  <si>
    <t>196_Trung tâm Nghiên cứu và Phát triển Hóa, Môi trường và Khoa học Sự sống</t>
  </si>
  <si>
    <t>198_Khoa Quản lý</t>
  </si>
  <si>
    <t>199_Khoa Kinh doanh</t>
  </si>
  <si>
    <t>200_Văn phòng Trường</t>
  </si>
  <si>
    <t>202_Khoa Dệt May-Da giày và Thời trang</t>
  </si>
  <si>
    <t>203_Trung tâm Phân tích và đánh giá vật liệu</t>
  </si>
  <si>
    <t>204_Khoa Vật liệu Điện tử và linh kiện</t>
  </si>
  <si>
    <t>205_Khoa Vật liệu Hóa học ứng dụng</t>
  </si>
  <si>
    <t>206_Trung tâm Nghiên cứu sáng tạo về vật liệu</t>
  </si>
  <si>
    <t>207_Khoa Kỹ thuật vật liệu</t>
  </si>
  <si>
    <t>208_Trung tâm kỹ thuật</t>
  </si>
  <si>
    <t>209_Văn phòng Trường Vật liệu</t>
  </si>
  <si>
    <t>211_Viện Nghiên cứu quốc tế về Thông tin đa phương tiện, truyền thông và ứng dụng (MICA)</t>
  </si>
  <si>
    <t>212_Khoa Tự động hóa</t>
  </si>
  <si>
    <t>213_Khoa Điện tử</t>
  </si>
  <si>
    <t>214_Khoa Kỹ thuật truyền thông</t>
  </si>
  <si>
    <t>215_Trung tâm nghiên cứu Điện tử - Viễn thông</t>
  </si>
  <si>
    <t>216_Trung tâm Đào tạo thực hành Điện - Điện tử</t>
  </si>
  <si>
    <t>217_Văn phòng Trường Điện - Điện tử</t>
  </si>
  <si>
    <t>218_Khoa Điện</t>
  </si>
  <si>
    <t>226_Bm Quản lý Công nghiệp</t>
  </si>
  <si>
    <t>228_Bm Khoa học Quản lý và Luật</t>
  </si>
  <si>
    <t>229_Bm Kinh tế công nghiệp</t>
  </si>
  <si>
    <t>231_Kinh tế năng lượng</t>
  </si>
  <si>
    <t>233_Văn phòng Viện Kinh tế &amp; Quản lý</t>
  </si>
  <si>
    <t>234_Bm Quản lý tài chính</t>
  </si>
  <si>
    <t>238_Phòng nghiên cứu Tích hợp và phát triển Công nghệ Dưới nước</t>
  </si>
  <si>
    <t>239_Phòng nghiên cứu Tích hợp và phát triển Công nghệ Không gian</t>
  </si>
  <si>
    <t>9_Quyền sử dụng đất</t>
  </si>
  <si>
    <t>10_Tiếp nhận</t>
  </si>
  <si>
    <t>11_Quà tặng, biếu, khuyến mãi</t>
  </si>
  <si>
    <t>12_Kiểm kê phát hiện thừa</t>
  </si>
  <si>
    <t>13_Nhà nước giao đất</t>
  </si>
  <si>
    <t>14_Nhà nước cho thuê đất</t>
  </si>
  <si>
    <t>2_Đầu tư</t>
  </si>
  <si>
    <t>3_Tiếp nhận</t>
  </si>
  <si>
    <t>4_Quà tặng, biếu, khuyến mãi</t>
  </si>
  <si>
    <t>5_Kiểm kê phát hiện thừa</t>
  </si>
  <si>
    <t>6_Liên kết hình thành pháp nhân</t>
  </si>
  <si>
    <t>7_Liên kết hình thành không pháp nhân</t>
  </si>
  <si>
    <t>1_Viet Nam</t>
  </si>
  <si>
    <t>2_Trung Quốc</t>
  </si>
  <si>
    <t>3_Nga</t>
  </si>
  <si>
    <t>4_Hàn Quốc</t>
  </si>
  <si>
    <t>5_Anh</t>
  </si>
  <si>
    <t>6_Mỹ</t>
  </si>
  <si>
    <t>8_Nhật Bản</t>
  </si>
  <si>
    <t>10_Ba Vì</t>
  </si>
  <si>
    <t>ManagerDepartment_2(Phuong Trung Kien md 2)</t>
  </si>
  <si>
    <t>ManagerAsset_1(Phuong Trung Kien MA 1)</t>
  </si>
  <si>
    <t>ManagerAsset_2(Phuong Trung Kien MA2)</t>
  </si>
  <si>
    <t>CreateAsset_1(Phuong Trung Kien CA1)</t>
  </si>
  <si>
    <t>CreateAsset_2(Phuong Trung Kien CA2)</t>
  </si>
  <si>
    <t>usertest8(Phuong Trung Kien U2)</t>
  </si>
  <si>
    <t>365_đất TQB</t>
  </si>
  <si>
    <t>374_đất TQB</t>
  </si>
  <si>
    <t>383_đất TQB</t>
  </si>
  <si>
    <t>392_đất TQB</t>
  </si>
  <si>
    <t>407_Quyền sử dụng đất Hiệu Test</t>
  </si>
  <si>
    <t>465_Hieuj test</t>
  </si>
  <si>
    <t>468_1122</t>
  </si>
  <si>
    <t>469_eqwewqe</t>
  </si>
  <si>
    <t>471_wqwe</t>
  </si>
  <si>
    <t>472_wqe</t>
  </si>
  <si>
    <t>474_ddatass 12 33 22 Hieu</t>
  </si>
  <si>
    <t>475_wwKien</t>
  </si>
  <si>
    <t>482_đất 905 lần 1</t>
  </si>
  <si>
    <t>1_Phục vụ chức danh có tiêu chuẩn</t>
  </si>
  <si>
    <t>2_Phục vụ công tác chung</t>
  </si>
  <si>
    <t>3_Phục vụ hoạt động đặc thù</t>
  </si>
  <si>
    <t>5_Sử dụng khác</t>
  </si>
  <si>
    <t>6_Điều chuyển</t>
  </si>
  <si>
    <t>1_Chủ tịch nước</t>
  </si>
  <si>
    <t>2_Chủ tịch Quốc hội</t>
  </si>
  <si>
    <t>3_Chủ tịch xã</t>
  </si>
  <si>
    <t>4_truongthonnew</t>
  </si>
  <si>
    <t>22_Ambu bóp bóng người lớn</t>
  </si>
  <si>
    <t>23_Ambu bóp bóng trẻ em</t>
  </si>
  <si>
    <t>24_Áp kế Claude đo áp lực dịch não tuỷ</t>
  </si>
  <si>
    <t>25_Âm thoa</t>
  </si>
  <si>
    <t>26_Bàn đẩy dụng cụ</t>
  </si>
  <si>
    <t>27_Bàn đẩy phát thuốc</t>
  </si>
  <si>
    <t>28_Bàn khám bệnh người lớn</t>
  </si>
  <si>
    <t>29_Bàn khám bệnh trẻ em</t>
  </si>
  <si>
    <t>30_Bàn làm việc</t>
  </si>
  <si>
    <t>31_Bảng</t>
  </si>
  <si>
    <t>32_Bảng viết</t>
  </si>
  <si>
    <t>33_Bình ô xy</t>
  </si>
  <si>
    <t>34_Bóp bóng hô hấp người lớn</t>
  </si>
  <si>
    <t>35_Bóp bóng hô hâp trẻ em</t>
  </si>
  <si>
    <t>36_Bóp bóng hồi sức</t>
  </si>
  <si>
    <t>37_Bộ dẫn lưu màng phổi</t>
  </si>
  <si>
    <t>38_Bô dẹt</t>
  </si>
  <si>
    <t>39_Bô dẹt cho nữ</t>
  </si>
  <si>
    <t>40_Bộ dụng cụ cố định chi</t>
  </si>
  <si>
    <t>41_Bộ dụng cụ khám bệnh</t>
  </si>
  <si>
    <t>42_Bộ dụng cụ mở khí quản</t>
  </si>
  <si>
    <t>43_Bộ dụng cụ niệu đạo nam và nữ</t>
  </si>
  <si>
    <t>44_Bộ dụng cụ tiểu phẫu</t>
  </si>
  <si>
    <t>45_Bô đái cho nam</t>
  </si>
  <si>
    <t>46_Bô đái cho nam giới</t>
  </si>
  <si>
    <t>47_Bộ đặt nội khí quản người lớn trẻ em</t>
  </si>
  <si>
    <t>48_Bộ làm ẩm ô xy</t>
  </si>
  <si>
    <t>49_Bộ soi phế quản ống mềm (đặt tai khoa nội soi)</t>
  </si>
  <si>
    <t>50_Bộ thông niệu đạo nam và nữ</t>
  </si>
  <si>
    <t>51_Bốc tháo thụt</t>
  </si>
  <si>
    <t>52_Bơm cho bệnh nhân ăn tự động</t>
  </si>
  <si>
    <t>53_Bơm thức ăn đưa qua mũi dạ dày</t>
  </si>
  <si>
    <t>54_Bơm tiêm 1 lần các loại</t>
  </si>
  <si>
    <t>55_Bơm tiêm điện</t>
  </si>
  <si>
    <t>56_Bơm tiêm một lần các loại</t>
  </si>
  <si>
    <t>57_Bơm truyền dịch</t>
  </si>
  <si>
    <t>58_Bơm truyền thuỷ tinh 20ml+kim</t>
  </si>
  <si>
    <t>59_Búa thử phản xạ</t>
  </si>
  <si>
    <t>60_Ca nhổ đờm</t>
  </si>
  <si>
    <t>61_Cáng cố định</t>
  </si>
  <si>
    <t>62_Cáng đẩy</t>
  </si>
  <si>
    <t>63_Cáng khiêng</t>
  </si>
  <si>
    <t>64_Cáng tay</t>
  </si>
  <si>
    <t>65_Cannun mở khí quản các cỡ (6số)</t>
  </si>
  <si>
    <t>66_Cathete tĩnh mạch</t>
  </si>
  <si>
    <t>67_Cân bàn (trọng lượng 120 kg)</t>
  </si>
  <si>
    <t>68_Cân trọng lượng có thước đo</t>
  </si>
  <si>
    <t>69_Cân trọng lượng có thước đo chiều cao</t>
  </si>
  <si>
    <t>70_Đè lưỡi các loại</t>
  </si>
  <si>
    <t>71_Đèn Clar và biến thế</t>
  </si>
  <si>
    <t>72_Đèn cực tím loại di động</t>
  </si>
  <si>
    <t>73_Đèn cực tím tiệt trùng</t>
  </si>
  <si>
    <t>74_Đèn đọc phim X-quang</t>
  </si>
  <si>
    <t>75_Đèn khám bệnh</t>
  </si>
  <si>
    <t>76_Đèn khám bệnh treo trán</t>
  </si>
  <si>
    <t>77_Đèn soi đáy mắt</t>
  </si>
  <si>
    <t>78_Đèn soi thanh quản 3 cỡ</t>
  </si>
  <si>
    <t>79_Đèn soi thanh quản người lớn</t>
  </si>
  <si>
    <t>80_Đèn soi thanh quản trẻ em</t>
  </si>
  <si>
    <t>81_Đệm chống loét</t>
  </si>
  <si>
    <t>82_Đồng hồ ô xy đo áp lực bình ô xy</t>
  </si>
  <si>
    <t>83_Găng tay y tế</t>
  </si>
  <si>
    <t>84_Găng tay y tế cơ 6,5 và 7</t>
  </si>
  <si>
    <t>85_Ghế</t>
  </si>
  <si>
    <t>86_Ghế băng cho bệnh nhân</t>
  </si>
  <si>
    <t>87_Ghế đẩu</t>
  </si>
  <si>
    <t>88_Giá truyền huyết thanh</t>
  </si>
  <si>
    <t>89_Giường bệnh</t>
  </si>
  <si>
    <t>90_Giường cấp cứu</t>
  </si>
  <si>
    <t>91_Hệ thống báo goi y tá</t>
  </si>
  <si>
    <t>92_Hệ thống loa, tăng âm hướng dẫn bệnh nhân</t>
  </si>
  <si>
    <t>93_Hệ thống monitor (màn hình) hướng dẫn bệnh nhân</t>
  </si>
  <si>
    <t>94_Hệ thống tín hiệu báo gọi y tá</t>
  </si>
  <si>
    <t>95_Hộp gấp bông gạc các loại</t>
  </si>
  <si>
    <t>96_Hộp hấp dụng cụ các loại</t>
  </si>
  <si>
    <t>97_Hộp thu gom các loại</t>
  </si>
  <si>
    <t>98_Hộp thu gom vật sắc nhọn</t>
  </si>
  <si>
    <t>99_Huyết áp kế người lớn</t>
  </si>
  <si>
    <t>100_Huyết áp kế trẻ em</t>
  </si>
  <si>
    <t>101_Khay đựng dụng cụ các loại</t>
  </si>
  <si>
    <t>102_Khay quả đậu</t>
  </si>
  <si>
    <t>103_Khay quả đậu các loại</t>
  </si>
  <si>
    <t>104_Kim chọc dò dịch não các cỡ cho người lớn và trẻ em</t>
  </si>
  <si>
    <t>105_Kim chọc dò màng bụng</t>
  </si>
  <si>
    <t>106_Kim chọc dò màng não</t>
  </si>
  <si>
    <t>107_Kim chọc dò màng phổi</t>
  </si>
  <si>
    <t>108_Kim chọc dò tuỷ sống</t>
  </si>
  <si>
    <t>109_Kính hiển vi 2 mắt</t>
  </si>
  <si>
    <t>110_Kính lúp</t>
  </si>
  <si>
    <t>111_Lò sưởi điện</t>
  </si>
  <si>
    <t>112_Lồng ấp trẻ sơ sinh</t>
  </si>
  <si>
    <t>113_Máy  hút điện chạy liên tục áp lực thấp</t>
  </si>
  <si>
    <t>114_Máy điện tim các loại</t>
  </si>
  <si>
    <t>115_Máy đo chức năng hô háp</t>
  </si>
  <si>
    <t>116_Máy đo dung tích phổi</t>
  </si>
  <si>
    <t>117_Máy đo điện nao</t>
  </si>
  <si>
    <t>118_Máy đo lưu huyết não</t>
  </si>
  <si>
    <t>119_Máy đo nồng độ ô xy</t>
  </si>
  <si>
    <t>120_Máy đo tim thai (Dopple)</t>
  </si>
  <si>
    <t>121_Máy gây mê</t>
  </si>
  <si>
    <t>122_Máy ghi điện cơ</t>
  </si>
  <si>
    <t>123_Máy ghi điện não</t>
  </si>
  <si>
    <t>124_Máy Holter theo dõi tim mạch24h/24h</t>
  </si>
  <si>
    <t>125_Máy hút điện</t>
  </si>
  <si>
    <t>126_Máy hút điện áp lực thấp chạy liên tục</t>
  </si>
  <si>
    <t>127_Máy hút đờm dãi</t>
  </si>
  <si>
    <t>128_Máy huỷ bơm kim tiêm</t>
  </si>
  <si>
    <t>129_máy in</t>
  </si>
  <si>
    <t>130_Máy khí dung</t>
  </si>
  <si>
    <t>131_Máy nén khí</t>
  </si>
  <si>
    <t>132_Máy phá rung, tạo nhip tim</t>
  </si>
  <si>
    <t>133_Máy phát điện dự phòng 2500w-3000w,220v,50hz</t>
  </si>
  <si>
    <t>134_Máy siêu âm gắng sức</t>
  </si>
  <si>
    <t>135_Máy sốc điện</t>
  </si>
  <si>
    <t>136_Máy tán sỏi ngoài cơ thể</t>
  </si>
  <si>
    <t>137_Máy tạo nhip tim ngoài cơ thê</t>
  </si>
  <si>
    <t>138_Máy tạo ô xy cá nhân</t>
  </si>
  <si>
    <t>139_Máy tao ô xy di động</t>
  </si>
  <si>
    <t>140_Máy thở</t>
  </si>
  <si>
    <t>141_Máy thu hình 21 inch</t>
  </si>
  <si>
    <t>142_Máy vi tính</t>
  </si>
  <si>
    <t>143_Măt nạ các loại cho người lớn và trẻ em</t>
  </si>
  <si>
    <t>144_Monitor theo dõi bệnh nhân</t>
  </si>
  <si>
    <t>145_Monitor theo dõi bệnh nhân 5 thông số</t>
  </si>
  <si>
    <t>146_Monitor trung tâm</t>
  </si>
  <si>
    <t>147_Nạng tay</t>
  </si>
  <si>
    <t>148_Nhiệt kế y học 420C</t>
  </si>
  <si>
    <t>149_Nồi luộc bơm kim tiêm</t>
  </si>
  <si>
    <t>150_Nồi luộc dụng cụ</t>
  </si>
  <si>
    <t>151_Ống hút các loại</t>
  </si>
  <si>
    <t>152_Ống hút đờm dãi</t>
  </si>
  <si>
    <t>153_Ống nghe bệnh người lớn</t>
  </si>
  <si>
    <t>154_Ống nghe bệnh trẻ em</t>
  </si>
  <si>
    <t>155_Ống nghe tim thai</t>
  </si>
  <si>
    <t>156_Ống rửa dạ dày các cỡ số 2</t>
  </si>
  <si>
    <t>157_Ống thông dẫn lưu màng bụng</t>
  </si>
  <si>
    <t>158_Ống thông hậu môn người lớn và trẻ em</t>
  </si>
  <si>
    <t>159_Ống thông hút đờm dãi</t>
  </si>
  <si>
    <t>160_Ống thông Nelaton các loại</t>
  </si>
  <si>
    <t>161_Ống thông rửa dạ dày</t>
  </si>
  <si>
    <t>162_Ống thông thực phẩm qua mũi, dạ dày người lớn, trẻ em</t>
  </si>
  <si>
    <t>163_Thiết bị nhuộm tiêu bản</t>
  </si>
  <si>
    <t>164_Thiết bị tán sỏi mật thuỷ lực</t>
  </si>
  <si>
    <t>165_Thiết bị tán sỏi qua ống nội soi</t>
  </si>
  <si>
    <t>166_Thùng chứa đá</t>
  </si>
  <si>
    <t>167_Thùng đựng nước uống</t>
  </si>
  <si>
    <t>168_Thùng đựng nước uống cho bệnh nhân</t>
  </si>
  <si>
    <t>169_Thùng rác</t>
  </si>
  <si>
    <t>170_Tủ ấm</t>
  </si>
  <si>
    <t>171_Tủ dựng dụng cụ</t>
  </si>
  <si>
    <t>172_Tủ đầu giường</t>
  </si>
  <si>
    <t>173_Tủ đựng tài liệu</t>
  </si>
  <si>
    <t>174_Tủ đựng thuốc</t>
  </si>
  <si>
    <t>175_Tủ lạnh</t>
  </si>
  <si>
    <t>176_Tủ sấy điện 3000C</t>
  </si>
  <si>
    <t>177_Tủ sấy điện, 2500C</t>
  </si>
  <si>
    <t>178_Túi chườm nóng lạnh(cao su)</t>
  </si>
  <si>
    <t>179_Van điều chỉnh cho bình ô xy</t>
  </si>
  <si>
    <t>180_Xe đẩy bệnh nhân</t>
  </si>
  <si>
    <t>181_Xe đẩy bình ô xy</t>
  </si>
  <si>
    <t>182_Xe đẩy cấp phát thuốc</t>
  </si>
  <si>
    <t>183_Xe đẩy dụng cụ</t>
  </si>
  <si>
    <t>184_Xe đẩy đồ vải</t>
  </si>
  <si>
    <t>185_Xe lăn tay</t>
  </si>
  <si>
    <t>186_Bàn chuyên dụng</t>
  </si>
  <si>
    <t>187_Bàn khám bệnh</t>
  </si>
  <si>
    <t>188_Bàn mổ</t>
  </si>
  <si>
    <t>189_Bể cách thủy</t>
  </si>
  <si>
    <t>190_Bếp đun bình cầu</t>
  </si>
  <si>
    <t>191_Bộ cất quay chân không</t>
  </si>
  <si>
    <t>192_Bộ dụng cụ</t>
  </si>
  <si>
    <t>193_Bộ lưu điện, ổn áp</t>
  </si>
  <si>
    <t>194_Bơm tiêm</t>
  </si>
  <si>
    <t>195_Buồng oxy cao áp</t>
  </si>
  <si>
    <t>196_Cân bệnh nhân</t>
  </si>
  <si>
    <t>197_Cân điện tử, phân tích</t>
  </si>
  <si>
    <t>198_Cấp cứu mắt để bàn</t>
  </si>
  <si>
    <t>199_Dàn ELISA</t>
  </si>
  <si>
    <t>200_Dàn oxy tổng</t>
  </si>
  <si>
    <t>201_Dao mổ</t>
  </si>
  <si>
    <t>202_Đầu dò siêu âm</t>
  </si>
  <si>
    <t>203_Đèn mổ</t>
  </si>
  <si>
    <t>204_Đèn soi</t>
  </si>
  <si>
    <t>205_Đèn tiểu phẫu</t>
  </si>
  <si>
    <t>206_Đèn trị liệu</t>
  </si>
  <si>
    <t>207_Dụng cụ đo</t>
  </si>
  <si>
    <t>208_Dụng cụ đốt</t>
  </si>
  <si>
    <t>209_Ghế dùng cho chuyên môn</t>
  </si>
  <si>
    <t>210_Hệ thống Camera</t>
  </si>
  <si>
    <t>211_Hệ thống chuẩn tự động</t>
  </si>
  <si>
    <t>212_Hệ thống cung cấp khí</t>
  </si>
  <si>
    <t>213_Hệ thống kéo giãn</t>
  </si>
  <si>
    <t>214_Hệ thống kiểm tra</t>
  </si>
  <si>
    <t>215_Hệ thống sắc ký</t>
  </si>
  <si>
    <t>216_Hệ thống sản xuất viên hoàn</t>
  </si>
  <si>
    <t>217_Hệ thống xếp hàng tự động</t>
  </si>
  <si>
    <t>218_Hệ thống xử lý chất thải</t>
  </si>
  <si>
    <t>219_Hốt vô trùng</t>
  </si>
  <si>
    <t>220_Huyết áp</t>
  </si>
  <si>
    <t>221_Kim sinh thiết</t>
  </si>
  <si>
    <t>222_Kính hiển vi</t>
  </si>
  <si>
    <t>223_Lồng ấp trẻ sơ sinh</t>
  </si>
  <si>
    <t>224_Lồng cấy vi sinh</t>
  </si>
  <si>
    <t>225_Lực kế</t>
  </si>
  <si>
    <t xml:space="preserve">226_Lưu lượng kế   </t>
  </si>
  <si>
    <t>227_Máy bơm</t>
  </si>
  <si>
    <t>228_Máy cắt tiêu bản</t>
  </si>
  <si>
    <t>229_Máy cấy máu</t>
  </si>
  <si>
    <t>230_Máy châm cứu</t>
  </si>
  <si>
    <t>231_Máy chạy thận nhân tạo</t>
  </si>
  <si>
    <t>232_Máy chưng cất</t>
  </si>
  <si>
    <t>233_Máy chụp cắt lớp</t>
  </si>
  <si>
    <t>234_Máy chụp SPECT</t>
  </si>
  <si>
    <t>235_Máy chụp Xquang</t>
  </si>
  <si>
    <t>236_Máy cực tím</t>
  </si>
  <si>
    <t>237_Máy cung cấp khí y tế</t>
  </si>
  <si>
    <t xml:space="preserve">238_Máy đếm khuẩn  </t>
  </si>
  <si>
    <t>239_Máy đếm tế bào</t>
  </si>
  <si>
    <t>240_Máy đếm vòng vô khuẩn</t>
  </si>
  <si>
    <t>241_Máy điện châm</t>
  </si>
  <si>
    <t>242_Máy điện di</t>
  </si>
  <si>
    <t>243_Máy điện não</t>
  </si>
  <si>
    <t>244_Máy điện phân</t>
  </si>
  <si>
    <t>245_Máy điện tim</t>
  </si>
  <si>
    <t xml:space="preserve">246_Máy điện xung </t>
  </si>
  <si>
    <t>247_Máy định danh vi khuẩn</t>
  </si>
  <si>
    <t>248_Máy đổ khuôn</t>
  </si>
  <si>
    <t>249_Máy đo loãng xương</t>
  </si>
  <si>
    <t>250_Máy đốt điện</t>
  </si>
  <si>
    <t>251_Máy đun Paraffin</t>
  </si>
  <si>
    <t>252_Máy Gener Xpert rif</t>
  </si>
  <si>
    <t>253_Máy ghi dữ liệu</t>
  </si>
  <si>
    <t>254_Máy giặt</t>
  </si>
  <si>
    <t>255_Máy hấp sấy</t>
  </si>
  <si>
    <t>256_Máy hút ẩm</t>
  </si>
  <si>
    <t>257_Máy hút chân không</t>
  </si>
  <si>
    <t>258_Máy hút muỗi</t>
  </si>
  <si>
    <t>259_Máy in chuyên dùng</t>
  </si>
  <si>
    <t>260_Máy in phim Xquang</t>
  </si>
  <si>
    <t>261_Máy Khoan, cưa xương</t>
  </si>
  <si>
    <t>262_Máy khử khuẩn</t>
  </si>
  <si>
    <t>263_Máy khuấy từ</t>
  </si>
  <si>
    <t>264_Máy kích thích điện</t>
  </si>
  <si>
    <t>265_Máy lắc</t>
  </si>
  <si>
    <t>266_Máy làm ấm</t>
  </si>
  <si>
    <t>267_Máy laser</t>
  </si>
  <si>
    <t>268_Máy lọc nước, cất nước</t>
  </si>
  <si>
    <t>269_Máy ly tâm</t>
  </si>
  <si>
    <t>270_Máy MRI</t>
  </si>
  <si>
    <t>271_Máy nghiền mẫu</t>
  </si>
  <si>
    <t>272_Máy PCR</t>
  </si>
  <si>
    <t>273_Máy pha chế môi trường</t>
  </si>
  <si>
    <t xml:space="preserve">274_Máy phá mẫu vi sóng </t>
  </si>
  <si>
    <t>275_Máy xét nghiệm nước tiểu</t>
  </si>
  <si>
    <t>276_Máy phát điện</t>
  </si>
  <si>
    <t>277_Máy phun khử khuẩn</t>
  </si>
  <si>
    <t xml:space="preserve">278_Máy quang phổ </t>
  </si>
  <si>
    <t>279_Máy rửa phim</t>
  </si>
  <si>
    <t>280_Máy sắc thuốc</t>
  </si>
  <si>
    <t>281_Máy siêu âm</t>
  </si>
  <si>
    <t>282_Máy siêu âm điều trị</t>
  </si>
  <si>
    <t>283_Máy siêu âm mắt</t>
  </si>
  <si>
    <t xml:space="preserve">284_Máy soi cổ tử cung </t>
  </si>
  <si>
    <t xml:space="preserve">285_Máy soi da  </t>
  </si>
  <si>
    <t xml:space="preserve">286_Máy soi gel </t>
  </si>
  <si>
    <t>287_Máy tạo oxy</t>
  </si>
  <si>
    <t xml:space="preserve">288_Máy thái dược liệu </t>
  </si>
  <si>
    <t>289_Máy Thủ thuật mắt</t>
  </si>
  <si>
    <t>290_Máy trợ thính</t>
  </si>
  <si>
    <t>291_Máy trộn</t>
  </si>
  <si>
    <t xml:space="preserve">292_Máy ủ nhiệt khô  </t>
  </si>
  <si>
    <t>293_Máy xác định Asen</t>
  </si>
  <si>
    <t xml:space="preserve">294_Máy xay mẫu  </t>
  </si>
  <si>
    <t>295_Máy xét nghiệm huyết học</t>
  </si>
  <si>
    <t>296_Máy xét nghiệm phân tích</t>
  </si>
  <si>
    <t>297_Máy xét nghiệm sinh hóa</t>
  </si>
  <si>
    <t>298_Nhiệt kế</t>
  </si>
  <si>
    <t>299_Ô tô chuyên dùng</t>
  </si>
  <si>
    <t>300_Ô tô cứu thương</t>
  </si>
  <si>
    <t>301_Ô tô điện</t>
  </si>
  <si>
    <t>302_Pipet</t>
  </si>
  <si>
    <t>303_Thiết bị dành cho phẫu thuật</t>
  </si>
  <si>
    <t>304_Thiết bị điều trị răng</t>
  </si>
  <si>
    <t>305_Thiết bị điều trị sơ sinh</t>
  </si>
  <si>
    <t>306_Thiết bị điều trị tích cực</t>
  </si>
  <si>
    <t>307_Thiết bị điều trị TMH</t>
  </si>
  <si>
    <t>308_Thiết bị điều trị ung thư</t>
  </si>
  <si>
    <t>309_Thiết bị đo</t>
  </si>
  <si>
    <t>310_Thiết bị đo thị lực</t>
  </si>
  <si>
    <t>311_Thiết bị dùng cho Xquang, CT, MRI</t>
  </si>
  <si>
    <t>312_Thiết bị hấp sấy</t>
  </si>
  <si>
    <t>313_Thiết bị hội trường</t>
  </si>
  <si>
    <t>314_Thiết bị hút khí khử mùi</t>
  </si>
  <si>
    <t>315_Thiết bị lấy mẫu</t>
  </si>
  <si>
    <t>316_Thiết bị lọc</t>
  </si>
  <si>
    <t>317_Thiết bị máy siêu âm</t>
  </si>
  <si>
    <t>318_Thiết bị nội soi</t>
  </si>
  <si>
    <t>319_Thiết bị phân tích mẫu</t>
  </si>
  <si>
    <t>320_Thiết bị phòng thí nghiệm</t>
  </si>
  <si>
    <t>321_Thiết bị răng hàm mặt</t>
  </si>
  <si>
    <t>322_Thiết bị rửa</t>
  </si>
  <si>
    <t>323_Thiết bị rửa bằng sóng siêu âm</t>
  </si>
  <si>
    <t>324_Thiết bị sản khoa</t>
  </si>
  <si>
    <t xml:space="preserve">325_Thiết bị thử nấm  </t>
  </si>
  <si>
    <t>326_Thiết bị trị liệu YHCT và PHCN</t>
  </si>
  <si>
    <t>327_Thiết bị X quang</t>
  </si>
  <si>
    <t>328_Thiết bị Xét nghiệm sinh hóa</t>
  </si>
  <si>
    <t>329_Thùng đựng vắc xin</t>
  </si>
  <si>
    <t>330_Tủ ấm</t>
  </si>
  <si>
    <t>331_Tủ an toàn sinh học</t>
  </si>
  <si>
    <t>332_Tủ bảo quản</t>
  </si>
  <si>
    <t>333_Tủ cấy vi khuẩn</t>
  </si>
  <si>
    <t>334_Tủ cấy vi sinh</t>
  </si>
  <si>
    <t xml:space="preserve">335_Tủ chuyên dùng cấp đông </t>
  </si>
  <si>
    <t>336_Tủ hốt vô trùng</t>
  </si>
  <si>
    <t>337_Tủ hút khí độc</t>
  </si>
  <si>
    <t>338_Tủ lạnh</t>
  </si>
  <si>
    <t>339_Xe cáng bệnh nhân</t>
  </si>
  <si>
    <t>340_Xe lăn</t>
  </si>
  <si>
    <t>341_Xe tiêm</t>
  </si>
  <si>
    <t>342_Thiết bị cấp cứu</t>
  </si>
  <si>
    <t>343_Thiết bị y tế khác</t>
  </si>
  <si>
    <t>358_2233</t>
  </si>
  <si>
    <t>1_Loại A - Trang thiết bị y tế có mức độ rủi ro thấp</t>
  </si>
  <si>
    <t>2_Loại B - Trang thiết bị có mức độ rủi ro trung bình thấp</t>
  </si>
  <si>
    <t>4_Loại C - Trang thiết bị có mức độ rủi ro trung bình cao</t>
  </si>
  <si>
    <t>5_Loại D - Trang thiết bị có mức độ rủi ro cao</t>
  </si>
  <si>
    <t>11_Đất hoạt động sự nghiệp giáo dục</t>
  </si>
  <si>
    <t>12_Đất hoạt động sự nghiệp y tế</t>
  </si>
  <si>
    <t>13_Đất hoạt động sự nghiệp văn hóa</t>
  </si>
  <si>
    <t>14_Đất hoạt động thể dục, thể thao</t>
  </si>
  <si>
    <t>15_Đất hoạt động sự nghiệp nông nghiệp</t>
  </si>
  <si>
    <t>16_Đất hoạt động sự nghiệp thông tin, truyền thông</t>
  </si>
  <si>
    <t>17_Đất hoạt động sự nghiệp khoa học, công nghệ</t>
  </si>
  <si>
    <t>18_Đất công trình công cộng</t>
  </si>
  <si>
    <t>19_Đất hoạt động sự nghiệp khác</t>
  </si>
  <si>
    <t>STT_9_Taisancodinhhuuhinhkhac</t>
  </si>
  <si>
    <t>STT_10_Quyensudungdat</t>
  </si>
  <si>
    <t>đất a16</t>
  </si>
  <si>
    <t>cạnh a15</t>
  </si>
  <si>
    <t>bán nhà</t>
  </si>
  <si>
    <t>Nguồn NSNN cấp;Ngân sách trung ương</t>
  </si>
  <si>
    <t>500;2000</t>
  </si>
  <si>
    <t>1000 hbt dong nhan</t>
  </si>
  <si>
    <t>cây cột trụ</t>
  </si>
  <si>
    <t>k có</t>
  </si>
  <si>
    <t>Năm</t>
  </si>
  <si>
    <t>Tính cả hai</t>
  </si>
  <si>
    <t>01/02/2023</t>
  </si>
  <si>
    <t>01/02/2024</t>
  </si>
  <si>
    <t>Tháng</t>
  </si>
  <si>
    <t>CMC</t>
  </si>
  <si>
    <t>SSSS</t>
  </si>
  <si>
    <t>09AS</t>
  </si>
  <si>
    <t>2021</t>
  </si>
  <si>
    <t>Có</t>
  </si>
  <si>
    <t>31/03/2024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</si>
</sst>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0" x14ac:knownFonts="1">
    <font>
      <sz val="11"/>
      <color theme="1"/>
      <name val="Aptos Narrow"/>
      <family val="2"/>
      <scheme val="minor"/>
    </font>
    <font>
      <b/>
      <sz val="11"/>
      <color theme="1"/>
      <name val="Times New Roman"/>
      <family val="1"/>
    </font>
    <font>
      <sz val="11"/>
      <color rgb="FFFF0000"/>
      <name val="Times New Roman"/>
      <family val="1"/>
    </font>
    <font>
      <sz val="11"/>
      <color theme="1"/>
      <name val="Times New Roman"/>
      <family val="1"/>
    </font>
    <font>
      <sz val="11"/>
      <name val="Times New Roman"/>
      <family val="1"/>
    </font>
    <font>
      <b/>
      <sz val="11"/>
      <color rgb="FFFF0000"/>
      <name val="Times New Roman"/>
      <family val="1"/>
    </font>
    <font>
      <b/>
      <sz val="12"/>
      <color theme="1"/>
      <name val="Times New Roman"/>
      <family val="1"/>
    </font>
    <font>
      <b/>
      <sz val="11"/>
      <name val="Times New Roman"/>
      <family val="1"/>
    </font>
    <font>
      <sz val="10"/>
      <color theme="1"/>
      <name val="Times New Roman"/>
      <family val="1"/>
    </font>
    <font>
      <b/>
      <sz val="10"/>
      <color theme="1"/>
      <name val="Times New Roman"/>
      <family val="1"/>
    </font>
  </fonts>
  <fills count="24">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BE5D6"/>
        <bgColor indexed="64"/>
      </patternFill>
    </fill>
    <fill>
      <patternFill patternType="solid">
        <fgColor rgb="FFF8CBAD"/>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rgb="FFFFF2CC"/>
        <bgColor indexed="64"/>
      </patternFill>
    </fill>
    <fill>
      <patternFill patternType="solid">
        <fgColor theme="0" tint="-4.9989318521683403E-2"/>
        <bgColor indexed="64"/>
      </patternFill>
    </fill>
    <fill>
      <patternFill patternType="solid">
        <fgColor rgb="FFCBD3DE"/>
        <bgColor indexed="64"/>
      </patternFill>
    </fill>
    <fill>
      <patternFill patternType="solid">
        <fgColor theme="9" tint="-0.249977111117893"/>
        <bgColor indexed="64"/>
      </patternFill>
    </fill>
    <fill>
      <patternFill patternType="solid">
        <fgColor rgb="FFE2F0D9"/>
        <bgColor indexed="64"/>
      </patternFill>
    </fill>
    <fill>
      <patternFill patternType="solid">
        <fgColor rgb="FFDEEBF7"/>
        <bgColor indexed="64"/>
      </patternFill>
    </fill>
    <fill>
      <patternFill patternType="solid">
        <fgColor theme="4" tint="0.79998168889431442"/>
        <bgColor indexed="64"/>
      </patternFill>
    </fill>
    <fill>
      <patternFill patternType="solid">
        <fgColor rgb="FFC6E0B4"/>
        <bgColor indexed="64"/>
      </patternFill>
    </fill>
    <fill>
      <patternFill patternType="solid">
        <fgColor theme="8" tint="0.39997558519241921"/>
        <bgColor indexed="64"/>
      </patternFill>
    </fill>
    <fill>
      <patternFill patternType="solid">
        <fgColor rgb="FFDBDBDB"/>
        <bgColor indexed="64"/>
      </patternFill>
    </fill>
    <fill>
      <patternFill patternType="solid">
        <fgColor rgb="FFC5E0B4"/>
        <bgColor indexed="64"/>
      </patternFill>
    </fill>
    <fill>
      <patternFill patternType="solid">
        <fgColor theme="0" tint="-0.14999847407452621"/>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155">
    <xf numFmtId="0" fontId="0" fillId="0" borderId="0" xfId="0"/>
    <xf numFmtId="0" fontId="1" fillId="18" borderId="11" xfId="0" applyFont="1" applyFill="1" applyBorder="1" applyAlignment="1">
      <alignment horizontal="center" vertical="center"/>
    </xf>
    <xf numFmtId="0" fontId="3" fillId="7" borderId="13"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4" fillId="10" borderId="13" xfId="0" applyFont="1" applyFill="1" applyBorder="1" applyAlignment="1">
      <alignment horizontal="center" vertical="center" wrapText="1"/>
    </xf>
    <xf numFmtId="0" fontId="4" fillId="11" borderId="13"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4" fillId="12" borderId="13" xfId="0" applyFont="1" applyFill="1" applyBorder="1" applyAlignment="1">
      <alignment horizontal="center" vertical="center" wrapText="1"/>
    </xf>
    <xf numFmtId="0" fontId="3" fillId="13" borderId="13" xfId="0" applyFont="1" applyFill="1" applyBorder="1" applyAlignment="1">
      <alignment horizontal="center" vertical="center" wrapText="1"/>
    </xf>
    <xf numFmtId="0" fontId="4" fillId="13" borderId="13" xfId="0" applyFont="1" applyFill="1" applyBorder="1" applyAlignment="1">
      <alignment horizontal="center" vertical="center" wrapText="1"/>
    </xf>
    <xf numFmtId="164" fontId="4" fillId="13" borderId="13" xfId="0" applyNumberFormat="1" applyFont="1" applyFill="1" applyBorder="1" applyAlignment="1">
      <alignment horizontal="center" vertical="center" wrapText="1"/>
    </xf>
    <xf numFmtId="0" fontId="3" fillId="14" borderId="13" xfId="0" applyFont="1" applyFill="1" applyBorder="1" applyAlignment="1">
      <alignment horizontal="center" vertical="center" wrapText="1"/>
    </xf>
    <xf numFmtId="0" fontId="4" fillId="14" borderId="13"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21" borderId="13" xfId="0" applyFont="1" applyFill="1" applyBorder="1" applyAlignment="1">
      <alignment horizontal="center" vertical="center" wrapText="1"/>
    </xf>
    <xf numFmtId="0" fontId="0" fillId="23" borderId="13" xfId="0" applyFill="1" applyBorder="1" applyAlignment="1">
      <alignment vertical="center"/>
    </xf>
    <xf numFmtId="0" fontId="3" fillId="21" borderId="13" xfId="0" applyFont="1" applyFill="1" applyBorder="1" applyAlignment="1">
      <alignment horizontal="center" vertical="center" wrapText="1"/>
    </xf>
    <xf numFmtId="0" fontId="3" fillId="16" borderId="13" xfId="0" applyFont="1" applyFill="1" applyBorder="1" applyAlignment="1">
      <alignment horizontal="center" vertical="center" wrapText="1"/>
    </xf>
    <xf numFmtId="0" fontId="3" fillId="17" borderId="13" xfId="0" applyFont="1" applyFill="1" applyBorder="1" applyAlignment="1">
      <alignment horizontal="center" vertical="center" wrapText="1"/>
    </xf>
    <xf numFmtId="0" fontId="1" fillId="17" borderId="13" xfId="0" applyFont="1" applyFill="1" applyBorder="1" applyAlignment="1">
      <alignment horizontal="center" vertical="center" wrapText="1"/>
    </xf>
    <xf numFmtId="0" fontId="7" fillId="18" borderId="13" xfId="0" applyFont="1" applyFill="1" applyBorder="1" applyAlignment="1">
      <alignment horizontal="center" vertical="center"/>
    </xf>
    <xf numFmtId="0" fontId="3" fillId="18" borderId="13" xfId="0" applyFont="1" applyFill="1" applyBorder="1" applyAlignment="1">
      <alignment horizontal="center" vertical="center"/>
    </xf>
    <xf numFmtId="0" fontId="3" fillId="18" borderId="13" xfId="0" applyFont="1" applyFill="1" applyBorder="1" applyAlignment="1">
      <alignment horizontal="center" vertical="center" wrapText="1"/>
    </xf>
    <xf numFmtId="0" fontId="3" fillId="22" borderId="13" xfId="0" applyFont="1" applyFill="1" applyBorder="1" applyAlignment="1">
      <alignment horizontal="center" vertical="center" wrapText="1"/>
    </xf>
    <xf numFmtId="0" fontId="8" fillId="0" borderId="9" xfId="0" applyFont="1" applyBorder="1" applyAlignment="1">
      <alignment vertical="top" wrapText="1"/>
    </xf>
    <xf numFmtId="0" fontId="3" fillId="0" borderId="9" xfId="0" applyFont="1" applyBorder="1" applyAlignment="1">
      <alignment vertical="top" wrapText="1"/>
    </xf>
    <xf numFmtId="0" fontId="3" fillId="0" borderId="0" xfId="0" applyFont="1" applyAlignment="1">
      <alignment vertical="top"/>
    </xf>
    <xf numFmtId="0" fontId="3" fillId="0" borderId="0" xfId="0" applyFont="1"/>
    <xf numFmtId="0" fontId="9" fillId="0" borderId="0" xfId="0" applyFont="1" applyAlignment="1">
      <alignment vertical="top" wrapText="1"/>
    </xf>
    <xf numFmtId="49" fontId="0" fillId="0" borderId="0" xfId="0" applyNumberFormat="1"/>
    <xf numFmtId="49" fontId="3" fillId="7" borderId="9" xfId="0" applyNumberFormat="1" applyFont="1" applyFill="1" applyBorder="1" applyAlignment="1">
      <alignment horizontal="center" vertical="center" wrapText="1"/>
    </xf>
    <xf numFmtId="49" fontId="4" fillId="7" borderId="9" xfId="0" applyNumberFormat="1" applyFont="1" applyFill="1" applyBorder="1" applyAlignment="1">
      <alignment horizontal="center" vertical="center" wrapText="1"/>
    </xf>
    <xf numFmtId="49" fontId="1" fillId="18" borderId="11" xfId="0" applyNumberFormat="1" applyFont="1" applyFill="1" applyBorder="1" applyAlignment="1">
      <alignment horizontal="center" vertical="center"/>
    </xf>
    <xf numFmtId="49" fontId="3" fillId="8" borderId="9" xfId="0" applyNumberFormat="1" applyFont="1" applyFill="1" applyBorder="1" applyAlignment="1">
      <alignment horizontal="center" vertical="center" wrapText="1"/>
    </xf>
    <xf numFmtId="49" fontId="4" fillId="9" borderId="9" xfId="0" applyNumberFormat="1" applyFont="1" applyFill="1" applyBorder="1" applyAlignment="1">
      <alignment horizontal="center" vertical="center" wrapText="1"/>
    </xf>
    <xf numFmtId="49" fontId="3" fillId="9" borderId="9" xfId="0" applyNumberFormat="1" applyFont="1" applyFill="1" applyBorder="1" applyAlignment="1">
      <alignment horizontal="center" vertical="center" wrapText="1"/>
    </xf>
    <xf numFmtId="49" fontId="3" fillId="10" borderId="9" xfId="0" applyNumberFormat="1" applyFont="1" applyFill="1" applyBorder="1" applyAlignment="1">
      <alignment horizontal="center" vertical="center" wrapText="1"/>
    </xf>
    <xf numFmtId="49" fontId="4" fillId="10" borderId="9" xfId="0" applyNumberFormat="1" applyFont="1" applyFill="1" applyBorder="1" applyAlignment="1">
      <alignment horizontal="center" vertical="center" wrapText="1"/>
    </xf>
    <xf numFmtId="49" fontId="4" fillId="11" borderId="9" xfId="0" applyNumberFormat="1" applyFont="1" applyFill="1" applyBorder="1" applyAlignment="1">
      <alignment horizontal="center" vertical="center" wrapText="1"/>
    </xf>
    <xf numFmtId="49" fontId="3" fillId="12" borderId="9" xfId="0" applyNumberFormat="1" applyFont="1" applyFill="1" applyBorder="1" applyAlignment="1">
      <alignment horizontal="center" vertical="center" wrapText="1"/>
    </xf>
    <xf numFmtId="49" fontId="4" fillId="12" borderId="9" xfId="0" applyNumberFormat="1" applyFont="1" applyFill="1" applyBorder="1" applyAlignment="1">
      <alignment horizontal="center" vertical="center" wrapText="1"/>
    </xf>
    <xf numFmtId="49" fontId="3" fillId="13" borderId="9" xfId="0" applyNumberFormat="1" applyFont="1" applyFill="1" applyBorder="1" applyAlignment="1">
      <alignment horizontal="center" vertical="center" wrapText="1"/>
    </xf>
    <xf numFmtId="49" fontId="4" fillId="13" borderId="9" xfId="0" applyNumberFormat="1" applyFont="1" applyFill="1" applyBorder="1" applyAlignment="1">
      <alignment horizontal="center" vertical="center" wrapText="1"/>
    </xf>
    <xf numFmtId="49" fontId="3" fillId="14" borderId="9" xfId="0" applyNumberFormat="1" applyFont="1" applyFill="1" applyBorder="1" applyAlignment="1">
      <alignment horizontal="center" vertical="center" wrapText="1"/>
    </xf>
    <xf numFmtId="49" fontId="4" fillId="14" borderId="9" xfId="0" applyNumberFormat="1" applyFont="1" applyFill="1" applyBorder="1" applyAlignment="1">
      <alignment horizontal="center" vertical="center" wrapText="1"/>
    </xf>
    <xf numFmtId="49" fontId="4" fillId="8" borderId="9" xfId="0" applyNumberFormat="1" applyFont="1" applyFill="1" applyBorder="1" applyAlignment="1">
      <alignment horizontal="center" vertical="center" wrapText="1"/>
    </xf>
    <xf numFmtId="49" fontId="4" fillId="21" borderId="9" xfId="0" applyNumberFormat="1" applyFont="1" applyFill="1" applyBorder="1" applyAlignment="1">
      <alignment horizontal="center" vertical="center" wrapText="1"/>
    </xf>
    <xf numFmtId="49" fontId="0" fillId="23" borderId="9" xfId="0" applyNumberFormat="1" applyFill="1" applyBorder="1" applyAlignment="1">
      <alignment vertical="center"/>
    </xf>
    <xf numFmtId="49" fontId="3" fillId="21" borderId="9" xfId="0" applyNumberFormat="1" applyFont="1" applyFill="1" applyBorder="1" applyAlignment="1">
      <alignment horizontal="center" vertical="center" wrapText="1"/>
    </xf>
    <xf numFmtId="49" fontId="3" fillId="16" borderId="9" xfId="0" applyNumberFormat="1" applyFont="1" applyFill="1" applyBorder="1" applyAlignment="1">
      <alignment horizontal="center" vertical="center" wrapText="1"/>
    </xf>
    <xf numFmtId="49" fontId="7" fillId="18" borderId="9" xfId="0" applyNumberFormat="1" applyFont="1" applyFill="1" applyBorder="1" applyAlignment="1">
      <alignment horizontal="center" vertical="center"/>
    </xf>
    <xf numFmtId="49" fontId="3" fillId="18" borderId="9" xfId="0" applyNumberFormat="1" applyFont="1" applyFill="1" applyBorder="1" applyAlignment="1">
      <alignment horizontal="center" vertical="center"/>
    </xf>
    <xf numFmtId="49" fontId="3" fillId="18" borderId="9" xfId="0" applyNumberFormat="1" applyFont="1" applyFill="1" applyBorder="1" applyAlignment="1">
      <alignment horizontal="center" vertical="center" wrapText="1"/>
    </xf>
    <xf numFmtId="49" fontId="3" fillId="22" borderId="9" xfId="0" applyNumberFormat="1" applyFont="1" applyFill="1" applyBorder="1" applyAlignment="1">
      <alignment horizontal="center" vertical="center" wrapText="1"/>
    </xf>
    <xf numFmtId="0" fontId="1" fillId="17" borderId="9" xfId="0" applyFont="1" applyFill="1" applyBorder="1" applyAlignment="1">
      <alignment horizontal="center" vertical="center" wrapText="1"/>
    </xf>
    <xf numFmtId="0" fontId="3" fillId="17" borderId="9" xfId="0" applyFont="1" applyFill="1" applyBorder="1" applyAlignment="1">
      <alignment horizontal="center" vertical="center" wrapText="1"/>
    </xf>
    <xf numFmtId="0" fontId="3" fillId="18" borderId="9" xfId="0" applyFont="1" applyFill="1" applyBorder="1" applyAlignment="1">
      <alignment horizontal="center" vertical="center"/>
    </xf>
    <xf numFmtId="0" fontId="3" fillId="12" borderId="9" xfId="0" applyFont="1" applyFill="1" applyBorder="1" applyAlignment="1">
      <alignment horizontal="center" vertical="center" wrapText="1"/>
    </xf>
    <xf numFmtId="49" fontId="4" fillId="7" borderId="9" xfId="0" applyNumberFormat="1" applyFont="1" applyFill="1" applyBorder="1" applyAlignment="1">
      <alignment horizontal="center" vertical="center" wrapText="1"/>
    </xf>
    <xf numFmtId="49" fontId="1" fillId="20" borderId="14" xfId="0" applyNumberFormat="1" applyFont="1" applyFill="1" applyBorder="1" applyAlignment="1">
      <alignment horizontal="center" vertical="center"/>
    </xf>
    <xf numFmtId="49" fontId="6" fillId="6" borderId="9"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wrapText="1"/>
    </xf>
    <xf numFmtId="49" fontId="1" fillId="7" borderId="3" xfId="0" applyNumberFormat="1" applyFont="1" applyFill="1" applyBorder="1" applyAlignment="1">
      <alignment horizontal="center" vertical="center" wrapText="1"/>
    </xf>
    <xf numFmtId="49" fontId="7" fillId="7" borderId="1" xfId="0" applyNumberFormat="1" applyFont="1" applyFill="1" applyBorder="1" applyAlignment="1">
      <alignment horizontal="center" vertical="center" wrapText="1"/>
    </xf>
    <xf numFmtId="49" fontId="5" fillId="7" borderId="3" xfId="0" applyNumberFormat="1" applyFont="1" applyFill="1" applyBorder="1" applyAlignment="1">
      <alignment horizontal="center" vertical="center" wrapText="1"/>
    </xf>
    <xf numFmtId="49" fontId="3" fillId="7" borderId="9" xfId="0" applyNumberFormat="1" applyFont="1" applyFill="1" applyBorder="1" applyAlignment="1">
      <alignment horizontal="center" vertical="center" wrapText="1"/>
    </xf>
    <xf numFmtId="49" fontId="1" fillId="8" borderId="9" xfId="0" applyNumberFormat="1" applyFont="1" applyFill="1" applyBorder="1" applyAlignment="1">
      <alignment horizontal="center" vertical="center" wrapText="1"/>
    </xf>
    <xf numFmtId="49" fontId="1" fillId="9" borderId="9" xfId="0" applyNumberFormat="1" applyFont="1" applyFill="1" applyBorder="1" applyAlignment="1">
      <alignment horizontal="center" vertical="center" wrapText="1"/>
    </xf>
    <xf numFmtId="49" fontId="1" fillId="10" borderId="9" xfId="0" applyNumberFormat="1" applyFont="1" applyFill="1" applyBorder="1" applyAlignment="1">
      <alignment horizontal="center" vertical="center" wrapText="1"/>
    </xf>
    <xf numFmtId="49" fontId="1" fillId="11" borderId="9" xfId="0" applyNumberFormat="1" applyFont="1" applyFill="1" applyBorder="1" applyAlignment="1">
      <alignment horizontal="center" vertical="center" wrapText="1"/>
    </xf>
    <xf numFmtId="49" fontId="1" fillId="12" borderId="9" xfId="0" applyNumberFormat="1" applyFont="1" applyFill="1" applyBorder="1" applyAlignment="1">
      <alignment horizontal="center" vertical="center" wrapText="1"/>
    </xf>
    <xf numFmtId="49" fontId="1" fillId="13" borderId="9" xfId="0" applyNumberFormat="1" applyFont="1" applyFill="1" applyBorder="1" applyAlignment="1">
      <alignment horizontal="center" vertical="center" wrapText="1"/>
    </xf>
    <xf numFmtId="49" fontId="1" fillId="14" borderId="9" xfId="0" applyNumberFormat="1" applyFont="1" applyFill="1" applyBorder="1" applyAlignment="1">
      <alignment horizontal="center" vertical="center" wrapText="1"/>
    </xf>
    <xf numFmtId="49" fontId="3" fillId="15" borderId="13" xfId="0" applyNumberFormat="1" applyFont="1" applyFill="1" applyBorder="1" applyAlignment="1">
      <alignment horizontal="center" vertical="center" wrapText="1"/>
    </xf>
    <xf numFmtId="49" fontId="3" fillId="15" borderId="14" xfId="0" applyNumberFormat="1" applyFont="1" applyFill="1" applyBorder="1" applyAlignment="1">
      <alignment horizontal="center" vertical="center" wrapText="1"/>
    </xf>
    <xf numFmtId="49" fontId="1" fillId="19" borderId="10" xfId="0" applyNumberFormat="1" applyFont="1" applyFill="1" applyBorder="1" applyAlignment="1">
      <alignment horizontal="center" vertical="center" wrapText="1"/>
    </xf>
    <xf numFmtId="49" fontId="1" fillId="19" borderId="11" xfId="0" applyNumberFormat="1" applyFont="1" applyFill="1" applyBorder="1" applyAlignment="1">
      <alignment horizontal="center" vertical="center" wrapText="1"/>
    </xf>
    <xf numFmtId="49" fontId="1" fillId="19" borderId="12" xfId="0" applyNumberFormat="1" applyFont="1" applyFill="1" applyBorder="1" applyAlignment="1">
      <alignment horizontal="center" vertical="center" wrapText="1"/>
    </xf>
    <xf numFmtId="49" fontId="1" fillId="12" borderId="10" xfId="0" applyNumberFormat="1" applyFont="1" applyFill="1" applyBorder="1" applyAlignment="1">
      <alignment horizontal="center" vertical="center" wrapText="1"/>
    </xf>
    <xf numFmtId="49" fontId="1" fillId="12" borderId="11" xfId="0" applyNumberFormat="1" applyFont="1" applyFill="1" applyBorder="1" applyAlignment="1">
      <alignment horizontal="center" vertical="center" wrapText="1"/>
    </xf>
    <xf numFmtId="49" fontId="1" fillId="12" borderId="12"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xf>
    <xf numFmtId="49" fontId="6" fillId="2" borderId="2" xfId="0" applyNumberFormat="1" applyFont="1" applyFill="1" applyBorder="1" applyAlignment="1">
      <alignment horizontal="center" vertical="center"/>
    </xf>
    <xf numFmtId="49" fontId="6" fillId="2" borderId="3" xfId="0" applyNumberFormat="1" applyFont="1" applyFill="1" applyBorder="1" applyAlignment="1">
      <alignment horizontal="center" vertical="center"/>
    </xf>
    <xf numFmtId="49" fontId="6" fillId="3" borderId="1" xfId="0" applyNumberFormat="1" applyFont="1" applyFill="1" applyBorder="1" applyAlignment="1">
      <alignment horizontal="center" vertical="center"/>
    </xf>
    <xf numFmtId="49" fontId="6" fillId="3" borderId="2" xfId="0" applyNumberFormat="1" applyFont="1" applyFill="1" applyBorder="1" applyAlignment="1">
      <alignment horizontal="center" vertical="center"/>
    </xf>
    <xf numFmtId="49" fontId="6" fillId="3" borderId="3" xfId="0" applyNumberFormat="1" applyFont="1" applyFill="1" applyBorder="1" applyAlignment="1">
      <alignment horizontal="center" vertical="center"/>
    </xf>
    <xf numFmtId="49" fontId="6" fillId="4" borderId="4" xfId="0" applyNumberFormat="1" applyFont="1" applyFill="1" applyBorder="1" applyAlignment="1">
      <alignment horizontal="center" vertical="center"/>
    </xf>
    <xf numFmtId="49" fontId="6" fillId="4" borderId="5" xfId="0" applyNumberFormat="1" applyFont="1" applyFill="1" applyBorder="1" applyAlignment="1">
      <alignment horizontal="center" vertical="center"/>
    </xf>
    <xf numFmtId="49" fontId="6" fillId="4" borderId="6" xfId="0" applyNumberFormat="1" applyFont="1" applyFill="1" applyBorder="1" applyAlignment="1">
      <alignment horizontal="center" vertical="center"/>
    </xf>
    <xf numFmtId="49" fontId="6" fillId="4" borderId="10" xfId="0" applyNumberFormat="1" applyFont="1" applyFill="1" applyBorder="1" applyAlignment="1">
      <alignment horizontal="center" vertical="center"/>
    </xf>
    <xf numFmtId="49" fontId="6" fillId="4" borderId="11" xfId="0" applyNumberFormat="1" applyFont="1" applyFill="1" applyBorder="1" applyAlignment="1">
      <alignment horizontal="center" vertical="center"/>
    </xf>
    <xf numFmtId="49" fontId="6" fillId="4" borderId="12" xfId="0" applyNumberFormat="1" applyFont="1" applyFill="1" applyBorder="1" applyAlignment="1">
      <alignment horizontal="center" vertical="center"/>
    </xf>
    <xf numFmtId="49" fontId="6" fillId="5" borderId="7" xfId="0" applyNumberFormat="1" applyFont="1" applyFill="1" applyBorder="1" applyAlignment="1">
      <alignment horizontal="center" vertical="center"/>
    </xf>
    <xf numFmtId="49" fontId="6" fillId="5" borderId="0" xfId="0" applyNumberFormat="1" applyFont="1" applyFill="1" applyAlignment="1">
      <alignment horizontal="center" vertical="center"/>
    </xf>
    <xf numFmtId="49" fontId="6" fillId="5" borderId="8" xfId="0" applyNumberFormat="1" applyFont="1" applyFill="1" applyBorder="1" applyAlignment="1">
      <alignment horizontal="center" vertical="center"/>
    </xf>
    <xf numFmtId="49" fontId="2" fillId="7" borderId="9" xfId="0" applyNumberFormat="1" applyFont="1" applyFill="1" applyBorder="1" applyAlignment="1">
      <alignment horizontal="center" vertical="center" wrapText="1"/>
    </xf>
    <xf numFmtId="49" fontId="1" fillId="7" borderId="10" xfId="0" applyNumberFormat="1" applyFont="1" applyFill="1" applyBorder="1" applyAlignment="1">
      <alignment horizontal="center" vertical="center"/>
    </xf>
    <xf numFmtId="49" fontId="1" fillId="7" borderId="11" xfId="0" applyNumberFormat="1" applyFont="1" applyFill="1" applyBorder="1" applyAlignment="1">
      <alignment horizontal="center" vertical="center"/>
    </xf>
    <xf numFmtId="49" fontId="1" fillId="7" borderId="12" xfId="0" applyNumberFormat="1" applyFont="1" applyFill="1" applyBorder="1" applyAlignment="1">
      <alignment horizontal="center" vertical="center"/>
    </xf>
    <xf numFmtId="49" fontId="1" fillId="16" borderId="1" xfId="0" applyNumberFormat="1" applyFont="1" applyFill="1" applyBorder="1" applyAlignment="1">
      <alignment horizontal="center" vertical="center" wrapText="1"/>
    </xf>
    <xf numFmtId="49" fontId="1" fillId="16" borderId="2" xfId="0" applyNumberFormat="1" applyFont="1" applyFill="1" applyBorder="1" applyAlignment="1">
      <alignment horizontal="center" vertical="center" wrapText="1"/>
    </xf>
    <xf numFmtId="49" fontId="1" fillId="16" borderId="3" xfId="0" applyNumberFormat="1" applyFont="1" applyFill="1" applyBorder="1" applyAlignment="1">
      <alignment horizontal="center" vertical="center" wrapText="1"/>
    </xf>
    <xf numFmtId="0" fontId="1" fillId="17" borderId="9"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20" borderId="14" xfId="0" applyFont="1" applyFill="1" applyBorder="1" applyAlignment="1">
      <alignment horizontal="center" vertical="center"/>
    </xf>
    <xf numFmtId="0" fontId="1" fillId="11" borderId="9" xfId="0" applyFont="1" applyFill="1" applyBorder="1" applyAlignment="1">
      <alignment horizontal="center" vertical="center" wrapText="1"/>
    </xf>
    <xf numFmtId="0" fontId="1" fillId="12" borderId="9" xfId="0" applyFont="1" applyFill="1" applyBorder="1" applyAlignment="1">
      <alignment horizontal="center" vertical="center" wrapText="1"/>
    </xf>
    <xf numFmtId="0" fontId="1" fillId="13" borderId="9" xfId="0" applyFont="1" applyFill="1" applyBorder="1" applyAlignment="1">
      <alignment horizontal="center" vertical="center" wrapText="1"/>
    </xf>
    <xf numFmtId="0" fontId="1" fillId="14" borderId="9"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 fillId="15" borderId="13" xfId="0" applyFont="1" applyFill="1" applyBorder="1" applyAlignment="1">
      <alignment horizontal="center" vertical="center" wrapText="1"/>
    </xf>
    <xf numFmtId="0" fontId="3" fillId="15" borderId="15"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xf>
    <xf numFmtId="0" fontId="1" fillId="19" borderId="10" xfId="0" applyFont="1" applyFill="1" applyBorder="1" applyAlignment="1">
      <alignment horizontal="center" vertical="center" wrapText="1"/>
    </xf>
    <xf numFmtId="0" fontId="1" fillId="19" borderId="11" xfId="0" applyFont="1" applyFill="1" applyBorder="1" applyAlignment="1">
      <alignment horizontal="center" vertical="center" wrapText="1"/>
    </xf>
    <xf numFmtId="0" fontId="1" fillId="19" borderId="12"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1" fillId="12" borderId="12"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0" xfId="0" applyFont="1" applyFill="1" applyAlignment="1">
      <alignment horizontal="center" vertical="center"/>
    </xf>
    <xf numFmtId="0" fontId="6" fillId="5" borderId="8" xfId="0" applyFont="1" applyFill="1" applyBorder="1" applyAlignment="1">
      <alignment horizontal="center" vertical="center"/>
    </xf>
    <xf numFmtId="0" fontId="6" fillId="6" borderId="9" xfId="0" applyFont="1" applyFill="1" applyBorder="1" applyAlignment="1">
      <alignment horizontal="center" vertical="center"/>
    </xf>
    <xf numFmtId="0" fontId="2" fillId="7" borderId="9"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5" fillId="7"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6DAF-DCE1-420F-8F21-F841FF9B3DFA}">
  <dimension ref="A1:EP2201"/>
  <sheetViews>
    <sheetView tabSelected="1" topLeftCell="DZ1" workbookViewId="0">
      <selection activeCell="EK6" sqref="EK6"/>
    </sheetView>
  </sheetViews>
  <sheetFormatPr defaultRowHeight="15" x14ac:dyDescent="0.25"/>
  <cols>
    <col min="1" max="23" width="9.140625" style="33"/>
    <col min="24" max="24" width="11" style="33" customWidth="1"/>
    <col min="25" max="25" width="12.28515625" style="33" customWidth="1"/>
    <col min="26" max="26" width="11.140625" style="33" customWidth="1"/>
    <col min="27" max="29" width="9.140625" style="33"/>
    <col min="30" max="30" width="11.140625" style="33" customWidth="1"/>
    <col min="31" max="31" width="13" style="33" customWidth="1"/>
    <col min="32" max="32" width="10.5703125" style="33" customWidth="1"/>
    <col min="33" max="108" width="9.140625" style="33"/>
    <col min="109" max="109" width="9.140625" customWidth="1"/>
    <col min="120" max="120" width="9.140625" style="33"/>
    <col min="121" max="121" width="9.85546875" style="33" customWidth="1"/>
    <col min="122" max="122" width="12.140625" style="33" customWidth="1"/>
    <col min="123" max="131" width="9.140625" style="33"/>
    <col min="132" max="132" width="28.42578125" style="33" bestFit="1" customWidth="1"/>
    <col min="133" max="133" width="9.140625" style="33"/>
    <col min="134" max="134" width="20.42578125" style="33" bestFit="1" customWidth="1"/>
    <col min="135" max="141" width="9.140625" style="33"/>
    <col min="143" max="144" width="9.140625" style="33"/>
    <col min="146" max="16384" width="9.140625" style="33"/>
  </cols>
  <sheetData>
    <row r="1" spans="1:146" ht="34.5" customHeight="1" x14ac:dyDescent="0.25">
      <c r="A1" s="85" t="s">
        <v>0</v>
      </c>
      <c r="B1" s="86"/>
      <c r="C1" s="86"/>
      <c r="D1" s="86"/>
      <c r="E1" s="86"/>
      <c r="F1" s="86"/>
      <c r="G1" s="86"/>
      <c r="H1" s="86"/>
      <c r="I1" s="86"/>
      <c r="J1" s="86"/>
      <c r="K1" s="86"/>
      <c r="L1" s="86"/>
      <c r="M1" s="86"/>
      <c r="N1" s="86"/>
      <c r="O1" s="86"/>
      <c r="P1" s="87"/>
      <c r="Q1" s="88" t="s">
        <v>1</v>
      </c>
      <c r="R1" s="89"/>
      <c r="S1" s="89"/>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89"/>
      <c r="BF1" s="89"/>
      <c r="BG1" s="89"/>
      <c r="BH1" s="89"/>
      <c r="BI1" s="89"/>
      <c r="BJ1" s="89"/>
      <c r="BK1" s="89"/>
      <c r="BL1" s="89"/>
      <c r="BM1" s="89"/>
      <c r="BN1" s="89"/>
      <c r="BO1" s="89"/>
      <c r="BP1" s="89"/>
      <c r="BQ1" s="89"/>
      <c r="BR1" s="89"/>
      <c r="BS1" s="89"/>
      <c r="BT1" s="89"/>
      <c r="BU1" s="89"/>
      <c r="BV1" s="89"/>
      <c r="BW1" s="89"/>
      <c r="BX1" s="89"/>
      <c r="BY1" s="89"/>
      <c r="BZ1" s="89"/>
      <c r="CA1" s="89"/>
      <c r="CB1" s="89"/>
      <c r="CC1" s="89"/>
      <c r="CD1" s="89"/>
      <c r="CE1" s="89"/>
      <c r="CF1" s="89"/>
      <c r="CG1" s="89"/>
      <c r="CH1" s="89"/>
      <c r="CI1" s="89"/>
      <c r="CJ1" s="89"/>
      <c r="CK1" s="89"/>
      <c r="CL1" s="89"/>
      <c r="CM1" s="89"/>
      <c r="CN1" s="89"/>
      <c r="CO1" s="90"/>
      <c r="CP1" s="91" t="s">
        <v>2</v>
      </c>
      <c r="CQ1" s="92"/>
      <c r="CR1" s="92"/>
      <c r="CS1" s="92"/>
      <c r="CT1" s="92"/>
      <c r="CU1" s="92"/>
      <c r="CV1" s="92"/>
      <c r="CW1" s="93"/>
      <c r="CX1" s="97" t="s">
        <v>3</v>
      </c>
      <c r="CY1" s="98"/>
      <c r="CZ1" s="98"/>
      <c r="DA1" s="98"/>
      <c r="DB1" s="98"/>
      <c r="DC1" s="98"/>
      <c r="DD1" s="98"/>
      <c r="DE1" s="98"/>
      <c r="DF1" s="98"/>
      <c r="DG1" s="98"/>
      <c r="DH1" s="98"/>
      <c r="DI1" s="98"/>
      <c r="DJ1" s="98"/>
      <c r="DK1" s="98"/>
      <c r="DL1" s="98"/>
      <c r="DM1" s="98"/>
      <c r="DN1" s="98"/>
      <c r="DO1" s="98"/>
      <c r="DP1" s="98"/>
      <c r="DQ1" s="98"/>
      <c r="DR1" s="98"/>
      <c r="DS1" s="98"/>
      <c r="DT1" s="98"/>
      <c r="DU1" s="98"/>
      <c r="DV1" s="98"/>
      <c r="DW1" s="98"/>
      <c r="DX1" s="98"/>
      <c r="DY1" s="98"/>
      <c r="DZ1" s="98"/>
      <c r="EA1" s="99"/>
      <c r="EB1" s="64" t="s">
        <v>4</v>
      </c>
      <c r="EC1" s="64"/>
      <c r="ED1" s="64"/>
      <c r="EE1" s="64"/>
      <c r="EF1" s="64"/>
      <c r="EG1" s="64"/>
      <c r="EH1" s="64"/>
      <c r="EI1" s="64"/>
      <c r="EJ1" s="64"/>
      <c r="EK1" s="64"/>
      <c r="EL1" s="64"/>
      <c r="EM1" s="64"/>
      <c r="EN1" s="64"/>
      <c r="EO1" s="64"/>
      <c r="EP1" s="64"/>
    </row>
    <row r="2" spans="1:146" ht="35.25" customHeight="1" x14ac:dyDescent="0.25">
      <c r="A2" s="100" t="s">
        <v>123</v>
      </c>
      <c r="B2" s="100" t="s">
        <v>124</v>
      </c>
      <c r="C2" s="69" t="s">
        <v>120</v>
      </c>
      <c r="D2" s="100" t="s">
        <v>125</v>
      </c>
      <c r="E2" s="62" t="s">
        <v>5</v>
      </c>
      <c r="F2" s="62" t="s">
        <v>6</v>
      </c>
      <c r="G2" s="62" t="s">
        <v>122</v>
      </c>
      <c r="H2" s="62" t="s">
        <v>121</v>
      </c>
      <c r="I2" s="65" t="s">
        <v>110</v>
      </c>
      <c r="J2" s="66"/>
      <c r="K2" s="67" t="s">
        <v>111</v>
      </c>
      <c r="L2" s="68"/>
      <c r="M2" s="62" t="s">
        <v>126</v>
      </c>
      <c r="N2" s="69" t="s">
        <v>11</v>
      </c>
      <c r="O2" s="69" t="s">
        <v>12</v>
      </c>
      <c r="P2" s="69" t="s">
        <v>112</v>
      </c>
      <c r="Q2" s="70" t="s">
        <v>13</v>
      </c>
      <c r="R2" s="70"/>
      <c r="S2" s="70"/>
      <c r="T2" s="70"/>
      <c r="U2" s="70"/>
      <c r="V2" s="70"/>
      <c r="W2" s="70"/>
      <c r="X2" s="71" t="s">
        <v>14</v>
      </c>
      <c r="Y2" s="71"/>
      <c r="Z2" s="71"/>
      <c r="AA2" s="71"/>
      <c r="AB2" s="72" t="s">
        <v>15</v>
      </c>
      <c r="AC2" s="72"/>
      <c r="AD2" s="72"/>
      <c r="AE2" s="72"/>
      <c r="AF2" s="72"/>
      <c r="AG2" s="72"/>
      <c r="AH2" s="72"/>
      <c r="AI2" s="72"/>
      <c r="AJ2" s="72"/>
      <c r="AK2" s="73" t="s">
        <v>16</v>
      </c>
      <c r="AL2" s="73"/>
      <c r="AM2" s="73"/>
      <c r="AN2" s="73"/>
      <c r="AO2" s="73"/>
      <c r="AP2" s="73"/>
      <c r="AQ2" s="74" t="s">
        <v>17</v>
      </c>
      <c r="AR2" s="74"/>
      <c r="AS2" s="74"/>
      <c r="AT2" s="74"/>
      <c r="AU2" s="74"/>
      <c r="AV2" s="74"/>
      <c r="AW2" s="74"/>
      <c r="AX2" s="74"/>
      <c r="AY2" s="74"/>
      <c r="AZ2" s="74"/>
      <c r="BA2" s="74"/>
      <c r="BB2" s="74"/>
      <c r="BC2" s="74"/>
      <c r="BD2" s="74"/>
      <c r="BE2" s="74"/>
      <c r="BF2" s="74"/>
      <c r="BG2" s="74"/>
      <c r="BH2" s="74"/>
      <c r="BI2" s="74"/>
      <c r="BJ2" s="74"/>
      <c r="BK2" s="74"/>
      <c r="BL2" s="74"/>
      <c r="BM2" s="74"/>
      <c r="BN2" s="75" t="s">
        <v>18</v>
      </c>
      <c r="BO2" s="75"/>
      <c r="BP2" s="75"/>
      <c r="BQ2" s="75"/>
      <c r="BR2" s="75"/>
      <c r="BS2" s="75"/>
      <c r="BT2" s="75"/>
      <c r="BU2" s="75"/>
      <c r="BV2" s="75"/>
      <c r="BW2" s="75"/>
      <c r="BX2" s="75"/>
      <c r="BY2" s="75"/>
      <c r="BZ2" s="75"/>
      <c r="CA2" s="75"/>
      <c r="CB2" s="75"/>
      <c r="CC2" s="75"/>
      <c r="CD2" s="75"/>
      <c r="CE2" s="75"/>
      <c r="CF2" s="76" t="s">
        <v>19</v>
      </c>
      <c r="CG2" s="76"/>
      <c r="CH2" s="76"/>
      <c r="CI2" s="70" t="s">
        <v>20</v>
      </c>
      <c r="CJ2" s="70"/>
      <c r="CK2" s="70"/>
      <c r="CL2" s="70"/>
      <c r="CM2" s="70"/>
      <c r="CN2" s="70"/>
      <c r="CO2" s="70"/>
      <c r="CP2" s="94"/>
      <c r="CQ2" s="95"/>
      <c r="CR2" s="95"/>
      <c r="CS2" s="95"/>
      <c r="CT2" s="95"/>
      <c r="CU2" s="95"/>
      <c r="CV2" s="95"/>
      <c r="CW2" s="96"/>
      <c r="CX2" s="77" t="s">
        <v>21</v>
      </c>
      <c r="CY2" s="104" t="s">
        <v>22</v>
      </c>
      <c r="CZ2" s="105"/>
      <c r="DA2" s="105"/>
      <c r="DB2" s="105"/>
      <c r="DC2" s="105"/>
      <c r="DD2" s="106"/>
      <c r="DE2" s="107" t="s">
        <v>23</v>
      </c>
      <c r="DF2" s="107"/>
      <c r="DG2" s="107"/>
      <c r="DH2" s="107"/>
      <c r="DI2" s="107"/>
      <c r="DJ2" s="107"/>
      <c r="DK2" s="107"/>
      <c r="DL2" s="107"/>
      <c r="DM2" s="107"/>
      <c r="DN2" s="107"/>
      <c r="DO2" s="107"/>
      <c r="DP2" s="101" t="s">
        <v>24</v>
      </c>
      <c r="DQ2" s="102"/>
      <c r="DR2" s="102"/>
      <c r="DS2" s="102"/>
      <c r="DT2" s="102"/>
      <c r="DU2" s="102"/>
      <c r="DV2" s="102"/>
      <c r="DW2" s="102"/>
      <c r="DX2" s="102"/>
      <c r="DY2" s="102"/>
      <c r="DZ2" s="102"/>
      <c r="EA2" s="103"/>
      <c r="EB2" s="36"/>
      <c r="EC2" s="36"/>
      <c r="ED2" s="36"/>
      <c r="EE2" s="36"/>
      <c r="EF2" s="79" t="s">
        <v>25</v>
      </c>
      <c r="EG2" s="80"/>
      <c r="EH2" s="80"/>
      <c r="EI2" s="81"/>
      <c r="EJ2" s="82" t="s">
        <v>26</v>
      </c>
      <c r="EK2" s="83"/>
      <c r="EL2" s="83"/>
      <c r="EM2" s="83"/>
      <c r="EN2" s="84"/>
      <c r="EO2" s="63" t="s">
        <v>106</v>
      </c>
      <c r="EP2" s="63"/>
    </row>
    <row r="3" spans="1:146" ht="90" x14ac:dyDescent="0.25">
      <c r="A3" s="69"/>
      <c r="B3" s="69"/>
      <c r="C3" s="69"/>
      <c r="D3" s="69"/>
      <c r="E3" s="62"/>
      <c r="F3" s="62"/>
      <c r="G3" s="62"/>
      <c r="H3" s="62"/>
      <c r="I3" s="34" t="s">
        <v>8</v>
      </c>
      <c r="J3" s="34" t="s">
        <v>7</v>
      </c>
      <c r="K3" s="35" t="s">
        <v>9</v>
      </c>
      <c r="L3" s="34" t="s">
        <v>10</v>
      </c>
      <c r="M3" s="62"/>
      <c r="N3" s="69"/>
      <c r="O3" s="69"/>
      <c r="P3" s="69"/>
      <c r="Q3" s="37" t="s">
        <v>27</v>
      </c>
      <c r="R3" s="37" t="s">
        <v>28</v>
      </c>
      <c r="S3" s="37" t="s">
        <v>113</v>
      </c>
      <c r="T3" s="37" t="s">
        <v>30</v>
      </c>
      <c r="U3" s="37" t="s">
        <v>31</v>
      </c>
      <c r="V3" s="37" t="s">
        <v>32</v>
      </c>
      <c r="W3" s="37" t="s">
        <v>33</v>
      </c>
      <c r="X3" s="38" t="s">
        <v>34</v>
      </c>
      <c r="Y3" s="38" t="s">
        <v>35</v>
      </c>
      <c r="Z3" s="38" t="s">
        <v>36</v>
      </c>
      <c r="AA3" s="39" t="s">
        <v>37</v>
      </c>
      <c r="AB3" s="40" t="s">
        <v>38</v>
      </c>
      <c r="AC3" s="41" t="s">
        <v>39</v>
      </c>
      <c r="AD3" s="41" t="s">
        <v>34</v>
      </c>
      <c r="AE3" s="41" t="s">
        <v>35</v>
      </c>
      <c r="AF3" s="41" t="s">
        <v>36</v>
      </c>
      <c r="AG3" s="41" t="s">
        <v>40</v>
      </c>
      <c r="AH3" s="40" t="s">
        <v>41</v>
      </c>
      <c r="AI3" s="40" t="s">
        <v>114</v>
      </c>
      <c r="AJ3" s="40" t="s">
        <v>43</v>
      </c>
      <c r="AK3" s="42" t="s">
        <v>39</v>
      </c>
      <c r="AL3" s="42" t="s">
        <v>44</v>
      </c>
      <c r="AM3" s="42" t="s">
        <v>42</v>
      </c>
      <c r="AN3" s="42" t="s">
        <v>45</v>
      </c>
      <c r="AO3" s="42" t="s">
        <v>30</v>
      </c>
      <c r="AP3" s="42" t="s">
        <v>31</v>
      </c>
      <c r="AQ3" s="43" t="s">
        <v>46</v>
      </c>
      <c r="AR3" s="43" t="s">
        <v>47</v>
      </c>
      <c r="AS3" s="43" t="s">
        <v>48</v>
      </c>
      <c r="AT3" s="43" t="s">
        <v>49</v>
      </c>
      <c r="AU3" s="43" t="s">
        <v>50</v>
      </c>
      <c r="AV3" s="43" t="s">
        <v>115</v>
      </c>
      <c r="AW3" s="43" t="s">
        <v>51</v>
      </c>
      <c r="AX3" s="43" t="s">
        <v>116</v>
      </c>
      <c r="AY3" s="43" t="s">
        <v>117</v>
      </c>
      <c r="AZ3" s="43" t="s">
        <v>52</v>
      </c>
      <c r="BA3" s="43" t="s">
        <v>53</v>
      </c>
      <c r="BB3" s="43" t="s">
        <v>54</v>
      </c>
      <c r="BC3" s="43" t="s">
        <v>30</v>
      </c>
      <c r="BD3" s="44" t="s">
        <v>31</v>
      </c>
      <c r="BE3" s="44" t="s">
        <v>55</v>
      </c>
      <c r="BF3" s="44" t="s">
        <v>56</v>
      </c>
      <c r="BG3" s="44" t="s">
        <v>57</v>
      </c>
      <c r="BH3" s="44" t="s">
        <v>58</v>
      </c>
      <c r="BI3" s="44" t="s">
        <v>59</v>
      </c>
      <c r="BJ3" s="44" t="s">
        <v>32</v>
      </c>
      <c r="BK3" s="44" t="s">
        <v>33</v>
      </c>
      <c r="BL3" s="44" t="s">
        <v>60</v>
      </c>
      <c r="BM3" s="44" t="s">
        <v>61</v>
      </c>
      <c r="BN3" s="45" t="s">
        <v>48</v>
      </c>
      <c r="BO3" s="45" t="s">
        <v>27</v>
      </c>
      <c r="BP3" s="45" t="s">
        <v>115</v>
      </c>
      <c r="BQ3" s="45" t="s">
        <v>51</v>
      </c>
      <c r="BR3" s="45" t="s">
        <v>116</v>
      </c>
      <c r="BS3" s="45" t="s">
        <v>117</v>
      </c>
      <c r="BT3" s="45" t="s">
        <v>53</v>
      </c>
      <c r="BU3" s="45" t="s">
        <v>54</v>
      </c>
      <c r="BV3" s="45" t="s">
        <v>30</v>
      </c>
      <c r="BW3" s="46" t="s">
        <v>31</v>
      </c>
      <c r="BX3" s="46" t="s">
        <v>55</v>
      </c>
      <c r="BY3" s="46" t="s">
        <v>56</v>
      </c>
      <c r="BZ3" s="46" t="s">
        <v>57</v>
      </c>
      <c r="CA3" s="46" t="s">
        <v>58</v>
      </c>
      <c r="CB3" s="46" t="s">
        <v>59</v>
      </c>
      <c r="CC3" s="46" t="s">
        <v>32</v>
      </c>
      <c r="CD3" s="46" t="s">
        <v>33</v>
      </c>
      <c r="CE3" s="46" t="s">
        <v>60</v>
      </c>
      <c r="CF3" s="47" t="s">
        <v>62</v>
      </c>
      <c r="CG3" s="48" t="s">
        <v>31</v>
      </c>
      <c r="CH3" s="48" t="s">
        <v>33</v>
      </c>
      <c r="CI3" s="37" t="s">
        <v>27</v>
      </c>
      <c r="CJ3" s="37" t="s">
        <v>28</v>
      </c>
      <c r="CK3" s="37" t="s">
        <v>29</v>
      </c>
      <c r="CL3" s="37" t="s">
        <v>30</v>
      </c>
      <c r="CM3" s="49" t="s">
        <v>31</v>
      </c>
      <c r="CN3" s="49" t="s">
        <v>32</v>
      </c>
      <c r="CO3" s="49" t="s">
        <v>33</v>
      </c>
      <c r="CP3" s="50" t="s">
        <v>63</v>
      </c>
      <c r="CQ3" s="50" t="s">
        <v>64</v>
      </c>
      <c r="CR3" s="51" t="s">
        <v>65</v>
      </c>
      <c r="CS3" s="52" t="s">
        <v>66</v>
      </c>
      <c r="CT3" s="52" t="s">
        <v>67</v>
      </c>
      <c r="CU3" s="52" t="s">
        <v>68</v>
      </c>
      <c r="CV3" s="52" t="s">
        <v>69</v>
      </c>
      <c r="CW3" s="52" t="s">
        <v>70</v>
      </c>
      <c r="CX3" s="78"/>
      <c r="CY3" s="53" t="s">
        <v>71</v>
      </c>
      <c r="CZ3" s="53" t="s">
        <v>72</v>
      </c>
      <c r="DA3" s="53" t="s">
        <v>73</v>
      </c>
      <c r="DB3" s="53" t="s">
        <v>74</v>
      </c>
      <c r="DC3" s="53" t="s">
        <v>75</v>
      </c>
      <c r="DD3" s="53" t="s">
        <v>76</v>
      </c>
      <c r="DE3" s="59" t="s">
        <v>77</v>
      </c>
      <c r="DF3" s="59" t="s">
        <v>78</v>
      </c>
      <c r="DG3" s="59" t="s">
        <v>79</v>
      </c>
      <c r="DH3" s="59" t="s">
        <v>80</v>
      </c>
      <c r="DI3" s="59" t="s">
        <v>81</v>
      </c>
      <c r="DJ3" s="59" t="s">
        <v>82</v>
      </c>
      <c r="DK3" s="59" t="s">
        <v>83</v>
      </c>
      <c r="DL3" s="59" t="s">
        <v>84</v>
      </c>
      <c r="DM3" s="59" t="s">
        <v>85</v>
      </c>
      <c r="DN3" s="59" t="s">
        <v>86</v>
      </c>
      <c r="DO3" s="58" t="s">
        <v>118</v>
      </c>
      <c r="DP3" s="35" t="s">
        <v>87</v>
      </c>
      <c r="DQ3" s="34" t="s">
        <v>88</v>
      </c>
      <c r="DR3" s="34" t="s">
        <v>89</v>
      </c>
      <c r="DS3" s="34" t="s">
        <v>90</v>
      </c>
      <c r="DT3" s="34" t="s">
        <v>91</v>
      </c>
      <c r="DU3" s="34" t="s">
        <v>92</v>
      </c>
      <c r="DV3" s="34" t="s">
        <v>93</v>
      </c>
      <c r="DW3" s="34" t="s">
        <v>96</v>
      </c>
      <c r="DX3" s="34" t="s">
        <v>97</v>
      </c>
      <c r="DY3" s="34" t="s">
        <v>94</v>
      </c>
      <c r="DZ3" s="34" t="s">
        <v>95</v>
      </c>
      <c r="EA3" s="34" t="s">
        <v>98</v>
      </c>
      <c r="EB3" s="54" t="s">
        <v>99</v>
      </c>
      <c r="EC3" s="55" t="s">
        <v>100</v>
      </c>
      <c r="ED3" s="55" t="s">
        <v>101</v>
      </c>
      <c r="EE3" s="56" t="s">
        <v>102</v>
      </c>
      <c r="EF3" s="57" t="s">
        <v>130</v>
      </c>
      <c r="EG3" s="57" t="s">
        <v>129</v>
      </c>
      <c r="EH3" s="57" t="s">
        <v>103</v>
      </c>
      <c r="EI3" s="57" t="s">
        <v>128</v>
      </c>
      <c r="EJ3" s="43" t="s">
        <v>119</v>
      </c>
      <c r="EK3" s="43" t="s">
        <v>104</v>
      </c>
      <c r="EL3" s="61" t="s">
        <v>105</v>
      </c>
      <c r="EM3" s="43" t="s">
        <v>107</v>
      </c>
      <c r="EN3" s="43" t="s">
        <v>108</v>
      </c>
      <c r="EO3" s="60" t="s">
        <v>127</v>
      </c>
      <c r="EP3" s="56" t="s">
        <v>109</v>
      </c>
    </row>
    <row r="4" spans="1:146" x14ac:dyDescent="0.25">
      <c r="A4" s="33" t="s">
        <v>11610</v>
      </c>
      <c r="B4" s="33" t="s">
        <v>270</v>
      </c>
      <c r="C4" s="33" t="s">
        <v>11611</v>
      </c>
      <c r="D4" s="33" t="s">
        <v>483</v>
      </c>
      <c r="E4" s="33" t="s">
        <v>478</v>
      </c>
      <c r="F4" s="33" t="s">
        <v>486</v>
      </c>
      <c r="G4" s="33" t="s">
        <v>517</v>
      </c>
      <c r="H4" s="33" t="s">
        <v>525</v>
      </c>
      <c r="I4" s="33" t="s">
        <v>11612</v>
      </c>
      <c r="J4" s="33" t="s">
        <v>11613</v>
      </c>
      <c r="K4" s="33" t="s">
        <v>11076</v>
      </c>
      <c r="M4" s="33" t="s">
        <v>11227</v>
      </c>
      <c r="N4" s="31" t="s">
        <v>11614</v>
      </c>
      <c r="O4" s="33" t="s">
        <v>11615</v>
      </c>
      <c r="P4" s="33" cm="1">
        <f t="array" ref="P4">IFERROR(SUM(VALUE(_xlfn.TEXTSPLIT(O4, ";"))), "")</f>
        <v>2500</v>
      </c>
      <c r="X4" s="33" t="s">
        <v>532</v>
      </c>
      <c r="Y4" s="33" t="s">
        <v>1147</v>
      </c>
      <c r="Z4" s="33" t="s">
        <v>11026</v>
      </c>
      <c r="AA4" s="33" t="s">
        <v>11616</v>
      </c>
      <c r="DE4">
        <v>10</v>
      </c>
      <c r="DF4">
        <v>40</v>
      </c>
      <c r="DG4">
        <v>200</v>
      </c>
      <c r="DH4">
        <v>40</v>
      </c>
      <c r="DI4">
        <v>200</v>
      </c>
      <c r="DJ4">
        <v>40</v>
      </c>
      <c r="DK4">
        <v>50</v>
      </c>
      <c r="DO4">
        <f>IF(SUM(DE4:DN4)=0, "", SUM(DE4:DN4))</f>
        <v>580</v>
      </c>
      <c r="EB4" s="33" t="s">
        <v>269</v>
      </c>
      <c r="EG4" s="33" t="str">
        <f>IF(NOT(ISBLANK($B4)),VLOOKUP($B4,AssetCategories!$A:$E,5,0),"")</f>
        <v>10</v>
      </c>
      <c r="EH4" t="str">
        <f>IF(NOT(ISBLANK($B4)),VLOOKUP($B4,AssetCategories!$A:$E,4,0),"")</f>
        <v>10</v>
      </c>
      <c r="EJ4" s="33" t="s">
        <v>11629</v>
      </c>
      <c r="EK4" s="33" t="s">
        <v>11619</v>
      </c>
      <c r="EL4">
        <v>80</v>
      </c>
      <c r="EM4" t="str">
        <f>IF(NOT(ISBLANK($B4)),VLOOKUP($B4,AssetCategories!$A:$E,2,0),"")</f>
        <v>5</v>
      </c>
      <c r="EN4" t="str">
        <f>IF(NOT(ISBLANK($B4)),VLOOKUP($B4,AssetCategories!$A:$E,3,0),"")</f>
        <v>10</v>
      </c>
      <c r="EP4" s="33">
        <f>IFERROR(P4-EO4, "")</f>
        <v>2500</v>
      </c>
    </row>
    <row r="5" spans="1:146" x14ac:dyDescent="0.25">
      <c r="A5" s="33" t="s">
        <v>11609</v>
      </c>
      <c r="B5" s="33" t="s">
        <v>273</v>
      </c>
      <c r="C5" s="33" t="s">
        <v>11617</v>
      </c>
      <c r="D5" s="33" t="s">
        <v>483</v>
      </c>
      <c r="E5" s="33" t="s">
        <v>478</v>
      </c>
      <c r="F5" s="33" t="s">
        <v>490</v>
      </c>
      <c r="G5" s="33" t="s">
        <v>517</v>
      </c>
      <c r="H5" s="33" t="s">
        <v>524</v>
      </c>
      <c r="I5" s="33" t="s">
        <v>11618</v>
      </c>
      <c r="M5" s="33" t="s">
        <v>11233</v>
      </c>
      <c r="N5" s="31" t="s">
        <v>11614</v>
      </c>
      <c r="O5" s="33" t="s">
        <v>11615</v>
      </c>
      <c r="P5" s="33" cm="1">
        <f t="array" ref="P5">IFERROR(SUM(VALUE(_xlfn.TEXTSPLIT(O5, ";"))), "")</f>
        <v>2500</v>
      </c>
      <c r="CI5" s="33" t="s">
        <v>11624</v>
      </c>
      <c r="CJ5" s="33" t="s">
        <v>11625</v>
      </c>
      <c r="CK5" s="33" t="s">
        <v>11626</v>
      </c>
      <c r="CL5" s="33" t="s">
        <v>11627</v>
      </c>
      <c r="CM5" s="33" t="s">
        <v>11241</v>
      </c>
      <c r="CO5" s="33" t="s">
        <v>11266</v>
      </c>
      <c r="CY5" s="33" t="s">
        <v>11628</v>
      </c>
      <c r="DA5" s="33" t="s">
        <v>11628</v>
      </c>
      <c r="DB5" s="33" t="s">
        <v>11628</v>
      </c>
      <c r="DD5" s="33" t="s">
        <v>11628</v>
      </c>
      <c r="DO5" t="str">
        <f t="shared" ref="DO5:DO68" si="0">IF(SUM(DE5:DN5)=0, "", SUM(DE5:DN5))</f>
        <v/>
      </c>
      <c r="EB5" s="33" t="s">
        <v>11620</v>
      </c>
      <c r="EC5" s="33" t="s">
        <v>11621</v>
      </c>
      <c r="ED5" s="33" t="s">
        <v>11621</v>
      </c>
      <c r="EE5" s="33" t="s">
        <v>11621</v>
      </c>
      <c r="EF5" s="33" t="s">
        <v>11621</v>
      </c>
      <c r="EG5" s="33" t="str">
        <f>IF(NOT(ISBLANK($B5)),VLOOKUP($B5,AssetCategories!$A:$E,5,0),"")</f>
        <v>10</v>
      </c>
      <c r="EH5" t="str">
        <f>IF(NOT(ISBLANK($B5)),VLOOKUP($B5,AssetCategories!$A:$E,4,0),"")</f>
        <v>10</v>
      </c>
      <c r="EI5" s="33" t="s">
        <v>11622</v>
      </c>
      <c r="EJ5" s="33" t="s">
        <v>11629</v>
      </c>
      <c r="EK5" s="33" t="s">
        <v>11623</v>
      </c>
      <c r="EL5">
        <v>70</v>
      </c>
      <c r="EM5" t="str">
        <f>IF(NOT(ISBLANK($B5)),VLOOKUP($B5,AssetCategories!$A:$E,2,0),"")</f>
        <v>5</v>
      </c>
      <c r="EN5" t="str">
        <f>IF(NOT(ISBLANK($B5)),VLOOKUP($B5,AssetCategories!$A:$E,3,0),"")</f>
        <v>10</v>
      </c>
      <c r="EP5" s="33">
        <f t="shared" ref="EP5:EP68" si="1">IFERROR(P5-EO5, "")</f>
        <v>2500</v>
      </c>
    </row>
    <row r="6" spans="1:146" x14ac:dyDescent="0.25">
      <c r="P6" s="33" t="str" cm="1">
        <f t="array" ref="P6">IFERROR(SUM(VALUE(_xlfn.TEXTSPLIT(O6, ";"))), "")</f>
        <v/>
      </c>
      <c r="DO6" t="str">
        <f t="shared" si="0"/>
        <v/>
      </c>
      <c r="EG6" s="33" t="str">
        <f>IF(NOT(ISBLANK($B6)),VLOOKUP($B6,AssetCategories!$A:$E,5,0),"")</f>
        <v/>
      </c>
      <c r="EH6" t="str">
        <f>IF(NOT(ISBLANK($B6)),VLOOKUP($B6,AssetCategories!$A:$E,4,0),"")</f>
        <v/>
      </c>
      <c r="EM6" t="str">
        <f>IF(NOT(ISBLANK($B6)),VLOOKUP($B6,AssetCategories!$A:$E,2,0),"")</f>
        <v/>
      </c>
      <c r="EN6" t="str">
        <f>IF(NOT(ISBLANK($B6)),VLOOKUP($B6,AssetCategories!$A:$E,3,0),"")</f>
        <v/>
      </c>
      <c r="EP6" s="33" t="str">
        <f t="shared" si="1"/>
        <v/>
      </c>
    </row>
    <row r="7" spans="1:146" x14ac:dyDescent="0.25">
      <c r="P7" s="33" t="str" cm="1">
        <f t="array" ref="P7">IFERROR(SUM(VALUE(_xlfn.TEXTSPLIT(O7, ";"))), "")</f>
        <v/>
      </c>
      <c r="DO7" t="str">
        <f t="shared" si="0"/>
        <v/>
      </c>
      <c r="EG7" s="33" t="str">
        <f>IF(NOT(ISBLANK($B7)),VLOOKUP($B7,AssetCategories!$A:$E,5,0),"")</f>
        <v/>
      </c>
      <c r="EH7" t="str">
        <f>IF(NOT(ISBLANK($B7)),VLOOKUP($B7,AssetCategories!$A:$E,4,0),"")</f>
        <v/>
      </c>
      <c r="EM7" t="str">
        <f>IF(NOT(ISBLANK($B7)),VLOOKUP($B7,AssetCategories!$A:$E,2,0),"")</f>
        <v/>
      </c>
      <c r="EN7" t="str">
        <f>IF(NOT(ISBLANK($B7)),VLOOKUP($B7,AssetCategories!$A:$E,3,0),"")</f>
        <v/>
      </c>
      <c r="EP7" s="33" t="str">
        <f t="shared" si="1"/>
        <v/>
      </c>
    </row>
    <row r="8" spans="1:146" x14ac:dyDescent="0.25">
      <c r="P8" s="33" t="str" cm="1">
        <f t="array" ref="P8">IFERROR(SUM(VALUE(_xlfn.TEXTSPLIT(O8, ";"))), "")</f>
        <v/>
      </c>
      <c r="DO8" t="str">
        <f t="shared" si="0"/>
        <v/>
      </c>
      <c r="EG8" s="33" t="str">
        <f>IF(NOT(ISBLANK($B8)),VLOOKUP($B8,AssetCategories!$A:$E,5,0),"")</f>
        <v/>
      </c>
      <c r="EH8" t="str">
        <f>IF(NOT(ISBLANK($B8)),VLOOKUP($B8,AssetCategories!$A:$E,4,0),"")</f>
        <v/>
      </c>
      <c r="EM8" t="str">
        <f>IF(NOT(ISBLANK($B8)),VLOOKUP($B8,AssetCategories!$A:$E,2,0),"")</f>
        <v/>
      </c>
      <c r="EN8" t="str">
        <f>IF(NOT(ISBLANK($B8)),VLOOKUP($B8,AssetCategories!$A:$E,3,0),"")</f>
        <v/>
      </c>
      <c r="EP8" s="33" t="str">
        <f t="shared" si="1"/>
        <v/>
      </c>
    </row>
    <row r="9" spans="1:146" x14ac:dyDescent="0.25">
      <c r="P9" s="33" t="str" cm="1">
        <f t="array" ref="P9">IFERROR(SUM(VALUE(_xlfn.TEXTSPLIT(O9, ";"))), "")</f>
        <v/>
      </c>
      <c r="DO9" t="str">
        <f t="shared" si="0"/>
        <v/>
      </c>
      <c r="EG9" s="33" t="str">
        <f>IF(NOT(ISBLANK($B9)),VLOOKUP($B9,AssetCategories!$A:$E,5,0),"")</f>
        <v/>
      </c>
      <c r="EH9" t="str">
        <f>IF(NOT(ISBLANK($B9)),VLOOKUP($B9,AssetCategories!$A:$E,4,0),"")</f>
        <v/>
      </c>
      <c r="EM9" t="str">
        <f>IF(NOT(ISBLANK($B9)),VLOOKUP($B9,AssetCategories!$A:$E,2,0),"")</f>
        <v/>
      </c>
      <c r="EN9" t="str">
        <f>IF(NOT(ISBLANK($B9)),VLOOKUP($B9,AssetCategories!$A:$E,3,0),"")</f>
        <v/>
      </c>
      <c r="EP9" s="33" t="str">
        <f t="shared" si="1"/>
        <v/>
      </c>
    </row>
    <row r="10" spans="1:146" x14ac:dyDescent="0.25">
      <c r="P10" s="33" t="str" cm="1">
        <f t="array" ref="P10">IFERROR(SUM(VALUE(_xlfn.TEXTSPLIT(O10, ";"))), "")</f>
        <v/>
      </c>
      <c r="DO10" t="str">
        <f t="shared" si="0"/>
        <v/>
      </c>
      <c r="EG10" s="33" t="str">
        <f>IF(NOT(ISBLANK($B10)),VLOOKUP($B10,AssetCategories!$A:$E,5,0),"")</f>
        <v/>
      </c>
      <c r="EH10" t="str">
        <f>IF(NOT(ISBLANK($B10)),VLOOKUP($B10,AssetCategories!$A:$E,4,0),"")</f>
        <v/>
      </c>
      <c r="EM10" t="str">
        <f>IF(NOT(ISBLANK($B10)),VLOOKUP($B10,AssetCategories!$A:$E,2,0),"")</f>
        <v/>
      </c>
      <c r="EN10" t="str">
        <f>IF(NOT(ISBLANK($B10)),VLOOKUP($B10,AssetCategories!$A:$E,3,0),"")</f>
        <v/>
      </c>
      <c r="EP10" s="33" t="str">
        <f t="shared" si="1"/>
        <v/>
      </c>
    </row>
    <row r="11" spans="1:146" x14ac:dyDescent="0.25">
      <c r="P11" s="33" t="str" cm="1">
        <f t="array" ref="P11">IFERROR(SUM(VALUE(_xlfn.TEXTSPLIT(O11, ";"))), "")</f>
        <v/>
      </c>
      <c r="DO11" t="str">
        <f t="shared" si="0"/>
        <v/>
      </c>
      <c r="EG11" s="33" t="str">
        <f>IF(NOT(ISBLANK($B11)),VLOOKUP($B11,AssetCategories!$A:$E,5,0),"")</f>
        <v/>
      </c>
      <c r="EH11" t="str">
        <f>IF(NOT(ISBLANK($B11)),VLOOKUP($B11,AssetCategories!$A:$E,4,0),"")</f>
        <v/>
      </c>
      <c r="EM11" t="str">
        <f>IF(NOT(ISBLANK($B11)),VLOOKUP($B11,AssetCategories!$A:$E,2,0),"")</f>
        <v/>
      </c>
      <c r="EN11" t="str">
        <f>IF(NOT(ISBLANK($B11)),VLOOKUP($B11,AssetCategories!$A:$E,3,0),"")</f>
        <v/>
      </c>
      <c r="EP11" s="33" t="str">
        <f t="shared" si="1"/>
        <v/>
      </c>
    </row>
    <row r="12" spans="1:146" x14ac:dyDescent="0.25">
      <c r="P12" s="33" t="str" cm="1">
        <f t="array" ref="P12">IFERROR(SUM(VALUE(_xlfn.TEXTSPLIT(O12, ";"))), "")</f>
        <v/>
      </c>
      <c r="DO12" t="str">
        <f t="shared" si="0"/>
        <v/>
      </c>
      <c r="EG12" s="33" t="str">
        <f>IF(NOT(ISBLANK($B12)),VLOOKUP($B12,AssetCategories!$A:$E,5,0),"")</f>
        <v/>
      </c>
      <c r="EH12" t="str">
        <f>IF(NOT(ISBLANK($B12)),VLOOKUP($B12,AssetCategories!$A:$E,4,0),"")</f>
        <v/>
      </c>
      <c r="EM12" t="str">
        <f>IF(NOT(ISBLANK($B12)),VLOOKUP($B12,AssetCategories!$A:$E,2,0),"")</f>
        <v/>
      </c>
      <c r="EN12" t="str">
        <f>IF(NOT(ISBLANK($B12)),VLOOKUP($B12,AssetCategories!$A:$E,3,0),"")</f>
        <v/>
      </c>
      <c r="EP12" s="33" t="str">
        <f t="shared" si="1"/>
        <v/>
      </c>
    </row>
    <row r="13" spans="1:146" x14ac:dyDescent="0.25">
      <c r="P13" s="33" t="str" cm="1">
        <f t="array" ref="P13">IFERROR(SUM(VALUE(_xlfn.TEXTSPLIT(O13, ";"))), "")</f>
        <v/>
      </c>
      <c r="DO13" t="str">
        <f t="shared" si="0"/>
        <v/>
      </c>
      <c r="EG13" s="33" t="str">
        <f>IF(NOT(ISBLANK($B13)),VLOOKUP($B13,AssetCategories!$A:$E,5,0),"")</f>
        <v/>
      </c>
      <c r="EH13" t="str">
        <f>IF(NOT(ISBLANK($B13)),VLOOKUP($B13,AssetCategories!$A:$E,4,0),"")</f>
        <v/>
      </c>
      <c r="EM13" t="str">
        <f>IF(NOT(ISBLANK($B13)),VLOOKUP($B13,AssetCategories!$A:$E,2,0),"")</f>
        <v/>
      </c>
      <c r="EN13" t="str">
        <f>IF(NOT(ISBLANK($B13)),VLOOKUP($B13,AssetCategories!$A:$E,3,0),"")</f>
        <v/>
      </c>
      <c r="EP13" s="33" t="str">
        <f t="shared" si="1"/>
        <v/>
      </c>
    </row>
    <row r="14" spans="1:146" x14ac:dyDescent="0.25">
      <c r="P14" s="33" t="str" cm="1">
        <f t="array" ref="P14">IFERROR(SUM(VALUE(_xlfn.TEXTSPLIT(O14, ";"))), "")</f>
        <v/>
      </c>
      <c r="DO14" t="str">
        <f t="shared" si="0"/>
        <v/>
      </c>
      <c r="EG14" s="33" t="str">
        <f>IF(NOT(ISBLANK($B14)),VLOOKUP($B14,AssetCategories!$A:$E,5,0),"")</f>
        <v/>
      </c>
      <c r="EH14" t="str">
        <f>IF(NOT(ISBLANK($B14)),VLOOKUP($B14,AssetCategories!$A:$E,4,0),"")</f>
        <v/>
      </c>
      <c r="EM14" t="str">
        <f>IF(NOT(ISBLANK($B14)),VLOOKUP($B14,AssetCategories!$A:$E,2,0),"")</f>
        <v/>
      </c>
      <c r="EN14" t="str">
        <f>IF(NOT(ISBLANK($B14)),VLOOKUP($B14,AssetCategories!$A:$E,3,0),"")</f>
        <v/>
      </c>
      <c r="EP14" s="33" t="str">
        <f t="shared" si="1"/>
        <v/>
      </c>
    </row>
    <row r="15" spans="1:146" x14ac:dyDescent="0.25">
      <c r="P15" s="33" t="str" cm="1">
        <f t="array" ref="P15">IFERROR(SUM(VALUE(_xlfn.TEXTSPLIT(O15, ";"))), "")</f>
        <v/>
      </c>
      <c r="DO15" t="str">
        <f t="shared" si="0"/>
        <v/>
      </c>
      <c r="EG15" s="33" t="str">
        <f>IF(NOT(ISBLANK($B15)),VLOOKUP($B15,AssetCategories!$A:$E,5,0),"")</f>
        <v/>
      </c>
      <c r="EH15" t="str">
        <f>IF(NOT(ISBLANK($B15)),VLOOKUP($B15,AssetCategories!$A:$E,4,0),"")</f>
        <v/>
      </c>
      <c r="EM15" t="str">
        <f>IF(NOT(ISBLANK($B15)),VLOOKUP($B15,AssetCategories!$A:$E,2,0),"")</f>
        <v/>
      </c>
      <c r="EN15" t="str">
        <f>IF(NOT(ISBLANK($B15)),VLOOKUP($B15,AssetCategories!$A:$E,3,0),"")</f>
        <v/>
      </c>
      <c r="EP15" s="33" t="str">
        <f t="shared" si="1"/>
        <v/>
      </c>
    </row>
    <row r="16" spans="1:146" x14ac:dyDescent="0.25">
      <c r="P16" s="33" t="str" cm="1">
        <f t="array" ref="P16">IFERROR(SUM(VALUE(_xlfn.TEXTSPLIT(O16, ";"))), "")</f>
        <v/>
      </c>
      <c r="DO16" t="str">
        <f t="shared" si="0"/>
        <v/>
      </c>
      <c r="EG16" s="33" t="str">
        <f>IF(NOT(ISBLANK($B16)),VLOOKUP($B16,AssetCategories!$A:$E,5,0),"")</f>
        <v/>
      </c>
      <c r="EH16" t="str">
        <f>IF(NOT(ISBLANK($B16)),VLOOKUP($B16,AssetCategories!$A:$E,4,0),"")</f>
        <v/>
      </c>
      <c r="EM16" t="str">
        <f>IF(NOT(ISBLANK($B16)),VLOOKUP($B16,AssetCategories!$A:$E,2,0),"")</f>
        <v/>
      </c>
      <c r="EN16" t="str">
        <f>IF(NOT(ISBLANK($B16)),VLOOKUP($B16,AssetCategories!$A:$E,3,0),"")</f>
        <v/>
      </c>
      <c r="EP16" s="33" t="str">
        <f t="shared" si="1"/>
        <v/>
      </c>
    </row>
    <row r="17" spans="16:146" x14ac:dyDescent="0.25">
      <c r="P17" s="33" t="str" cm="1">
        <f t="array" ref="P17">IFERROR(SUM(VALUE(_xlfn.TEXTSPLIT(O17, ";"))), "")</f>
        <v/>
      </c>
      <c r="DO17" t="str">
        <f t="shared" si="0"/>
        <v/>
      </c>
      <c r="EG17" s="33" t="str">
        <f>IF(NOT(ISBLANK($B17)),VLOOKUP($B17,AssetCategories!$A:$E,5,0),"")</f>
        <v/>
      </c>
      <c r="EH17" t="str">
        <f>IF(NOT(ISBLANK($B17)),VLOOKUP($B17,AssetCategories!$A:$E,4,0),"")</f>
        <v/>
      </c>
      <c r="EM17" t="str">
        <f>IF(NOT(ISBLANK($B17)),VLOOKUP($B17,AssetCategories!$A:$E,2,0),"")</f>
        <v/>
      </c>
      <c r="EN17" t="str">
        <f>IF(NOT(ISBLANK($B17)),VLOOKUP($B17,AssetCategories!$A:$E,3,0),"")</f>
        <v/>
      </c>
      <c r="EP17" s="33" t="str">
        <f t="shared" si="1"/>
        <v/>
      </c>
    </row>
    <row r="18" spans="16:146" x14ac:dyDescent="0.25">
      <c r="P18" s="33" t="str" cm="1">
        <f t="array" ref="P18">IFERROR(SUM(VALUE(_xlfn.TEXTSPLIT(O18, ";"))), "")</f>
        <v/>
      </c>
      <c r="DO18" t="str">
        <f t="shared" si="0"/>
        <v/>
      </c>
      <c r="EG18" s="33" t="str">
        <f>IF(NOT(ISBLANK($B18)),VLOOKUP($B18,AssetCategories!$A:$E,5,0),"")</f>
        <v/>
      </c>
      <c r="EH18" t="str">
        <f>IF(NOT(ISBLANK($B18)),VLOOKUP($B18,AssetCategories!$A:$E,4,0),"")</f>
        <v/>
      </c>
      <c r="EM18" t="str">
        <f>IF(NOT(ISBLANK($B18)),VLOOKUP($B18,AssetCategories!$A:$E,2,0),"")</f>
        <v/>
      </c>
      <c r="EN18" t="str">
        <f>IF(NOT(ISBLANK($B18)),VLOOKUP($B18,AssetCategories!$A:$E,3,0),"")</f>
        <v/>
      </c>
      <c r="EP18" s="33" t="str">
        <f t="shared" si="1"/>
        <v/>
      </c>
    </row>
    <row r="19" spans="16:146" x14ac:dyDescent="0.25">
      <c r="P19" s="33" t="str" cm="1">
        <f t="array" ref="P19">IFERROR(SUM(VALUE(_xlfn.TEXTSPLIT(O19, ";"))), "")</f>
        <v/>
      </c>
      <c r="DO19" t="str">
        <f t="shared" si="0"/>
        <v/>
      </c>
      <c r="EG19" s="33" t="str">
        <f>IF(NOT(ISBLANK($B19)),VLOOKUP($B19,AssetCategories!$A:$E,5,0),"")</f>
        <v/>
      </c>
      <c r="EH19" t="str">
        <f>IF(NOT(ISBLANK($B19)),VLOOKUP($B19,AssetCategories!$A:$E,4,0),"")</f>
        <v/>
      </c>
      <c r="EM19" t="str">
        <f>IF(NOT(ISBLANK($B19)),VLOOKUP($B19,AssetCategories!$A:$E,2,0),"")</f>
        <v/>
      </c>
      <c r="EN19" t="str">
        <f>IF(NOT(ISBLANK($B19)),VLOOKUP($B19,AssetCategories!$A:$E,3,0),"")</f>
        <v/>
      </c>
      <c r="EP19" s="33" t="str">
        <f t="shared" si="1"/>
        <v/>
      </c>
    </row>
    <row r="20" spans="16:146" x14ac:dyDescent="0.25">
      <c r="P20" s="33" t="str" cm="1">
        <f t="array" ref="P20">IFERROR(SUM(VALUE(_xlfn.TEXTSPLIT(O20, ";"))), "")</f>
        <v/>
      </c>
      <c r="DO20" t="str">
        <f t="shared" si="0"/>
        <v/>
      </c>
      <c r="EG20" s="33" t="str">
        <f>IF(NOT(ISBLANK($B20)),VLOOKUP($B20,AssetCategories!$A:$E,5,0),"")</f>
        <v/>
      </c>
      <c r="EH20" t="str">
        <f>IF(NOT(ISBLANK($B20)),VLOOKUP($B20,AssetCategories!$A:$E,4,0),"")</f>
        <v/>
      </c>
      <c r="EM20" t="str">
        <f>IF(NOT(ISBLANK($B20)),VLOOKUP($B20,AssetCategories!$A:$E,2,0),"")</f>
        <v/>
      </c>
      <c r="EN20" t="str">
        <f>IF(NOT(ISBLANK($B20)),VLOOKUP($B20,AssetCategories!$A:$E,3,0),"")</f>
        <v/>
      </c>
      <c r="EP20" s="33" t="str">
        <f t="shared" si="1"/>
        <v/>
      </c>
    </row>
    <row r="21" spans="16:146" x14ac:dyDescent="0.25">
      <c r="P21" s="33" t="str" cm="1">
        <f t="array" ref="P21">IFERROR(SUM(VALUE(_xlfn.TEXTSPLIT(O21, ";"))), "")</f>
        <v/>
      </c>
      <c r="DO21" t="str">
        <f t="shared" si="0"/>
        <v/>
      </c>
      <c r="EG21" s="33" t="str">
        <f>IF(NOT(ISBLANK($B21)),VLOOKUP($B21,AssetCategories!$A:$E,5,0),"")</f>
        <v/>
      </c>
      <c r="EH21" t="str">
        <f>IF(NOT(ISBLANK($B21)),VLOOKUP($B21,AssetCategories!$A:$E,4,0),"")</f>
        <v/>
      </c>
      <c r="EM21" t="str">
        <f>IF(NOT(ISBLANK($B21)),VLOOKUP($B21,AssetCategories!$A:$E,2,0),"")</f>
        <v/>
      </c>
      <c r="EN21" t="str">
        <f>IF(NOT(ISBLANK($B21)),VLOOKUP($B21,AssetCategories!$A:$E,3,0),"")</f>
        <v/>
      </c>
      <c r="EP21" s="33" t="str">
        <f t="shared" si="1"/>
        <v/>
      </c>
    </row>
    <row r="22" spans="16:146" x14ac:dyDescent="0.25">
      <c r="P22" s="33" t="str" cm="1">
        <f t="array" ref="P22">IFERROR(SUM(VALUE(_xlfn.TEXTSPLIT(O22, ";"))), "")</f>
        <v/>
      </c>
      <c r="DO22" t="str">
        <f t="shared" si="0"/>
        <v/>
      </c>
      <c r="EG22" s="33" t="str">
        <f>IF(NOT(ISBLANK($B22)),VLOOKUP($B22,AssetCategories!$A:$E,5,0),"")</f>
        <v/>
      </c>
      <c r="EH22" t="str">
        <f>IF(NOT(ISBLANK($B22)),VLOOKUP($B22,AssetCategories!$A:$E,4,0),"")</f>
        <v/>
      </c>
      <c r="EM22" t="str">
        <f>IF(NOT(ISBLANK($B22)),VLOOKUP($B22,AssetCategories!$A:$E,2,0),"")</f>
        <v/>
      </c>
      <c r="EN22" t="str">
        <f>IF(NOT(ISBLANK($B22)),VLOOKUP($B22,AssetCategories!$A:$E,3,0),"")</f>
        <v/>
      </c>
      <c r="EP22" s="33" t="str">
        <f t="shared" si="1"/>
        <v/>
      </c>
    </row>
    <row r="23" spans="16:146" x14ac:dyDescent="0.25">
      <c r="P23" s="33" t="str" cm="1">
        <f t="array" ref="P23">IFERROR(SUM(VALUE(_xlfn.TEXTSPLIT(O23, ";"))), "")</f>
        <v/>
      </c>
      <c r="DO23" t="str">
        <f t="shared" si="0"/>
        <v/>
      </c>
      <c r="EG23" s="33" t="str">
        <f>IF(NOT(ISBLANK($B23)),VLOOKUP($B23,AssetCategories!$A:$E,5,0),"")</f>
        <v/>
      </c>
      <c r="EH23" t="str">
        <f>IF(NOT(ISBLANK($B23)),VLOOKUP($B23,AssetCategories!$A:$E,4,0),"")</f>
        <v/>
      </c>
      <c r="EM23" t="str">
        <f>IF(NOT(ISBLANK($B23)),VLOOKUP($B23,AssetCategories!$A:$E,2,0),"")</f>
        <v/>
      </c>
      <c r="EN23" t="str">
        <f>IF(NOT(ISBLANK($B23)),VLOOKUP($B23,AssetCategories!$A:$E,3,0),"")</f>
        <v/>
      </c>
      <c r="EP23" s="33" t="str">
        <f t="shared" si="1"/>
        <v/>
      </c>
    </row>
    <row r="24" spans="16:146" x14ac:dyDescent="0.25">
      <c r="P24" s="33" t="str" cm="1">
        <f t="array" ref="P24">IFERROR(SUM(VALUE(_xlfn.TEXTSPLIT(O24, ";"))), "")</f>
        <v/>
      </c>
      <c r="DO24" t="str">
        <f t="shared" si="0"/>
        <v/>
      </c>
      <c r="EG24" s="33" t="str">
        <f>IF(NOT(ISBLANK($B24)),VLOOKUP($B24,AssetCategories!$A:$E,5,0),"")</f>
        <v/>
      </c>
      <c r="EH24" t="str">
        <f>IF(NOT(ISBLANK($B24)),VLOOKUP($B24,AssetCategories!$A:$E,4,0),"")</f>
        <v/>
      </c>
      <c r="EM24" t="str">
        <f>IF(NOT(ISBLANK($B24)),VLOOKUP($B24,AssetCategories!$A:$E,2,0),"")</f>
        <v/>
      </c>
      <c r="EN24" t="str">
        <f>IF(NOT(ISBLANK($B24)),VLOOKUP($B24,AssetCategories!$A:$E,3,0),"")</f>
        <v/>
      </c>
      <c r="EP24" s="33" t="str">
        <f t="shared" si="1"/>
        <v/>
      </c>
    </row>
    <row r="25" spans="16:146" x14ac:dyDescent="0.25">
      <c r="P25" s="33" t="str" cm="1">
        <f t="array" ref="P25">IFERROR(SUM(VALUE(_xlfn.TEXTSPLIT(O25, ";"))), "")</f>
        <v/>
      </c>
      <c r="DO25" t="str">
        <f t="shared" si="0"/>
        <v/>
      </c>
      <c r="EG25" s="33" t="str">
        <f>IF(NOT(ISBLANK($B25)),VLOOKUP($B25,AssetCategories!$A:$E,5,0),"")</f>
        <v/>
      </c>
      <c r="EH25" t="str">
        <f>IF(NOT(ISBLANK($B25)),VLOOKUP($B25,AssetCategories!$A:$E,4,0),"")</f>
        <v/>
      </c>
      <c r="EM25" t="str">
        <f>IF(NOT(ISBLANK($B25)),VLOOKUP($B25,AssetCategories!$A:$E,2,0),"")</f>
        <v/>
      </c>
      <c r="EN25" t="str">
        <f>IF(NOT(ISBLANK($B25)),VLOOKUP($B25,AssetCategories!$A:$E,3,0),"")</f>
        <v/>
      </c>
      <c r="EP25" s="33" t="str">
        <f t="shared" si="1"/>
        <v/>
      </c>
    </row>
    <row r="26" spans="16:146" x14ac:dyDescent="0.25">
      <c r="P26" s="33" t="str" cm="1">
        <f t="array" ref="P26">IFERROR(SUM(VALUE(_xlfn.TEXTSPLIT(O26, ";"))), "")</f>
        <v/>
      </c>
      <c r="DO26" t="str">
        <f t="shared" si="0"/>
        <v/>
      </c>
      <c r="EG26" s="33" t="str">
        <f>IF(NOT(ISBLANK($B26)),VLOOKUP($B26,AssetCategories!$A:$E,5,0),"")</f>
        <v/>
      </c>
      <c r="EH26" t="str">
        <f>IF(NOT(ISBLANK($B26)),VLOOKUP($B26,AssetCategories!$A:$E,4,0),"")</f>
        <v/>
      </c>
      <c r="EM26" t="str">
        <f>IF(NOT(ISBLANK($B26)),VLOOKUP($B26,AssetCategories!$A:$E,2,0),"")</f>
        <v/>
      </c>
      <c r="EN26" t="str">
        <f>IF(NOT(ISBLANK($B26)),VLOOKUP($B26,AssetCategories!$A:$E,3,0),"")</f>
        <v/>
      </c>
      <c r="EP26" s="33" t="str">
        <f t="shared" si="1"/>
        <v/>
      </c>
    </row>
    <row r="27" spans="16:146" x14ac:dyDescent="0.25">
      <c r="P27" s="33" t="str" cm="1">
        <f t="array" ref="P27">IFERROR(SUM(VALUE(_xlfn.TEXTSPLIT(O27, ";"))), "")</f>
        <v/>
      </c>
      <c r="DO27" t="str">
        <f t="shared" si="0"/>
        <v/>
      </c>
      <c r="EG27" s="33" t="str">
        <f>IF(NOT(ISBLANK($B27)),VLOOKUP($B27,AssetCategories!$A:$E,5,0),"")</f>
        <v/>
      </c>
      <c r="EH27" t="str">
        <f>IF(NOT(ISBLANK($B27)),VLOOKUP($B27,AssetCategories!$A:$E,4,0),"")</f>
        <v/>
      </c>
      <c r="EM27" t="str">
        <f>IF(NOT(ISBLANK($B27)),VLOOKUP($B27,AssetCategories!$A:$E,2,0),"")</f>
        <v/>
      </c>
      <c r="EN27" t="str">
        <f>IF(NOT(ISBLANK($B27)),VLOOKUP($B27,AssetCategories!$A:$E,3,0),"")</f>
        <v/>
      </c>
      <c r="EP27" s="33" t="str">
        <f t="shared" si="1"/>
        <v/>
      </c>
    </row>
    <row r="28" spans="16:146" x14ac:dyDescent="0.25">
      <c r="P28" s="33" t="str" cm="1">
        <f t="array" ref="P28">IFERROR(SUM(VALUE(_xlfn.TEXTSPLIT(O28, ";"))), "")</f>
        <v/>
      </c>
      <c r="DO28" t="str">
        <f t="shared" si="0"/>
        <v/>
      </c>
      <c r="EG28" s="33" t="str">
        <f>IF(NOT(ISBLANK($B28)),VLOOKUP($B28,AssetCategories!$A:$E,5,0),"")</f>
        <v/>
      </c>
      <c r="EH28" t="str">
        <f>IF(NOT(ISBLANK($B28)),VLOOKUP($B28,AssetCategories!$A:$E,4,0),"")</f>
        <v/>
      </c>
      <c r="EM28" t="str">
        <f>IF(NOT(ISBLANK($B28)),VLOOKUP($B28,AssetCategories!$A:$E,2,0),"")</f>
        <v/>
      </c>
      <c r="EN28" t="str">
        <f>IF(NOT(ISBLANK($B28)),VLOOKUP($B28,AssetCategories!$A:$E,3,0),"")</f>
        <v/>
      </c>
      <c r="EP28" s="33" t="str">
        <f t="shared" si="1"/>
        <v/>
      </c>
    </row>
    <row r="29" spans="16:146" x14ac:dyDescent="0.25">
      <c r="P29" s="33" t="str" cm="1">
        <f t="array" ref="P29">IFERROR(SUM(VALUE(_xlfn.TEXTSPLIT(O29, ";"))), "")</f>
        <v/>
      </c>
      <c r="DO29" t="str">
        <f t="shared" si="0"/>
        <v/>
      </c>
      <c r="EG29" s="33" t="str">
        <f>IF(NOT(ISBLANK($B29)),VLOOKUP($B29,AssetCategories!$A:$E,5,0),"")</f>
        <v/>
      </c>
      <c r="EH29" t="str">
        <f>IF(NOT(ISBLANK($B29)),VLOOKUP($B29,AssetCategories!$A:$E,4,0),"")</f>
        <v/>
      </c>
      <c r="EM29" t="str">
        <f>IF(NOT(ISBLANK($B29)),VLOOKUP($B29,AssetCategories!$A:$E,2,0),"")</f>
        <v/>
      </c>
      <c r="EN29" t="str">
        <f>IF(NOT(ISBLANK($B29)),VLOOKUP($B29,AssetCategories!$A:$E,3,0),"")</f>
        <v/>
      </c>
      <c r="EP29" s="33" t="str">
        <f t="shared" si="1"/>
        <v/>
      </c>
    </row>
    <row r="30" spans="16:146" x14ac:dyDescent="0.25">
      <c r="P30" s="33" t="str" cm="1">
        <f t="array" ref="P30">IFERROR(SUM(VALUE(_xlfn.TEXTSPLIT(O30, ";"))), "")</f>
        <v/>
      </c>
      <c r="DO30" t="str">
        <f t="shared" si="0"/>
        <v/>
      </c>
      <c r="EG30" s="33" t="str">
        <f>IF(NOT(ISBLANK($B30)),VLOOKUP($B30,AssetCategories!$A:$E,5,0),"")</f>
        <v/>
      </c>
      <c r="EH30" t="str">
        <f>IF(NOT(ISBLANK($B30)),VLOOKUP($B30,AssetCategories!$A:$E,4,0),"")</f>
        <v/>
      </c>
      <c r="EM30" t="str">
        <f>IF(NOT(ISBLANK($B30)),VLOOKUP($B30,AssetCategories!$A:$E,2,0),"")</f>
        <v/>
      </c>
      <c r="EN30" t="str">
        <f>IF(NOT(ISBLANK($B30)),VLOOKUP($B30,AssetCategories!$A:$E,3,0),"")</f>
        <v/>
      </c>
      <c r="EP30" s="33" t="str">
        <f t="shared" si="1"/>
        <v/>
      </c>
    </row>
    <row r="31" spans="16:146" x14ac:dyDescent="0.25">
      <c r="P31" s="33" t="str" cm="1">
        <f t="array" ref="P31">IFERROR(SUM(VALUE(_xlfn.TEXTSPLIT(O31, ";"))), "")</f>
        <v/>
      </c>
      <c r="DO31" t="str">
        <f t="shared" si="0"/>
        <v/>
      </c>
      <c r="EG31" s="33" t="str">
        <f>IF(NOT(ISBLANK($B31)),VLOOKUP($B31,AssetCategories!$A:$E,5,0),"")</f>
        <v/>
      </c>
      <c r="EH31" t="str">
        <f>IF(NOT(ISBLANK($B31)),VLOOKUP($B31,AssetCategories!$A:$E,4,0),"")</f>
        <v/>
      </c>
      <c r="EM31" t="str">
        <f>IF(NOT(ISBLANK($B31)),VLOOKUP($B31,AssetCategories!$A:$E,2,0),"")</f>
        <v/>
      </c>
      <c r="EN31" t="str">
        <f>IF(NOT(ISBLANK($B31)),VLOOKUP($B31,AssetCategories!$A:$E,3,0),"")</f>
        <v/>
      </c>
      <c r="EP31" s="33" t="str">
        <f t="shared" si="1"/>
        <v/>
      </c>
    </row>
    <row r="32" spans="16:146" x14ac:dyDescent="0.25">
      <c r="P32" s="33" t="str" cm="1">
        <f t="array" ref="P32">IFERROR(SUM(VALUE(_xlfn.TEXTSPLIT(O32, ";"))), "")</f>
        <v/>
      </c>
      <c r="DO32" t="str">
        <f t="shared" si="0"/>
        <v/>
      </c>
      <c r="EG32" s="33" t="str">
        <f>IF(NOT(ISBLANK($B32)),VLOOKUP($B32,AssetCategories!$A:$E,5,0),"")</f>
        <v/>
      </c>
      <c r="EH32" t="str">
        <f>IF(NOT(ISBLANK($B32)),VLOOKUP($B32,AssetCategories!$A:$E,4,0),"")</f>
        <v/>
      </c>
      <c r="EM32" t="str">
        <f>IF(NOT(ISBLANK($B32)),VLOOKUP($B32,AssetCategories!$A:$E,2,0),"")</f>
        <v/>
      </c>
      <c r="EN32" t="str">
        <f>IF(NOT(ISBLANK($B32)),VLOOKUP($B32,AssetCategories!$A:$E,3,0),"")</f>
        <v/>
      </c>
      <c r="EP32" s="33" t="str">
        <f t="shared" si="1"/>
        <v/>
      </c>
    </row>
    <row r="33" spans="16:146" x14ac:dyDescent="0.25">
      <c r="P33" s="33" t="str" cm="1">
        <f t="array" ref="P33">IFERROR(SUM(VALUE(_xlfn.TEXTSPLIT(O33, ";"))), "")</f>
        <v/>
      </c>
      <c r="DO33" t="str">
        <f t="shared" si="0"/>
        <v/>
      </c>
      <c r="EG33" s="33" t="str">
        <f>IF(NOT(ISBLANK($B33)),VLOOKUP($B33,AssetCategories!$A:$E,5,0),"")</f>
        <v/>
      </c>
      <c r="EH33" t="str">
        <f>IF(NOT(ISBLANK($B33)),VLOOKUP($B33,AssetCategories!$A:$E,4,0),"")</f>
        <v/>
      </c>
      <c r="EM33" t="str">
        <f>IF(NOT(ISBLANK($B33)),VLOOKUP($B33,AssetCategories!$A:$E,2,0),"")</f>
        <v/>
      </c>
      <c r="EN33" t="str">
        <f>IF(NOT(ISBLANK($B33)),VLOOKUP($B33,AssetCategories!$A:$E,3,0),"")</f>
        <v/>
      </c>
      <c r="EP33" s="33" t="str">
        <f t="shared" si="1"/>
        <v/>
      </c>
    </row>
    <row r="34" spans="16:146" x14ac:dyDescent="0.25">
      <c r="P34" s="33" t="str" cm="1">
        <f t="array" ref="P34">IFERROR(SUM(VALUE(_xlfn.TEXTSPLIT(O34, ";"))), "")</f>
        <v/>
      </c>
      <c r="DO34" t="str">
        <f t="shared" si="0"/>
        <v/>
      </c>
      <c r="EG34" s="33" t="str">
        <f>IF(NOT(ISBLANK($B34)),VLOOKUP($B34,AssetCategories!$A:$E,5,0),"")</f>
        <v/>
      </c>
      <c r="EH34" t="str">
        <f>IF(NOT(ISBLANK($B34)),VLOOKUP($B34,AssetCategories!$A:$E,4,0),"")</f>
        <v/>
      </c>
      <c r="EM34" t="str">
        <f>IF(NOT(ISBLANK($B34)),VLOOKUP($B34,AssetCategories!$A:$E,2,0),"")</f>
        <v/>
      </c>
      <c r="EN34" t="str">
        <f>IF(NOT(ISBLANK($B34)),VLOOKUP($B34,AssetCategories!$A:$E,3,0),"")</f>
        <v/>
      </c>
      <c r="EP34" s="33" t="str">
        <f t="shared" si="1"/>
        <v/>
      </c>
    </row>
    <row r="35" spans="16:146" x14ac:dyDescent="0.25">
      <c r="P35" s="33" t="str" cm="1">
        <f t="array" ref="P35">IFERROR(SUM(VALUE(_xlfn.TEXTSPLIT(O35, ";"))), "")</f>
        <v/>
      </c>
      <c r="DO35" t="str">
        <f t="shared" si="0"/>
        <v/>
      </c>
      <c r="EG35" s="33" t="str">
        <f>IF(NOT(ISBLANK($B35)),VLOOKUP($B35,AssetCategories!$A:$E,5,0),"")</f>
        <v/>
      </c>
      <c r="EH35" t="str">
        <f>IF(NOT(ISBLANK($B35)),VLOOKUP($B35,AssetCategories!$A:$E,4,0),"")</f>
        <v/>
      </c>
      <c r="EM35" t="str">
        <f>IF(NOT(ISBLANK($B35)),VLOOKUP($B35,AssetCategories!$A:$E,2,0),"")</f>
        <v/>
      </c>
      <c r="EN35" t="str">
        <f>IF(NOT(ISBLANK($B35)),VLOOKUP($B35,AssetCategories!$A:$E,3,0),"")</f>
        <v/>
      </c>
      <c r="EP35" s="33" t="str">
        <f t="shared" si="1"/>
        <v/>
      </c>
    </row>
    <row r="36" spans="16:146" x14ac:dyDescent="0.25">
      <c r="P36" s="33" t="str" cm="1">
        <f t="array" ref="P36">IFERROR(SUM(VALUE(_xlfn.TEXTSPLIT(O36, ";"))), "")</f>
        <v/>
      </c>
      <c r="DO36" t="str">
        <f t="shared" si="0"/>
        <v/>
      </c>
      <c r="EG36" s="33" t="str">
        <f>IF(NOT(ISBLANK($B36)),VLOOKUP($B36,AssetCategories!$A:$E,5,0),"")</f>
        <v/>
      </c>
      <c r="EH36" t="str">
        <f>IF(NOT(ISBLANK($B36)),VLOOKUP($B36,AssetCategories!$A:$E,4,0),"")</f>
        <v/>
      </c>
      <c r="EM36" t="str">
        <f>IF(NOT(ISBLANK($B36)),VLOOKUP($B36,AssetCategories!$A:$E,2,0),"")</f>
        <v/>
      </c>
      <c r="EN36" t="str">
        <f>IF(NOT(ISBLANK($B36)),VLOOKUP($B36,AssetCategories!$A:$E,3,0),"")</f>
        <v/>
      </c>
      <c r="EP36" s="33" t="str">
        <f t="shared" si="1"/>
        <v/>
      </c>
    </row>
    <row r="37" spans="16:146" x14ac:dyDescent="0.25">
      <c r="P37" s="33" t="str" cm="1">
        <f t="array" ref="P37">IFERROR(SUM(VALUE(_xlfn.TEXTSPLIT(O37, ";"))), "")</f>
        <v/>
      </c>
      <c r="DO37" t="str">
        <f t="shared" si="0"/>
        <v/>
      </c>
      <c r="EG37" s="33" t="str">
        <f>IF(NOT(ISBLANK($B37)),VLOOKUP($B37,AssetCategories!$A:$E,5,0),"")</f>
        <v/>
      </c>
      <c r="EH37" t="str">
        <f>IF(NOT(ISBLANK($B37)),VLOOKUP($B37,AssetCategories!$A:$E,4,0),"")</f>
        <v/>
      </c>
      <c r="EM37" t="str">
        <f>IF(NOT(ISBLANK($B37)),VLOOKUP($B37,AssetCategories!$A:$E,2,0),"")</f>
        <v/>
      </c>
      <c r="EN37" t="str">
        <f>IF(NOT(ISBLANK($B37)),VLOOKUP($B37,AssetCategories!$A:$E,3,0),"")</f>
        <v/>
      </c>
      <c r="EP37" s="33" t="str">
        <f t="shared" si="1"/>
        <v/>
      </c>
    </row>
    <row r="38" spans="16:146" x14ac:dyDescent="0.25">
      <c r="P38" s="33" t="str" cm="1">
        <f t="array" ref="P38">IFERROR(SUM(VALUE(_xlfn.TEXTSPLIT(O38, ";"))), "")</f>
        <v/>
      </c>
      <c r="DO38" t="str">
        <f t="shared" si="0"/>
        <v/>
      </c>
      <c r="EG38" s="33" t="str">
        <f>IF(NOT(ISBLANK($B38)),VLOOKUP($B38,AssetCategories!$A:$E,5,0),"")</f>
        <v/>
      </c>
      <c r="EH38" t="str">
        <f>IF(NOT(ISBLANK($B38)),VLOOKUP($B38,AssetCategories!$A:$E,4,0),"")</f>
        <v/>
      </c>
      <c r="EM38" t="str">
        <f>IF(NOT(ISBLANK($B38)),VLOOKUP($B38,AssetCategories!$A:$E,2,0),"")</f>
        <v/>
      </c>
      <c r="EN38" t="str">
        <f>IF(NOT(ISBLANK($B38)),VLOOKUP($B38,AssetCategories!$A:$E,3,0),"")</f>
        <v/>
      </c>
      <c r="EP38" s="33" t="str">
        <f t="shared" si="1"/>
        <v/>
      </c>
    </row>
    <row r="39" spans="16:146" x14ac:dyDescent="0.25">
      <c r="P39" s="33" t="str" cm="1">
        <f t="array" ref="P39">IFERROR(SUM(VALUE(_xlfn.TEXTSPLIT(O39, ";"))), "")</f>
        <v/>
      </c>
      <c r="DO39" t="str">
        <f t="shared" si="0"/>
        <v/>
      </c>
      <c r="EG39" s="33" t="str">
        <f>IF(NOT(ISBLANK($B39)),VLOOKUP($B39,AssetCategories!$A:$E,5,0),"")</f>
        <v/>
      </c>
      <c r="EH39" t="str">
        <f>IF(NOT(ISBLANK($B39)),VLOOKUP($B39,AssetCategories!$A:$E,4,0),"")</f>
        <v/>
      </c>
      <c r="EM39" t="str">
        <f>IF(NOT(ISBLANK($B39)),VLOOKUP($B39,AssetCategories!$A:$E,2,0),"")</f>
        <v/>
      </c>
      <c r="EN39" t="str">
        <f>IF(NOT(ISBLANK($B39)),VLOOKUP($B39,AssetCategories!$A:$E,3,0),"")</f>
        <v/>
      </c>
      <c r="EP39" s="33" t="str">
        <f t="shared" si="1"/>
        <v/>
      </c>
    </row>
    <row r="40" spans="16:146" x14ac:dyDescent="0.25">
      <c r="P40" s="33" t="str" cm="1">
        <f t="array" ref="P40">IFERROR(SUM(VALUE(_xlfn.TEXTSPLIT(O40, ";"))), "")</f>
        <v/>
      </c>
      <c r="DO40" t="str">
        <f t="shared" si="0"/>
        <v/>
      </c>
      <c r="EG40" s="33" t="str">
        <f>IF(NOT(ISBLANK($B40)),VLOOKUP($B40,AssetCategories!$A:$E,5,0),"")</f>
        <v/>
      </c>
      <c r="EH40" t="str">
        <f>IF(NOT(ISBLANK($B40)),VLOOKUP($B40,AssetCategories!$A:$E,4,0),"")</f>
        <v/>
      </c>
      <c r="EM40" t="str">
        <f>IF(NOT(ISBLANK($B40)),VLOOKUP($B40,AssetCategories!$A:$E,2,0),"")</f>
        <v/>
      </c>
      <c r="EN40" t="str">
        <f>IF(NOT(ISBLANK($B40)),VLOOKUP($B40,AssetCategories!$A:$E,3,0),"")</f>
        <v/>
      </c>
      <c r="EP40" s="33" t="str">
        <f t="shared" si="1"/>
        <v/>
      </c>
    </row>
    <row r="41" spans="16:146" x14ac:dyDescent="0.25">
      <c r="P41" s="33" t="str" cm="1">
        <f t="array" ref="P41">IFERROR(SUM(VALUE(_xlfn.TEXTSPLIT(O41, ";"))), "")</f>
        <v/>
      </c>
      <c r="DO41" t="str">
        <f t="shared" si="0"/>
        <v/>
      </c>
      <c r="EG41" s="33" t="str">
        <f>IF(NOT(ISBLANK($B41)),VLOOKUP($B41,AssetCategories!$A:$E,5,0),"")</f>
        <v/>
      </c>
      <c r="EH41" t="str">
        <f>IF(NOT(ISBLANK($B41)),VLOOKUP($B41,AssetCategories!$A:$E,4,0),"")</f>
        <v/>
      </c>
      <c r="EM41" t="str">
        <f>IF(NOT(ISBLANK($B41)),VLOOKUP($B41,AssetCategories!$A:$E,2,0),"")</f>
        <v/>
      </c>
      <c r="EN41" t="str">
        <f>IF(NOT(ISBLANK($B41)),VLOOKUP($B41,AssetCategories!$A:$E,3,0),"")</f>
        <v/>
      </c>
      <c r="EP41" s="33" t="str">
        <f t="shared" si="1"/>
        <v/>
      </c>
    </row>
    <row r="42" spans="16:146" x14ac:dyDescent="0.25">
      <c r="P42" s="33" t="str" cm="1">
        <f t="array" ref="P42">IFERROR(SUM(VALUE(_xlfn.TEXTSPLIT(O42, ";"))), "")</f>
        <v/>
      </c>
      <c r="DO42" t="str">
        <f t="shared" si="0"/>
        <v/>
      </c>
      <c r="EG42" s="33" t="str">
        <f>IF(NOT(ISBLANK($B42)),VLOOKUP($B42,AssetCategories!$A:$E,5,0),"")</f>
        <v/>
      </c>
      <c r="EH42" t="str">
        <f>IF(NOT(ISBLANK($B42)),VLOOKUP($B42,AssetCategories!$A:$E,4,0),"")</f>
        <v/>
      </c>
      <c r="EM42" t="str">
        <f>IF(NOT(ISBLANK($B42)),VLOOKUP($B42,AssetCategories!$A:$E,2,0),"")</f>
        <v/>
      </c>
      <c r="EN42" t="str">
        <f>IF(NOT(ISBLANK($B42)),VLOOKUP($B42,AssetCategories!$A:$E,3,0),"")</f>
        <v/>
      </c>
      <c r="EP42" s="33" t="str">
        <f t="shared" si="1"/>
        <v/>
      </c>
    </row>
    <row r="43" spans="16:146" x14ac:dyDescent="0.25">
      <c r="P43" s="33" t="str" cm="1">
        <f t="array" ref="P43">IFERROR(SUM(VALUE(_xlfn.TEXTSPLIT(O43, ";"))), "")</f>
        <v/>
      </c>
      <c r="DO43" t="str">
        <f t="shared" si="0"/>
        <v/>
      </c>
      <c r="EG43" s="33" t="str">
        <f>IF(NOT(ISBLANK($B43)),VLOOKUP($B43,AssetCategories!$A:$E,5,0),"")</f>
        <v/>
      </c>
      <c r="EH43" t="str">
        <f>IF(NOT(ISBLANK($B43)),VLOOKUP($B43,AssetCategories!$A:$E,4,0),"")</f>
        <v/>
      </c>
      <c r="EM43" t="str">
        <f>IF(NOT(ISBLANK($B43)),VLOOKUP($B43,AssetCategories!$A:$E,2,0),"")</f>
        <v/>
      </c>
      <c r="EN43" t="str">
        <f>IF(NOT(ISBLANK($B43)),VLOOKUP($B43,AssetCategories!$A:$E,3,0),"")</f>
        <v/>
      </c>
      <c r="EP43" s="33" t="str">
        <f t="shared" si="1"/>
        <v/>
      </c>
    </row>
    <row r="44" spans="16:146" x14ac:dyDescent="0.25">
      <c r="P44" s="33" t="str" cm="1">
        <f t="array" ref="P44">IFERROR(SUM(VALUE(_xlfn.TEXTSPLIT(O44, ";"))), "")</f>
        <v/>
      </c>
      <c r="DO44" t="str">
        <f t="shared" si="0"/>
        <v/>
      </c>
      <c r="EG44" s="33" t="str">
        <f>IF(NOT(ISBLANK($B44)),VLOOKUP($B44,AssetCategories!$A:$E,5,0),"")</f>
        <v/>
      </c>
      <c r="EH44" t="str">
        <f>IF(NOT(ISBLANK($B44)),VLOOKUP($B44,AssetCategories!$A:$E,4,0),"")</f>
        <v/>
      </c>
      <c r="EM44" t="str">
        <f>IF(NOT(ISBLANK($B44)),VLOOKUP($B44,AssetCategories!$A:$E,2,0),"")</f>
        <v/>
      </c>
      <c r="EN44" t="str">
        <f>IF(NOT(ISBLANK($B44)),VLOOKUP($B44,AssetCategories!$A:$E,3,0),"")</f>
        <v/>
      </c>
      <c r="EP44" s="33" t="str">
        <f t="shared" si="1"/>
        <v/>
      </c>
    </row>
    <row r="45" spans="16:146" x14ac:dyDescent="0.25">
      <c r="P45" s="33" t="str" cm="1">
        <f t="array" ref="P45">IFERROR(SUM(VALUE(_xlfn.TEXTSPLIT(O45, ";"))), "")</f>
        <v/>
      </c>
      <c r="DO45" t="str">
        <f t="shared" si="0"/>
        <v/>
      </c>
      <c r="EG45" s="33" t="str">
        <f>IF(NOT(ISBLANK($B45)),VLOOKUP($B45,AssetCategories!$A:$E,5,0),"")</f>
        <v/>
      </c>
      <c r="EH45" t="str">
        <f>IF(NOT(ISBLANK($B45)),VLOOKUP($B45,AssetCategories!$A:$E,4,0),"")</f>
        <v/>
      </c>
      <c r="EM45" t="str">
        <f>IF(NOT(ISBLANK($B45)),VLOOKUP($B45,AssetCategories!$A:$E,2,0),"")</f>
        <v/>
      </c>
      <c r="EN45" t="str">
        <f>IF(NOT(ISBLANK($B45)),VLOOKUP($B45,AssetCategories!$A:$E,3,0),"")</f>
        <v/>
      </c>
      <c r="EP45" s="33" t="str">
        <f t="shared" si="1"/>
        <v/>
      </c>
    </row>
    <row r="46" spans="16:146" x14ac:dyDescent="0.25">
      <c r="P46" s="33" t="str" cm="1">
        <f t="array" ref="P46">IFERROR(SUM(VALUE(_xlfn.TEXTSPLIT(O46, ";"))), "")</f>
        <v/>
      </c>
      <c r="DO46" t="str">
        <f t="shared" si="0"/>
        <v/>
      </c>
      <c r="EG46" s="33" t="str">
        <f>IF(NOT(ISBLANK($B46)),VLOOKUP($B46,AssetCategories!$A:$E,5,0),"")</f>
        <v/>
      </c>
      <c r="EH46" t="str">
        <f>IF(NOT(ISBLANK($B46)),VLOOKUP($B46,AssetCategories!$A:$E,4,0),"")</f>
        <v/>
      </c>
      <c r="EM46" t="str">
        <f>IF(NOT(ISBLANK($B46)),VLOOKUP($B46,AssetCategories!$A:$E,2,0),"")</f>
        <v/>
      </c>
      <c r="EN46" t="str">
        <f>IF(NOT(ISBLANK($B46)),VLOOKUP($B46,AssetCategories!$A:$E,3,0),"")</f>
        <v/>
      </c>
      <c r="EP46" s="33" t="str">
        <f t="shared" si="1"/>
        <v/>
      </c>
    </row>
    <row r="47" spans="16:146" x14ac:dyDescent="0.25">
      <c r="P47" s="33" t="str" cm="1">
        <f t="array" ref="P47">IFERROR(SUM(VALUE(_xlfn.TEXTSPLIT(O47, ";"))), "")</f>
        <v/>
      </c>
      <c r="DO47" t="str">
        <f t="shared" si="0"/>
        <v/>
      </c>
      <c r="EG47" s="33" t="str">
        <f>IF(NOT(ISBLANK($B47)),VLOOKUP($B47,AssetCategories!$A:$E,5,0),"")</f>
        <v/>
      </c>
      <c r="EH47" t="str">
        <f>IF(NOT(ISBLANK($B47)),VLOOKUP($B47,AssetCategories!$A:$E,4,0),"")</f>
        <v/>
      </c>
      <c r="EM47" t="str">
        <f>IF(NOT(ISBLANK($B47)),VLOOKUP($B47,AssetCategories!$A:$E,2,0),"")</f>
        <v/>
      </c>
      <c r="EN47" t="str">
        <f>IF(NOT(ISBLANK($B47)),VLOOKUP($B47,AssetCategories!$A:$E,3,0),"")</f>
        <v/>
      </c>
      <c r="EP47" s="33" t="str">
        <f t="shared" si="1"/>
        <v/>
      </c>
    </row>
    <row r="48" spans="16:146" x14ac:dyDescent="0.25">
      <c r="P48" s="33" t="str" cm="1">
        <f t="array" ref="P48">IFERROR(SUM(VALUE(_xlfn.TEXTSPLIT(O48, ";"))), "")</f>
        <v/>
      </c>
      <c r="DO48" t="str">
        <f t="shared" si="0"/>
        <v/>
      </c>
      <c r="EG48" s="33" t="str">
        <f>IF(NOT(ISBLANK($B48)),VLOOKUP($B48,AssetCategories!$A:$E,5,0),"")</f>
        <v/>
      </c>
      <c r="EH48" t="str">
        <f>IF(NOT(ISBLANK($B48)),VLOOKUP($B48,AssetCategories!$A:$E,4,0),"")</f>
        <v/>
      </c>
      <c r="EM48" t="str">
        <f>IF(NOT(ISBLANK($B48)),VLOOKUP($B48,AssetCategories!$A:$E,2,0),"")</f>
        <v/>
      </c>
      <c r="EN48" t="str">
        <f>IF(NOT(ISBLANK($B48)),VLOOKUP($B48,AssetCategories!$A:$E,3,0),"")</f>
        <v/>
      </c>
      <c r="EP48" s="33" t="str">
        <f t="shared" si="1"/>
        <v/>
      </c>
    </row>
    <row r="49" spans="16:146" x14ac:dyDescent="0.25">
      <c r="P49" s="33" t="str" cm="1">
        <f t="array" ref="P49">IFERROR(SUM(VALUE(_xlfn.TEXTSPLIT(O49, ";"))), "")</f>
        <v/>
      </c>
      <c r="DO49" t="str">
        <f t="shared" si="0"/>
        <v/>
      </c>
      <c r="EG49" s="33" t="str">
        <f>IF(NOT(ISBLANK($B49)),VLOOKUP($B49,AssetCategories!$A:$E,5,0),"")</f>
        <v/>
      </c>
      <c r="EH49" t="str">
        <f>IF(NOT(ISBLANK($B49)),VLOOKUP($B49,AssetCategories!$A:$E,4,0),"")</f>
        <v/>
      </c>
      <c r="EM49" t="str">
        <f>IF(NOT(ISBLANK($B49)),VLOOKUP($B49,AssetCategories!$A:$E,2,0),"")</f>
        <v/>
      </c>
      <c r="EN49" t="str">
        <f>IF(NOT(ISBLANK($B49)),VLOOKUP($B49,AssetCategories!$A:$E,3,0),"")</f>
        <v/>
      </c>
      <c r="EP49" s="33" t="str">
        <f t="shared" si="1"/>
        <v/>
      </c>
    </row>
    <row r="50" spans="16:146" x14ac:dyDescent="0.25">
      <c r="P50" s="33" t="str" cm="1">
        <f t="array" ref="P50">IFERROR(SUM(VALUE(_xlfn.TEXTSPLIT(O50, ";"))), "")</f>
        <v/>
      </c>
      <c r="DO50" t="str">
        <f t="shared" si="0"/>
        <v/>
      </c>
      <c r="EG50" s="33" t="str">
        <f>IF(NOT(ISBLANK($B50)),VLOOKUP($B50,AssetCategories!$A:$E,5,0),"")</f>
        <v/>
      </c>
      <c r="EH50" t="str">
        <f>IF(NOT(ISBLANK($B50)),VLOOKUP($B50,AssetCategories!$A:$E,4,0),"")</f>
        <v/>
      </c>
      <c r="EM50" t="str">
        <f>IF(NOT(ISBLANK($B50)),VLOOKUP($B50,AssetCategories!$A:$E,2,0),"")</f>
        <v/>
      </c>
      <c r="EN50" t="str">
        <f>IF(NOT(ISBLANK($B50)),VLOOKUP($B50,AssetCategories!$A:$E,3,0),"")</f>
        <v/>
      </c>
      <c r="EP50" s="33" t="str">
        <f t="shared" si="1"/>
        <v/>
      </c>
    </row>
    <row r="51" spans="16:146" x14ac:dyDescent="0.25">
      <c r="P51" s="33" t="str" cm="1">
        <f t="array" ref="P51">IFERROR(SUM(VALUE(_xlfn.TEXTSPLIT(O51, ";"))), "")</f>
        <v/>
      </c>
      <c r="DO51" t="str">
        <f t="shared" si="0"/>
        <v/>
      </c>
      <c r="EG51" s="33" t="str">
        <f>IF(NOT(ISBLANK($B51)),VLOOKUP($B51,AssetCategories!$A:$E,5,0),"")</f>
        <v/>
      </c>
      <c r="EH51" t="str">
        <f>IF(NOT(ISBLANK($B51)),VLOOKUP($B51,AssetCategories!$A:$E,4,0),"")</f>
        <v/>
      </c>
      <c r="EM51" t="str">
        <f>IF(NOT(ISBLANK($B51)),VLOOKUP($B51,AssetCategories!$A:$E,2,0),"")</f>
        <v/>
      </c>
      <c r="EN51" t="str">
        <f>IF(NOT(ISBLANK($B51)),VLOOKUP($B51,AssetCategories!$A:$E,3,0),"")</f>
        <v/>
      </c>
      <c r="EP51" s="33" t="str">
        <f t="shared" si="1"/>
        <v/>
      </c>
    </row>
    <row r="52" spans="16:146" x14ac:dyDescent="0.25">
      <c r="P52" s="33" t="str" cm="1">
        <f t="array" ref="P52">IFERROR(SUM(VALUE(_xlfn.TEXTSPLIT(O52, ";"))), "")</f>
        <v/>
      </c>
      <c r="DO52" t="str">
        <f t="shared" si="0"/>
        <v/>
      </c>
      <c r="EG52" s="33" t="str">
        <f>IF(NOT(ISBLANK($B52)),VLOOKUP($B52,AssetCategories!$A:$E,5,0),"")</f>
        <v/>
      </c>
      <c r="EH52" t="str">
        <f>IF(NOT(ISBLANK($B52)),VLOOKUP($B52,AssetCategories!$A:$E,4,0),"")</f>
        <v/>
      </c>
      <c r="EM52" t="str">
        <f>IF(NOT(ISBLANK($B52)),VLOOKUP($B52,AssetCategories!$A:$E,2,0),"")</f>
        <v/>
      </c>
      <c r="EN52" t="str">
        <f>IF(NOT(ISBLANK($B52)),VLOOKUP($B52,AssetCategories!$A:$E,3,0),"")</f>
        <v/>
      </c>
      <c r="EP52" s="33" t="str">
        <f t="shared" si="1"/>
        <v/>
      </c>
    </row>
    <row r="53" spans="16:146" x14ac:dyDescent="0.25">
      <c r="P53" s="33" t="str" cm="1">
        <f t="array" ref="P53">IFERROR(SUM(VALUE(_xlfn.TEXTSPLIT(O53, ";"))), "")</f>
        <v/>
      </c>
      <c r="DO53" t="str">
        <f t="shared" si="0"/>
        <v/>
      </c>
      <c r="EG53" s="33" t="str">
        <f>IF(NOT(ISBLANK($B53)),VLOOKUP($B53,AssetCategories!$A:$E,5,0),"")</f>
        <v/>
      </c>
      <c r="EH53" t="str">
        <f>IF(NOT(ISBLANK($B53)),VLOOKUP($B53,AssetCategories!$A:$E,4,0),"")</f>
        <v/>
      </c>
      <c r="EM53" t="str">
        <f>IF(NOT(ISBLANK($B53)),VLOOKUP($B53,AssetCategories!$A:$E,2,0),"")</f>
        <v/>
      </c>
      <c r="EN53" t="str">
        <f>IF(NOT(ISBLANK($B53)),VLOOKUP($B53,AssetCategories!$A:$E,3,0),"")</f>
        <v/>
      </c>
      <c r="EP53" s="33" t="str">
        <f t="shared" si="1"/>
        <v/>
      </c>
    </row>
    <row r="54" spans="16:146" x14ac:dyDescent="0.25">
      <c r="P54" s="33" t="str" cm="1">
        <f t="array" ref="P54">IFERROR(SUM(VALUE(_xlfn.TEXTSPLIT(O54, ";"))), "")</f>
        <v/>
      </c>
      <c r="DO54" t="str">
        <f t="shared" si="0"/>
        <v/>
      </c>
      <c r="EG54" s="33" t="str">
        <f>IF(NOT(ISBLANK($B54)),VLOOKUP($B54,AssetCategories!$A:$E,5,0),"")</f>
        <v/>
      </c>
      <c r="EH54" t="str">
        <f>IF(NOT(ISBLANK($B54)),VLOOKUP($B54,AssetCategories!$A:$E,4,0),"")</f>
        <v/>
      </c>
      <c r="EM54" t="str">
        <f>IF(NOT(ISBLANK($B54)),VLOOKUP($B54,AssetCategories!$A:$E,2,0),"")</f>
        <v/>
      </c>
      <c r="EN54" t="str">
        <f>IF(NOT(ISBLANK($B54)),VLOOKUP($B54,AssetCategories!$A:$E,3,0),"")</f>
        <v/>
      </c>
      <c r="EP54" s="33" t="str">
        <f t="shared" si="1"/>
        <v/>
      </c>
    </row>
    <row r="55" spans="16:146" x14ac:dyDescent="0.25">
      <c r="P55" s="33" t="str" cm="1">
        <f t="array" ref="P55">IFERROR(SUM(VALUE(_xlfn.TEXTSPLIT(O55, ";"))), "")</f>
        <v/>
      </c>
      <c r="DO55" t="str">
        <f t="shared" si="0"/>
        <v/>
      </c>
      <c r="EG55" s="33" t="str">
        <f>IF(NOT(ISBLANK($B55)),VLOOKUP($B55,AssetCategories!$A:$E,5,0),"")</f>
        <v/>
      </c>
      <c r="EH55" t="str">
        <f>IF(NOT(ISBLANK($B55)),VLOOKUP($B55,AssetCategories!$A:$E,4,0),"")</f>
        <v/>
      </c>
      <c r="EM55" t="str">
        <f>IF(NOT(ISBLANK($B55)),VLOOKUP($B55,AssetCategories!$A:$E,2,0),"")</f>
        <v/>
      </c>
      <c r="EN55" t="str">
        <f>IF(NOT(ISBLANK($B55)),VLOOKUP($B55,AssetCategories!$A:$E,3,0),"")</f>
        <v/>
      </c>
      <c r="EP55" s="33" t="str">
        <f t="shared" si="1"/>
        <v/>
      </c>
    </row>
    <row r="56" spans="16:146" x14ac:dyDescent="0.25">
      <c r="P56" s="33" t="str" cm="1">
        <f t="array" ref="P56">IFERROR(SUM(VALUE(_xlfn.TEXTSPLIT(O56, ";"))), "")</f>
        <v/>
      </c>
      <c r="DO56" t="str">
        <f t="shared" si="0"/>
        <v/>
      </c>
      <c r="EG56" s="33" t="str">
        <f>IF(NOT(ISBLANK($B56)),VLOOKUP($B56,AssetCategories!$A:$E,5,0),"")</f>
        <v/>
      </c>
      <c r="EH56" t="str">
        <f>IF(NOT(ISBLANK($B56)),VLOOKUP($B56,AssetCategories!$A:$E,4,0),"")</f>
        <v/>
      </c>
      <c r="EM56" t="str">
        <f>IF(NOT(ISBLANK($B56)),VLOOKUP($B56,AssetCategories!$A:$E,2,0),"")</f>
        <v/>
      </c>
      <c r="EN56" t="str">
        <f>IF(NOT(ISBLANK($B56)),VLOOKUP($B56,AssetCategories!$A:$E,3,0),"")</f>
        <v/>
      </c>
      <c r="EP56" s="33" t="str">
        <f t="shared" si="1"/>
        <v/>
      </c>
    </row>
    <row r="57" spans="16:146" x14ac:dyDescent="0.25">
      <c r="P57" s="33" t="str" cm="1">
        <f t="array" ref="P57">IFERROR(SUM(VALUE(_xlfn.TEXTSPLIT(O57, ";"))), "")</f>
        <v/>
      </c>
      <c r="DO57" t="str">
        <f t="shared" si="0"/>
        <v/>
      </c>
      <c r="EG57" s="33" t="str">
        <f>IF(NOT(ISBLANK($B57)),VLOOKUP($B57,AssetCategories!$A:$E,5,0),"")</f>
        <v/>
      </c>
      <c r="EH57" t="str">
        <f>IF(NOT(ISBLANK($B57)),VLOOKUP($B57,AssetCategories!$A:$E,4,0),"")</f>
        <v/>
      </c>
      <c r="EM57" t="str">
        <f>IF(NOT(ISBLANK($B57)),VLOOKUP($B57,AssetCategories!$A:$E,2,0),"")</f>
        <v/>
      </c>
      <c r="EN57" t="str">
        <f>IF(NOT(ISBLANK($B57)),VLOOKUP($B57,AssetCategories!$A:$E,3,0),"")</f>
        <v/>
      </c>
      <c r="EP57" s="33" t="str">
        <f t="shared" si="1"/>
        <v/>
      </c>
    </row>
    <row r="58" spans="16:146" x14ac:dyDescent="0.25">
      <c r="P58" s="33" t="str" cm="1">
        <f t="array" ref="P58">IFERROR(SUM(VALUE(_xlfn.TEXTSPLIT(O58, ";"))), "")</f>
        <v/>
      </c>
      <c r="DO58" t="str">
        <f t="shared" si="0"/>
        <v/>
      </c>
      <c r="EG58" s="33" t="str">
        <f>IF(NOT(ISBLANK($B58)),VLOOKUP($B58,AssetCategories!$A:$E,5,0),"")</f>
        <v/>
      </c>
      <c r="EH58" t="str">
        <f>IF(NOT(ISBLANK($B58)),VLOOKUP($B58,AssetCategories!$A:$E,4,0),"")</f>
        <v/>
      </c>
      <c r="EM58" t="str">
        <f>IF(NOT(ISBLANK($B58)),VLOOKUP($B58,AssetCategories!$A:$E,2,0),"")</f>
        <v/>
      </c>
      <c r="EN58" t="str">
        <f>IF(NOT(ISBLANK($B58)),VLOOKUP($B58,AssetCategories!$A:$E,3,0),"")</f>
        <v/>
      </c>
      <c r="EP58" s="33" t="str">
        <f t="shared" si="1"/>
        <v/>
      </c>
    </row>
    <row r="59" spans="16:146" x14ac:dyDescent="0.25">
      <c r="P59" s="33" t="str" cm="1">
        <f t="array" ref="P59">IFERROR(SUM(VALUE(_xlfn.TEXTSPLIT(O59, ";"))), "")</f>
        <v/>
      </c>
      <c r="DO59" t="str">
        <f t="shared" si="0"/>
        <v/>
      </c>
      <c r="EG59" s="33" t="str">
        <f>IF(NOT(ISBLANK($B59)),VLOOKUP($B59,AssetCategories!$A:$E,5,0),"")</f>
        <v/>
      </c>
      <c r="EH59" t="str">
        <f>IF(NOT(ISBLANK($B59)),VLOOKUP($B59,AssetCategories!$A:$E,4,0),"")</f>
        <v/>
      </c>
      <c r="EM59" t="str">
        <f>IF(NOT(ISBLANK($B59)),VLOOKUP($B59,AssetCategories!$A:$E,2,0),"")</f>
        <v/>
      </c>
      <c r="EN59" t="str">
        <f>IF(NOT(ISBLANK($B59)),VLOOKUP($B59,AssetCategories!$A:$E,3,0),"")</f>
        <v/>
      </c>
      <c r="EP59" s="33" t="str">
        <f t="shared" si="1"/>
        <v/>
      </c>
    </row>
    <row r="60" spans="16:146" x14ac:dyDescent="0.25">
      <c r="P60" s="33" t="str" cm="1">
        <f t="array" ref="P60">IFERROR(SUM(VALUE(_xlfn.TEXTSPLIT(O60, ";"))), "")</f>
        <v/>
      </c>
      <c r="DO60" t="str">
        <f t="shared" si="0"/>
        <v/>
      </c>
      <c r="EG60" s="33" t="str">
        <f>IF(NOT(ISBLANK($B60)),VLOOKUP($B60,AssetCategories!$A:$E,5,0),"")</f>
        <v/>
      </c>
      <c r="EH60" t="str">
        <f>IF(NOT(ISBLANK($B60)),VLOOKUP($B60,AssetCategories!$A:$E,4,0),"")</f>
        <v/>
      </c>
      <c r="EM60" t="str">
        <f>IF(NOT(ISBLANK($B60)),VLOOKUP($B60,AssetCategories!$A:$E,2,0),"")</f>
        <v/>
      </c>
      <c r="EN60" t="str">
        <f>IF(NOT(ISBLANK($B60)),VLOOKUP($B60,AssetCategories!$A:$E,3,0),"")</f>
        <v/>
      </c>
      <c r="EP60" s="33" t="str">
        <f t="shared" si="1"/>
        <v/>
      </c>
    </row>
    <row r="61" spans="16:146" x14ac:dyDescent="0.25">
      <c r="P61" s="33" t="str" cm="1">
        <f t="array" ref="P61">IFERROR(SUM(VALUE(_xlfn.TEXTSPLIT(O61, ";"))), "")</f>
        <v/>
      </c>
      <c r="DO61" t="str">
        <f t="shared" si="0"/>
        <v/>
      </c>
      <c r="EG61" s="33" t="str">
        <f>IF(NOT(ISBLANK($B61)),VLOOKUP($B61,AssetCategories!$A:$E,5,0),"")</f>
        <v/>
      </c>
      <c r="EH61" t="str">
        <f>IF(NOT(ISBLANK($B61)),VLOOKUP($B61,AssetCategories!$A:$E,4,0),"")</f>
        <v/>
      </c>
      <c r="EM61" t="str">
        <f>IF(NOT(ISBLANK($B61)),VLOOKUP($B61,AssetCategories!$A:$E,2,0),"")</f>
        <v/>
      </c>
      <c r="EN61" t="str">
        <f>IF(NOT(ISBLANK($B61)),VLOOKUP($B61,AssetCategories!$A:$E,3,0),"")</f>
        <v/>
      </c>
      <c r="EP61" s="33" t="str">
        <f t="shared" si="1"/>
        <v/>
      </c>
    </row>
    <row r="62" spans="16:146" x14ac:dyDescent="0.25">
      <c r="P62" s="33" t="str" cm="1">
        <f t="array" ref="P62">IFERROR(SUM(VALUE(_xlfn.TEXTSPLIT(O62, ";"))), "")</f>
        <v/>
      </c>
      <c r="DO62" t="str">
        <f t="shared" si="0"/>
        <v/>
      </c>
      <c r="EG62" s="33" t="str">
        <f>IF(NOT(ISBLANK($B62)),VLOOKUP($B62,AssetCategories!$A:$E,5,0),"")</f>
        <v/>
      </c>
      <c r="EH62" t="str">
        <f>IF(NOT(ISBLANK($B62)),VLOOKUP($B62,AssetCategories!$A:$E,4,0),"")</f>
        <v/>
      </c>
      <c r="EM62" t="str">
        <f>IF(NOT(ISBLANK($B62)),VLOOKUP($B62,AssetCategories!$A:$E,2,0),"")</f>
        <v/>
      </c>
      <c r="EN62" t="str">
        <f>IF(NOT(ISBLANK($B62)),VLOOKUP($B62,AssetCategories!$A:$E,3,0),"")</f>
        <v/>
      </c>
      <c r="EP62" s="33" t="str">
        <f t="shared" si="1"/>
        <v/>
      </c>
    </row>
    <row r="63" spans="16:146" x14ac:dyDescent="0.25">
      <c r="P63" s="33" t="str" cm="1">
        <f t="array" ref="P63">IFERROR(SUM(VALUE(_xlfn.TEXTSPLIT(O63, ";"))), "")</f>
        <v/>
      </c>
      <c r="DO63" t="str">
        <f t="shared" si="0"/>
        <v/>
      </c>
      <c r="EG63" s="33" t="str">
        <f>IF(NOT(ISBLANK($B63)),VLOOKUP($B63,AssetCategories!$A:$E,5,0),"")</f>
        <v/>
      </c>
      <c r="EH63" t="str">
        <f>IF(NOT(ISBLANK($B63)),VLOOKUP($B63,AssetCategories!$A:$E,4,0),"")</f>
        <v/>
      </c>
      <c r="EM63" t="str">
        <f>IF(NOT(ISBLANK($B63)),VLOOKUP($B63,AssetCategories!$A:$E,2,0),"")</f>
        <v/>
      </c>
      <c r="EN63" t="str">
        <f>IF(NOT(ISBLANK($B63)),VLOOKUP($B63,AssetCategories!$A:$E,3,0),"")</f>
        <v/>
      </c>
      <c r="EP63" s="33" t="str">
        <f t="shared" si="1"/>
        <v/>
      </c>
    </row>
    <row r="64" spans="16:146" x14ac:dyDescent="0.25">
      <c r="P64" s="33" t="str" cm="1">
        <f t="array" ref="P64">IFERROR(SUM(VALUE(_xlfn.TEXTSPLIT(O64, ";"))), "")</f>
        <v/>
      </c>
      <c r="DO64" t="str">
        <f t="shared" si="0"/>
        <v/>
      </c>
      <c r="EG64" s="33" t="str">
        <f>IF(NOT(ISBLANK($B64)),VLOOKUP($B64,AssetCategories!$A:$E,5,0),"")</f>
        <v/>
      </c>
      <c r="EH64" t="str">
        <f>IF(NOT(ISBLANK($B64)),VLOOKUP($B64,AssetCategories!$A:$E,4,0),"")</f>
        <v/>
      </c>
      <c r="EM64" t="str">
        <f>IF(NOT(ISBLANK($B64)),VLOOKUP($B64,AssetCategories!$A:$E,2,0),"")</f>
        <v/>
      </c>
      <c r="EN64" t="str">
        <f>IF(NOT(ISBLANK($B64)),VLOOKUP($B64,AssetCategories!$A:$E,3,0),"")</f>
        <v/>
      </c>
      <c r="EP64" s="33" t="str">
        <f t="shared" si="1"/>
        <v/>
      </c>
    </row>
    <row r="65" spans="16:146" x14ac:dyDescent="0.25">
      <c r="P65" s="33" t="str" cm="1">
        <f t="array" ref="P65">IFERROR(SUM(VALUE(_xlfn.TEXTSPLIT(O65, ";"))), "")</f>
        <v/>
      </c>
      <c r="DO65" t="str">
        <f t="shared" si="0"/>
        <v/>
      </c>
      <c r="EG65" s="33" t="str">
        <f>IF(NOT(ISBLANK($B65)),VLOOKUP($B65,AssetCategories!$A:$E,5,0),"")</f>
        <v/>
      </c>
      <c r="EH65" t="str">
        <f>IF(NOT(ISBLANK($B65)),VLOOKUP($B65,AssetCategories!$A:$E,4,0),"")</f>
        <v/>
      </c>
      <c r="EM65" t="str">
        <f>IF(NOT(ISBLANK($B65)),VLOOKUP($B65,AssetCategories!$A:$E,2,0),"")</f>
        <v/>
      </c>
      <c r="EN65" t="str">
        <f>IF(NOT(ISBLANK($B65)),VLOOKUP($B65,AssetCategories!$A:$E,3,0),"")</f>
        <v/>
      </c>
      <c r="EP65" s="33" t="str">
        <f t="shared" si="1"/>
        <v/>
      </c>
    </row>
    <row r="66" spans="16:146" x14ac:dyDescent="0.25">
      <c r="P66" s="33" t="str" cm="1">
        <f t="array" ref="P66">IFERROR(SUM(VALUE(_xlfn.TEXTSPLIT(O66, ";"))), "")</f>
        <v/>
      </c>
      <c r="DO66" t="str">
        <f t="shared" si="0"/>
        <v/>
      </c>
      <c r="EG66" s="33" t="str">
        <f>IF(NOT(ISBLANK($B66)),VLOOKUP($B66,AssetCategories!$A:$E,5,0),"")</f>
        <v/>
      </c>
      <c r="EH66" t="str">
        <f>IF(NOT(ISBLANK($B66)),VLOOKUP($B66,AssetCategories!$A:$E,4,0),"")</f>
        <v/>
      </c>
      <c r="EM66" t="str">
        <f>IF(NOT(ISBLANK($B66)),VLOOKUP($B66,AssetCategories!$A:$E,2,0),"")</f>
        <v/>
      </c>
      <c r="EN66" t="str">
        <f>IF(NOT(ISBLANK($B66)),VLOOKUP($B66,AssetCategories!$A:$E,3,0),"")</f>
        <v/>
      </c>
      <c r="EP66" s="33" t="str">
        <f t="shared" si="1"/>
        <v/>
      </c>
    </row>
    <row r="67" spans="16:146" x14ac:dyDescent="0.25">
      <c r="P67" s="33" t="str" cm="1">
        <f t="array" ref="P67">IFERROR(SUM(VALUE(_xlfn.TEXTSPLIT(O67, ";"))), "")</f>
        <v/>
      </c>
      <c r="DO67" t="str">
        <f t="shared" si="0"/>
        <v/>
      </c>
      <c r="EG67" s="33" t="str">
        <f>IF(NOT(ISBLANK($B67)),VLOOKUP($B67,AssetCategories!$A:$E,5,0),"")</f>
        <v/>
      </c>
      <c r="EH67" t="str">
        <f>IF(NOT(ISBLANK($B67)),VLOOKUP($B67,AssetCategories!$A:$E,4,0),"")</f>
        <v/>
      </c>
      <c r="EM67" t="str">
        <f>IF(NOT(ISBLANK($B67)),VLOOKUP($B67,AssetCategories!$A:$E,2,0),"")</f>
        <v/>
      </c>
      <c r="EN67" t="str">
        <f>IF(NOT(ISBLANK($B67)),VLOOKUP($B67,AssetCategories!$A:$E,3,0),"")</f>
        <v/>
      </c>
      <c r="EP67" s="33" t="str">
        <f t="shared" si="1"/>
        <v/>
      </c>
    </row>
    <row r="68" spans="16:146" x14ac:dyDescent="0.25">
      <c r="P68" s="33" t="str" cm="1">
        <f t="array" ref="P68">IFERROR(SUM(VALUE(_xlfn.TEXTSPLIT(O68, ";"))), "")</f>
        <v/>
      </c>
      <c r="DO68" t="str">
        <f t="shared" si="0"/>
        <v/>
      </c>
      <c r="EG68" s="33" t="str">
        <f>IF(NOT(ISBLANK($B68)),VLOOKUP($B68,AssetCategories!$A:$E,5,0),"")</f>
        <v/>
      </c>
      <c r="EH68" t="str">
        <f>IF(NOT(ISBLANK($B68)),VLOOKUP($B68,AssetCategories!$A:$E,4,0),"")</f>
        <v/>
      </c>
      <c r="EM68" t="str">
        <f>IF(NOT(ISBLANK($B68)),VLOOKUP($B68,AssetCategories!$A:$E,2,0),"")</f>
        <v/>
      </c>
      <c r="EN68" t="str">
        <f>IF(NOT(ISBLANK($B68)),VLOOKUP($B68,AssetCategories!$A:$E,3,0),"")</f>
        <v/>
      </c>
      <c r="EP68" s="33" t="str">
        <f t="shared" si="1"/>
        <v/>
      </c>
    </row>
    <row r="69" spans="16:146" x14ac:dyDescent="0.25">
      <c r="P69" s="33" t="str" cm="1">
        <f t="array" ref="P69">IFERROR(SUM(VALUE(_xlfn.TEXTSPLIT(O69, ";"))), "")</f>
        <v/>
      </c>
      <c r="DO69" t="str">
        <f t="shared" ref="DO69:DO132" si="2">IF(SUM(DE69:DN69)=0, "", SUM(DE69:DN69))</f>
        <v/>
      </c>
      <c r="EG69" s="33" t="str">
        <f>IF(NOT(ISBLANK($B69)),VLOOKUP($B69,AssetCategories!$A:$E,5,0),"")</f>
        <v/>
      </c>
      <c r="EH69" t="str">
        <f>IF(NOT(ISBLANK($B69)),VLOOKUP($B69,AssetCategories!$A:$E,4,0),"")</f>
        <v/>
      </c>
      <c r="EM69" t="str">
        <f>IF(NOT(ISBLANK($B69)),VLOOKUP($B69,AssetCategories!$A:$E,2,0),"")</f>
        <v/>
      </c>
      <c r="EN69" t="str">
        <f>IF(NOT(ISBLANK($B69)),VLOOKUP($B69,AssetCategories!$A:$E,3,0),"")</f>
        <v/>
      </c>
      <c r="EP69" s="33" t="str">
        <f t="shared" ref="EP69:EP132" si="3">IFERROR(P69-EO69, "")</f>
        <v/>
      </c>
    </row>
    <row r="70" spans="16:146" x14ac:dyDescent="0.25">
      <c r="P70" s="33" t="str" cm="1">
        <f t="array" ref="P70">IFERROR(SUM(VALUE(_xlfn.TEXTSPLIT(O70, ";"))), "")</f>
        <v/>
      </c>
      <c r="DO70" t="str">
        <f t="shared" si="2"/>
        <v/>
      </c>
      <c r="EG70" s="33" t="str">
        <f>IF(NOT(ISBLANK($B70)),VLOOKUP($B70,AssetCategories!$A:$E,5,0),"")</f>
        <v/>
      </c>
      <c r="EH70" t="str">
        <f>IF(NOT(ISBLANK($B70)),VLOOKUP($B70,AssetCategories!$A:$E,4,0),"")</f>
        <v/>
      </c>
      <c r="EM70" t="str">
        <f>IF(NOT(ISBLANK($B70)),VLOOKUP($B70,AssetCategories!$A:$E,2,0),"")</f>
        <v/>
      </c>
      <c r="EN70" t="str">
        <f>IF(NOT(ISBLANK($B70)),VLOOKUP($B70,AssetCategories!$A:$E,3,0),"")</f>
        <v/>
      </c>
      <c r="EP70" s="33" t="str">
        <f t="shared" si="3"/>
        <v/>
      </c>
    </row>
    <row r="71" spans="16:146" x14ac:dyDescent="0.25">
      <c r="P71" s="33" t="str" cm="1">
        <f t="array" ref="P71">IFERROR(SUM(VALUE(_xlfn.TEXTSPLIT(O71, ";"))), "")</f>
        <v/>
      </c>
      <c r="DO71" t="str">
        <f t="shared" si="2"/>
        <v/>
      </c>
      <c r="EG71" s="33" t="str">
        <f>IF(NOT(ISBLANK($B71)),VLOOKUP($B71,AssetCategories!$A:$E,5,0),"")</f>
        <v/>
      </c>
      <c r="EH71" t="str">
        <f>IF(NOT(ISBLANK($B71)),VLOOKUP($B71,AssetCategories!$A:$E,4,0),"")</f>
        <v/>
      </c>
      <c r="EM71" t="str">
        <f>IF(NOT(ISBLANK($B71)),VLOOKUP($B71,AssetCategories!$A:$E,2,0),"")</f>
        <v/>
      </c>
      <c r="EN71" t="str">
        <f>IF(NOT(ISBLANK($B71)),VLOOKUP($B71,AssetCategories!$A:$E,3,0),"")</f>
        <v/>
      </c>
      <c r="EP71" s="33" t="str">
        <f t="shared" si="3"/>
        <v/>
      </c>
    </row>
    <row r="72" spans="16:146" x14ac:dyDescent="0.25">
      <c r="P72" s="33" t="str" cm="1">
        <f t="array" ref="P72">IFERROR(SUM(VALUE(_xlfn.TEXTSPLIT(O72, ";"))), "")</f>
        <v/>
      </c>
      <c r="DO72" t="str">
        <f t="shared" si="2"/>
        <v/>
      </c>
      <c r="EG72" s="33" t="str">
        <f>IF(NOT(ISBLANK($B72)),VLOOKUP($B72,AssetCategories!$A:$E,5,0),"")</f>
        <v/>
      </c>
      <c r="EH72" t="str">
        <f>IF(NOT(ISBLANK($B72)),VLOOKUP($B72,AssetCategories!$A:$E,4,0),"")</f>
        <v/>
      </c>
      <c r="EM72" t="str">
        <f>IF(NOT(ISBLANK($B72)),VLOOKUP($B72,AssetCategories!$A:$E,2,0),"")</f>
        <v/>
      </c>
      <c r="EN72" t="str">
        <f>IF(NOT(ISBLANK($B72)),VLOOKUP($B72,AssetCategories!$A:$E,3,0),"")</f>
        <v/>
      </c>
      <c r="EP72" s="33" t="str">
        <f t="shared" si="3"/>
        <v/>
      </c>
    </row>
    <row r="73" spans="16:146" x14ac:dyDescent="0.25">
      <c r="P73" s="33" t="str" cm="1">
        <f t="array" ref="P73">IFERROR(SUM(VALUE(_xlfn.TEXTSPLIT(O73, ";"))), "")</f>
        <v/>
      </c>
      <c r="DO73" t="str">
        <f t="shared" si="2"/>
        <v/>
      </c>
      <c r="EG73" s="33" t="str">
        <f>IF(NOT(ISBLANK($B73)),VLOOKUP($B73,AssetCategories!$A:$E,5,0),"")</f>
        <v/>
      </c>
      <c r="EH73" t="str">
        <f>IF(NOT(ISBLANK($B73)),VLOOKUP($B73,AssetCategories!$A:$E,4,0),"")</f>
        <v/>
      </c>
      <c r="EM73" t="str">
        <f>IF(NOT(ISBLANK($B73)),VLOOKUP($B73,AssetCategories!$A:$E,2,0),"")</f>
        <v/>
      </c>
      <c r="EN73" t="str">
        <f>IF(NOT(ISBLANK($B73)),VLOOKUP($B73,AssetCategories!$A:$E,3,0),"")</f>
        <v/>
      </c>
      <c r="EP73" s="33" t="str">
        <f t="shared" si="3"/>
        <v/>
      </c>
    </row>
    <row r="74" spans="16:146" x14ac:dyDescent="0.25">
      <c r="P74" s="33" t="str" cm="1">
        <f t="array" ref="P74">IFERROR(SUM(VALUE(_xlfn.TEXTSPLIT(O74, ";"))), "")</f>
        <v/>
      </c>
      <c r="DO74" t="str">
        <f t="shared" si="2"/>
        <v/>
      </c>
      <c r="EG74" s="33" t="str">
        <f>IF(NOT(ISBLANK($B74)),VLOOKUP($B74,AssetCategories!$A:$E,5,0),"")</f>
        <v/>
      </c>
      <c r="EH74" t="str">
        <f>IF(NOT(ISBLANK($B74)),VLOOKUP($B74,AssetCategories!$A:$E,4,0),"")</f>
        <v/>
      </c>
      <c r="EM74" t="str">
        <f>IF(NOT(ISBLANK($B74)),VLOOKUP($B74,AssetCategories!$A:$E,2,0),"")</f>
        <v/>
      </c>
      <c r="EN74" t="str">
        <f>IF(NOT(ISBLANK($B74)),VLOOKUP($B74,AssetCategories!$A:$E,3,0),"")</f>
        <v/>
      </c>
      <c r="EP74" s="33" t="str">
        <f t="shared" si="3"/>
        <v/>
      </c>
    </row>
    <row r="75" spans="16:146" x14ac:dyDescent="0.25">
      <c r="P75" s="33" t="str" cm="1">
        <f t="array" ref="P75">IFERROR(SUM(VALUE(_xlfn.TEXTSPLIT(O75, ";"))), "")</f>
        <v/>
      </c>
      <c r="DO75" t="str">
        <f t="shared" si="2"/>
        <v/>
      </c>
      <c r="EG75" s="33" t="str">
        <f>IF(NOT(ISBLANK($B75)),VLOOKUP($B75,AssetCategories!$A:$E,5,0),"")</f>
        <v/>
      </c>
      <c r="EH75" t="str">
        <f>IF(NOT(ISBLANK($B75)),VLOOKUP($B75,AssetCategories!$A:$E,4,0),"")</f>
        <v/>
      </c>
      <c r="EM75" t="str">
        <f>IF(NOT(ISBLANK($B75)),VLOOKUP($B75,AssetCategories!$A:$E,2,0),"")</f>
        <v/>
      </c>
      <c r="EN75" t="str">
        <f>IF(NOT(ISBLANK($B75)),VLOOKUP($B75,AssetCategories!$A:$E,3,0),"")</f>
        <v/>
      </c>
      <c r="EP75" s="33" t="str">
        <f t="shared" si="3"/>
        <v/>
      </c>
    </row>
    <row r="76" spans="16:146" x14ac:dyDescent="0.25">
      <c r="P76" s="33" t="str" cm="1">
        <f t="array" ref="P76">IFERROR(SUM(VALUE(_xlfn.TEXTSPLIT(O76, ";"))), "")</f>
        <v/>
      </c>
      <c r="DO76" t="str">
        <f t="shared" si="2"/>
        <v/>
      </c>
      <c r="EG76" s="33" t="str">
        <f>IF(NOT(ISBLANK($B76)),VLOOKUP($B76,AssetCategories!$A:$E,5,0),"")</f>
        <v/>
      </c>
      <c r="EH76" t="str">
        <f>IF(NOT(ISBLANK($B76)),VLOOKUP($B76,AssetCategories!$A:$E,4,0),"")</f>
        <v/>
      </c>
      <c r="EM76" t="str">
        <f>IF(NOT(ISBLANK($B76)),VLOOKUP($B76,AssetCategories!$A:$E,2,0),"")</f>
        <v/>
      </c>
      <c r="EN76" t="str">
        <f>IF(NOT(ISBLANK($B76)),VLOOKUP($B76,AssetCategories!$A:$E,3,0),"")</f>
        <v/>
      </c>
      <c r="EP76" s="33" t="str">
        <f t="shared" si="3"/>
        <v/>
      </c>
    </row>
    <row r="77" spans="16:146" x14ac:dyDescent="0.25">
      <c r="P77" s="33" t="str" cm="1">
        <f t="array" ref="P77">IFERROR(SUM(VALUE(_xlfn.TEXTSPLIT(O77, ";"))), "")</f>
        <v/>
      </c>
      <c r="DO77" t="str">
        <f t="shared" si="2"/>
        <v/>
      </c>
      <c r="EG77" s="33" t="str">
        <f>IF(NOT(ISBLANK($B77)),VLOOKUP($B77,AssetCategories!$A:$E,5,0),"")</f>
        <v/>
      </c>
      <c r="EH77" t="str">
        <f>IF(NOT(ISBLANK($B77)),VLOOKUP($B77,AssetCategories!$A:$E,4,0),"")</f>
        <v/>
      </c>
      <c r="EM77" t="str">
        <f>IF(NOT(ISBLANK($B77)),VLOOKUP($B77,AssetCategories!$A:$E,2,0),"")</f>
        <v/>
      </c>
      <c r="EN77" t="str">
        <f>IF(NOT(ISBLANK($B77)),VLOOKUP($B77,AssetCategories!$A:$E,3,0),"")</f>
        <v/>
      </c>
      <c r="EP77" s="33" t="str">
        <f t="shared" si="3"/>
        <v/>
      </c>
    </row>
    <row r="78" spans="16:146" x14ac:dyDescent="0.25">
      <c r="P78" s="33" t="str" cm="1">
        <f t="array" ref="P78">IFERROR(SUM(VALUE(_xlfn.TEXTSPLIT(O78, ";"))), "")</f>
        <v/>
      </c>
      <c r="DO78" t="str">
        <f t="shared" si="2"/>
        <v/>
      </c>
      <c r="EG78" s="33" t="str">
        <f>IF(NOT(ISBLANK($B78)),VLOOKUP($B78,AssetCategories!$A:$E,5,0),"")</f>
        <v/>
      </c>
      <c r="EH78" t="str">
        <f>IF(NOT(ISBLANK($B78)),VLOOKUP($B78,AssetCategories!$A:$E,4,0),"")</f>
        <v/>
      </c>
      <c r="EM78" t="str">
        <f>IF(NOT(ISBLANK($B78)),VLOOKUP($B78,AssetCategories!$A:$E,2,0),"")</f>
        <v/>
      </c>
      <c r="EN78" t="str">
        <f>IF(NOT(ISBLANK($B78)),VLOOKUP($B78,AssetCategories!$A:$E,3,0),"")</f>
        <v/>
      </c>
      <c r="EP78" s="33" t="str">
        <f t="shared" si="3"/>
        <v/>
      </c>
    </row>
    <row r="79" spans="16:146" x14ac:dyDescent="0.25">
      <c r="P79" s="33" t="str" cm="1">
        <f t="array" ref="P79">IFERROR(SUM(VALUE(_xlfn.TEXTSPLIT(O79, ";"))), "")</f>
        <v/>
      </c>
      <c r="DO79" t="str">
        <f t="shared" si="2"/>
        <v/>
      </c>
      <c r="EG79" s="33" t="str">
        <f>IF(NOT(ISBLANK($B79)),VLOOKUP($B79,AssetCategories!$A:$E,5,0),"")</f>
        <v/>
      </c>
      <c r="EH79" t="str">
        <f>IF(NOT(ISBLANK($B79)),VLOOKUP($B79,AssetCategories!$A:$E,4,0),"")</f>
        <v/>
      </c>
      <c r="EM79" t="str">
        <f>IF(NOT(ISBLANK($B79)),VLOOKUP($B79,AssetCategories!$A:$E,2,0),"")</f>
        <v/>
      </c>
      <c r="EN79" t="str">
        <f>IF(NOT(ISBLANK($B79)),VLOOKUP($B79,AssetCategories!$A:$E,3,0),"")</f>
        <v/>
      </c>
      <c r="EP79" s="33" t="str">
        <f t="shared" si="3"/>
        <v/>
      </c>
    </row>
    <row r="80" spans="16:146" x14ac:dyDescent="0.25">
      <c r="P80" s="33" t="str" cm="1">
        <f t="array" ref="P80">IFERROR(SUM(VALUE(_xlfn.TEXTSPLIT(O80, ";"))), "")</f>
        <v/>
      </c>
      <c r="DO80" t="str">
        <f t="shared" si="2"/>
        <v/>
      </c>
      <c r="EG80" s="33" t="str">
        <f>IF(NOT(ISBLANK($B80)),VLOOKUP($B80,AssetCategories!$A:$E,5,0),"")</f>
        <v/>
      </c>
      <c r="EH80" t="str">
        <f>IF(NOT(ISBLANK($B80)),VLOOKUP($B80,AssetCategories!$A:$E,4,0),"")</f>
        <v/>
      </c>
      <c r="EM80" t="str">
        <f>IF(NOT(ISBLANK($B80)),VLOOKUP($B80,AssetCategories!$A:$E,2,0),"")</f>
        <v/>
      </c>
      <c r="EN80" t="str">
        <f>IF(NOT(ISBLANK($B80)),VLOOKUP($B80,AssetCategories!$A:$E,3,0),"")</f>
        <v/>
      </c>
      <c r="EP80" s="33" t="str">
        <f t="shared" si="3"/>
        <v/>
      </c>
    </row>
    <row r="81" spans="16:146" x14ac:dyDescent="0.25">
      <c r="P81" s="33" t="str" cm="1">
        <f t="array" ref="P81">IFERROR(SUM(VALUE(_xlfn.TEXTSPLIT(O81, ";"))), "")</f>
        <v/>
      </c>
      <c r="DO81" t="str">
        <f t="shared" si="2"/>
        <v/>
      </c>
      <c r="EG81" s="33" t="str">
        <f>IF(NOT(ISBLANK($B81)),VLOOKUP($B81,AssetCategories!$A:$E,5,0),"")</f>
        <v/>
      </c>
      <c r="EH81" t="str">
        <f>IF(NOT(ISBLANK($B81)),VLOOKUP($B81,AssetCategories!$A:$E,4,0),"")</f>
        <v/>
      </c>
      <c r="EM81" t="str">
        <f>IF(NOT(ISBLANK($B81)),VLOOKUP($B81,AssetCategories!$A:$E,2,0),"")</f>
        <v/>
      </c>
      <c r="EN81" t="str">
        <f>IF(NOT(ISBLANK($B81)),VLOOKUP($B81,AssetCategories!$A:$E,3,0),"")</f>
        <v/>
      </c>
      <c r="EP81" s="33" t="str">
        <f t="shared" si="3"/>
        <v/>
      </c>
    </row>
    <row r="82" spans="16:146" x14ac:dyDescent="0.25">
      <c r="P82" s="33" t="str" cm="1">
        <f t="array" ref="P82">IFERROR(SUM(VALUE(_xlfn.TEXTSPLIT(O82, ";"))), "")</f>
        <v/>
      </c>
      <c r="DO82" t="str">
        <f t="shared" si="2"/>
        <v/>
      </c>
      <c r="EG82" s="33" t="str">
        <f>IF(NOT(ISBLANK($B82)),VLOOKUP($B82,AssetCategories!$A:$E,5,0),"")</f>
        <v/>
      </c>
      <c r="EH82" t="str">
        <f>IF(NOT(ISBLANK($B82)),VLOOKUP($B82,AssetCategories!$A:$E,4,0),"")</f>
        <v/>
      </c>
      <c r="EM82" t="str">
        <f>IF(NOT(ISBLANK($B82)),VLOOKUP($B82,AssetCategories!$A:$E,2,0),"")</f>
        <v/>
      </c>
      <c r="EN82" t="str">
        <f>IF(NOT(ISBLANK($B82)),VLOOKUP($B82,AssetCategories!$A:$E,3,0),"")</f>
        <v/>
      </c>
      <c r="EP82" s="33" t="str">
        <f t="shared" si="3"/>
        <v/>
      </c>
    </row>
    <row r="83" spans="16:146" x14ac:dyDescent="0.25">
      <c r="P83" s="33" t="str" cm="1">
        <f t="array" ref="P83">IFERROR(SUM(VALUE(_xlfn.TEXTSPLIT(O83, ";"))), "")</f>
        <v/>
      </c>
      <c r="DO83" t="str">
        <f t="shared" si="2"/>
        <v/>
      </c>
      <c r="EG83" s="33" t="str">
        <f>IF(NOT(ISBLANK($B83)),VLOOKUP($B83,AssetCategories!$A:$E,5,0),"")</f>
        <v/>
      </c>
      <c r="EH83" t="str">
        <f>IF(NOT(ISBLANK($B83)),VLOOKUP($B83,AssetCategories!$A:$E,4,0),"")</f>
        <v/>
      </c>
      <c r="EM83" t="str">
        <f>IF(NOT(ISBLANK($B83)),VLOOKUP($B83,AssetCategories!$A:$E,2,0),"")</f>
        <v/>
      </c>
      <c r="EN83" t="str">
        <f>IF(NOT(ISBLANK($B83)),VLOOKUP($B83,AssetCategories!$A:$E,3,0),"")</f>
        <v/>
      </c>
      <c r="EP83" s="33" t="str">
        <f t="shared" si="3"/>
        <v/>
      </c>
    </row>
    <row r="84" spans="16:146" x14ac:dyDescent="0.25">
      <c r="P84" s="33" t="str" cm="1">
        <f t="array" ref="P84">IFERROR(SUM(VALUE(_xlfn.TEXTSPLIT(O84, ";"))), "")</f>
        <v/>
      </c>
      <c r="DO84" t="str">
        <f t="shared" si="2"/>
        <v/>
      </c>
      <c r="EG84" s="33" t="str">
        <f>IF(NOT(ISBLANK($B84)),VLOOKUP($B84,AssetCategories!$A:$E,5,0),"")</f>
        <v/>
      </c>
      <c r="EH84" t="str">
        <f>IF(NOT(ISBLANK($B84)),VLOOKUP($B84,AssetCategories!$A:$E,4,0),"")</f>
        <v/>
      </c>
      <c r="EM84" t="str">
        <f>IF(NOT(ISBLANK($B84)),VLOOKUP($B84,AssetCategories!$A:$E,2,0),"")</f>
        <v/>
      </c>
      <c r="EN84" t="str">
        <f>IF(NOT(ISBLANK($B84)),VLOOKUP($B84,AssetCategories!$A:$E,3,0),"")</f>
        <v/>
      </c>
      <c r="EP84" s="33" t="str">
        <f t="shared" si="3"/>
        <v/>
      </c>
    </row>
    <row r="85" spans="16:146" x14ac:dyDescent="0.25">
      <c r="P85" s="33" t="str" cm="1">
        <f t="array" ref="P85">IFERROR(SUM(VALUE(_xlfn.TEXTSPLIT(O85, ";"))), "")</f>
        <v/>
      </c>
      <c r="DO85" t="str">
        <f t="shared" si="2"/>
        <v/>
      </c>
      <c r="EG85" s="33" t="str">
        <f>IF(NOT(ISBLANK($B85)),VLOOKUP($B85,AssetCategories!$A:$E,5,0),"")</f>
        <v/>
      </c>
      <c r="EH85" t="str">
        <f>IF(NOT(ISBLANK($B85)),VLOOKUP($B85,AssetCategories!$A:$E,4,0),"")</f>
        <v/>
      </c>
      <c r="EM85" t="str">
        <f>IF(NOT(ISBLANK($B85)),VLOOKUP($B85,AssetCategories!$A:$E,2,0),"")</f>
        <v/>
      </c>
      <c r="EN85" t="str">
        <f>IF(NOT(ISBLANK($B85)),VLOOKUP($B85,AssetCategories!$A:$E,3,0),"")</f>
        <v/>
      </c>
      <c r="EP85" s="33" t="str">
        <f t="shared" si="3"/>
        <v/>
      </c>
    </row>
    <row r="86" spans="16:146" x14ac:dyDescent="0.25">
      <c r="P86" s="33" t="str" cm="1">
        <f t="array" ref="P86">IFERROR(SUM(VALUE(_xlfn.TEXTSPLIT(O86, ";"))), "")</f>
        <v/>
      </c>
      <c r="DO86" t="str">
        <f t="shared" si="2"/>
        <v/>
      </c>
      <c r="EG86" s="33" t="str">
        <f>IF(NOT(ISBLANK($B86)),VLOOKUP($B86,AssetCategories!$A:$E,5,0),"")</f>
        <v/>
      </c>
      <c r="EH86" t="str">
        <f>IF(NOT(ISBLANK($B86)),VLOOKUP($B86,AssetCategories!$A:$E,4,0),"")</f>
        <v/>
      </c>
      <c r="EM86" t="str">
        <f>IF(NOT(ISBLANK($B86)),VLOOKUP($B86,AssetCategories!$A:$E,2,0),"")</f>
        <v/>
      </c>
      <c r="EN86" t="str">
        <f>IF(NOT(ISBLANK($B86)),VLOOKUP($B86,AssetCategories!$A:$E,3,0),"")</f>
        <v/>
      </c>
      <c r="EP86" s="33" t="str">
        <f t="shared" si="3"/>
        <v/>
      </c>
    </row>
    <row r="87" spans="16:146" x14ac:dyDescent="0.25">
      <c r="P87" s="33" t="str" cm="1">
        <f t="array" ref="P87">IFERROR(SUM(VALUE(_xlfn.TEXTSPLIT(O87, ";"))), "")</f>
        <v/>
      </c>
      <c r="DO87" t="str">
        <f t="shared" si="2"/>
        <v/>
      </c>
      <c r="EG87" s="33" t="str">
        <f>IF(NOT(ISBLANK($B87)),VLOOKUP($B87,AssetCategories!$A:$E,5,0),"")</f>
        <v/>
      </c>
      <c r="EH87" t="str">
        <f>IF(NOT(ISBLANK($B87)),VLOOKUP($B87,AssetCategories!$A:$E,4,0),"")</f>
        <v/>
      </c>
      <c r="EM87" t="str">
        <f>IF(NOT(ISBLANK($B87)),VLOOKUP($B87,AssetCategories!$A:$E,2,0),"")</f>
        <v/>
      </c>
      <c r="EN87" t="str">
        <f>IF(NOT(ISBLANK($B87)),VLOOKUP($B87,AssetCategories!$A:$E,3,0),"")</f>
        <v/>
      </c>
      <c r="EP87" s="33" t="str">
        <f t="shared" si="3"/>
        <v/>
      </c>
    </row>
    <row r="88" spans="16:146" x14ac:dyDescent="0.25">
      <c r="P88" s="33" t="str" cm="1">
        <f t="array" ref="P88">IFERROR(SUM(VALUE(_xlfn.TEXTSPLIT(O88, ";"))), "")</f>
        <v/>
      </c>
      <c r="DO88" t="str">
        <f t="shared" si="2"/>
        <v/>
      </c>
      <c r="EG88" s="33" t="str">
        <f>IF(NOT(ISBLANK($B88)),VLOOKUP($B88,AssetCategories!$A:$E,5,0),"")</f>
        <v/>
      </c>
      <c r="EH88" t="str">
        <f>IF(NOT(ISBLANK($B88)),VLOOKUP($B88,AssetCategories!$A:$E,4,0),"")</f>
        <v/>
      </c>
      <c r="EM88" t="str">
        <f>IF(NOT(ISBLANK($B88)),VLOOKUP($B88,AssetCategories!$A:$E,2,0),"")</f>
        <v/>
      </c>
      <c r="EN88" t="str">
        <f>IF(NOT(ISBLANK($B88)),VLOOKUP($B88,AssetCategories!$A:$E,3,0),"")</f>
        <v/>
      </c>
      <c r="EP88" s="33" t="str">
        <f t="shared" si="3"/>
        <v/>
      </c>
    </row>
    <row r="89" spans="16:146" x14ac:dyDescent="0.25">
      <c r="P89" s="33" t="str" cm="1">
        <f t="array" ref="P89">IFERROR(SUM(VALUE(_xlfn.TEXTSPLIT(O89, ";"))), "")</f>
        <v/>
      </c>
      <c r="DO89" t="str">
        <f t="shared" si="2"/>
        <v/>
      </c>
      <c r="EG89" s="33" t="str">
        <f>IF(NOT(ISBLANK($B89)),VLOOKUP($B89,AssetCategories!$A:$E,5,0),"")</f>
        <v/>
      </c>
      <c r="EH89" t="str">
        <f>IF(NOT(ISBLANK($B89)),VLOOKUP($B89,AssetCategories!$A:$E,4,0),"")</f>
        <v/>
      </c>
      <c r="EM89" t="str">
        <f>IF(NOT(ISBLANK($B89)),VLOOKUP($B89,AssetCategories!$A:$E,2,0),"")</f>
        <v/>
      </c>
      <c r="EN89" t="str">
        <f>IF(NOT(ISBLANK($B89)),VLOOKUP($B89,AssetCategories!$A:$E,3,0),"")</f>
        <v/>
      </c>
      <c r="EP89" s="33" t="str">
        <f t="shared" si="3"/>
        <v/>
      </c>
    </row>
    <row r="90" spans="16:146" x14ac:dyDescent="0.25">
      <c r="P90" s="33" t="str" cm="1">
        <f t="array" ref="P90">IFERROR(SUM(VALUE(_xlfn.TEXTSPLIT(O90, ";"))), "")</f>
        <v/>
      </c>
      <c r="DO90" t="str">
        <f t="shared" si="2"/>
        <v/>
      </c>
      <c r="EG90" s="33" t="str">
        <f>IF(NOT(ISBLANK($B90)),VLOOKUP($B90,AssetCategories!$A:$E,5,0),"")</f>
        <v/>
      </c>
      <c r="EH90" t="str">
        <f>IF(NOT(ISBLANK($B90)),VLOOKUP($B90,AssetCategories!$A:$E,4,0),"")</f>
        <v/>
      </c>
      <c r="EM90" t="str">
        <f>IF(NOT(ISBLANK($B90)),VLOOKUP($B90,AssetCategories!$A:$E,2,0),"")</f>
        <v/>
      </c>
      <c r="EN90" t="str">
        <f>IF(NOT(ISBLANK($B90)),VLOOKUP($B90,AssetCategories!$A:$E,3,0),"")</f>
        <v/>
      </c>
      <c r="EP90" s="33" t="str">
        <f t="shared" si="3"/>
        <v/>
      </c>
    </row>
    <row r="91" spans="16:146" x14ac:dyDescent="0.25">
      <c r="P91" s="33" t="str" cm="1">
        <f t="array" ref="P91">IFERROR(SUM(VALUE(_xlfn.TEXTSPLIT(O91, ";"))), "")</f>
        <v/>
      </c>
      <c r="DO91" t="str">
        <f t="shared" si="2"/>
        <v/>
      </c>
      <c r="EG91" s="33" t="str">
        <f>IF(NOT(ISBLANK($B91)),VLOOKUP($B91,AssetCategories!$A:$E,5,0),"")</f>
        <v/>
      </c>
      <c r="EH91" t="str">
        <f>IF(NOT(ISBLANK($B91)),VLOOKUP($B91,AssetCategories!$A:$E,4,0),"")</f>
        <v/>
      </c>
      <c r="EM91" t="str">
        <f>IF(NOT(ISBLANK($B91)),VLOOKUP($B91,AssetCategories!$A:$E,2,0),"")</f>
        <v/>
      </c>
      <c r="EN91" t="str">
        <f>IF(NOT(ISBLANK($B91)),VLOOKUP($B91,AssetCategories!$A:$E,3,0),"")</f>
        <v/>
      </c>
      <c r="EP91" s="33" t="str">
        <f t="shared" si="3"/>
        <v/>
      </c>
    </row>
    <row r="92" spans="16:146" x14ac:dyDescent="0.25">
      <c r="P92" s="33" t="str" cm="1">
        <f t="array" ref="P92">IFERROR(SUM(VALUE(_xlfn.TEXTSPLIT(O92, ";"))), "")</f>
        <v/>
      </c>
      <c r="DO92" t="str">
        <f t="shared" si="2"/>
        <v/>
      </c>
      <c r="EG92" s="33" t="str">
        <f>IF(NOT(ISBLANK($B92)),VLOOKUP($B92,AssetCategories!$A:$E,5,0),"")</f>
        <v/>
      </c>
      <c r="EH92" t="str">
        <f>IF(NOT(ISBLANK($B92)),VLOOKUP($B92,AssetCategories!$A:$E,4,0),"")</f>
        <v/>
      </c>
      <c r="EM92" t="str">
        <f>IF(NOT(ISBLANK($B92)),VLOOKUP($B92,AssetCategories!$A:$E,2,0),"")</f>
        <v/>
      </c>
      <c r="EN92" t="str">
        <f>IF(NOT(ISBLANK($B92)),VLOOKUP($B92,AssetCategories!$A:$E,3,0),"")</f>
        <v/>
      </c>
      <c r="EP92" s="33" t="str">
        <f t="shared" si="3"/>
        <v/>
      </c>
    </row>
    <row r="93" spans="16:146" x14ac:dyDescent="0.25">
      <c r="P93" s="33" t="str" cm="1">
        <f t="array" ref="P93">IFERROR(SUM(VALUE(_xlfn.TEXTSPLIT(O93, ";"))), "")</f>
        <v/>
      </c>
      <c r="DO93" t="str">
        <f t="shared" si="2"/>
        <v/>
      </c>
      <c r="EG93" s="33" t="str">
        <f>IF(NOT(ISBLANK($B93)),VLOOKUP($B93,AssetCategories!$A:$E,5,0),"")</f>
        <v/>
      </c>
      <c r="EH93" t="str">
        <f>IF(NOT(ISBLANK($B93)),VLOOKUP($B93,AssetCategories!$A:$E,4,0),"")</f>
        <v/>
      </c>
      <c r="EM93" t="str">
        <f>IF(NOT(ISBLANK($B93)),VLOOKUP($B93,AssetCategories!$A:$E,2,0),"")</f>
        <v/>
      </c>
      <c r="EN93" t="str">
        <f>IF(NOT(ISBLANK($B93)),VLOOKUP($B93,AssetCategories!$A:$E,3,0),"")</f>
        <v/>
      </c>
      <c r="EP93" s="33" t="str">
        <f t="shared" si="3"/>
        <v/>
      </c>
    </row>
    <row r="94" spans="16:146" x14ac:dyDescent="0.25">
      <c r="P94" s="33" t="str" cm="1">
        <f t="array" ref="P94">IFERROR(SUM(VALUE(_xlfn.TEXTSPLIT(O94, ";"))), "")</f>
        <v/>
      </c>
      <c r="DO94" t="str">
        <f t="shared" si="2"/>
        <v/>
      </c>
      <c r="EG94" s="33" t="str">
        <f>IF(NOT(ISBLANK($B94)),VLOOKUP($B94,AssetCategories!$A:$E,5,0),"")</f>
        <v/>
      </c>
      <c r="EH94" t="str">
        <f>IF(NOT(ISBLANK($B94)),VLOOKUP($B94,AssetCategories!$A:$E,4,0),"")</f>
        <v/>
      </c>
      <c r="EM94" t="str">
        <f>IF(NOT(ISBLANK($B94)),VLOOKUP($B94,AssetCategories!$A:$E,2,0),"")</f>
        <v/>
      </c>
      <c r="EN94" t="str">
        <f>IF(NOT(ISBLANK($B94)),VLOOKUP($B94,AssetCategories!$A:$E,3,0),"")</f>
        <v/>
      </c>
      <c r="EP94" s="33" t="str">
        <f t="shared" si="3"/>
        <v/>
      </c>
    </row>
    <row r="95" spans="16:146" x14ac:dyDescent="0.25">
      <c r="P95" s="33" t="str" cm="1">
        <f t="array" ref="P95">IFERROR(SUM(VALUE(_xlfn.TEXTSPLIT(O95, ";"))), "")</f>
        <v/>
      </c>
      <c r="DO95" t="str">
        <f t="shared" si="2"/>
        <v/>
      </c>
      <c r="EG95" s="33" t="str">
        <f>IF(NOT(ISBLANK($B95)),VLOOKUP($B95,AssetCategories!$A:$E,5,0),"")</f>
        <v/>
      </c>
      <c r="EH95" t="str">
        <f>IF(NOT(ISBLANK($B95)),VLOOKUP($B95,AssetCategories!$A:$E,4,0),"")</f>
        <v/>
      </c>
      <c r="EM95" t="str">
        <f>IF(NOT(ISBLANK($B95)),VLOOKUP($B95,AssetCategories!$A:$E,2,0),"")</f>
        <v/>
      </c>
      <c r="EN95" t="str">
        <f>IF(NOT(ISBLANK($B95)),VLOOKUP($B95,AssetCategories!$A:$E,3,0),"")</f>
        <v/>
      </c>
      <c r="EP95" s="33" t="str">
        <f t="shared" si="3"/>
        <v/>
      </c>
    </row>
    <row r="96" spans="16:146" x14ac:dyDescent="0.25">
      <c r="P96" s="33" t="str" cm="1">
        <f t="array" ref="P96">IFERROR(SUM(VALUE(_xlfn.TEXTSPLIT(O96, ";"))), "")</f>
        <v/>
      </c>
      <c r="DO96" t="str">
        <f t="shared" si="2"/>
        <v/>
      </c>
      <c r="EG96" s="33" t="str">
        <f>IF(NOT(ISBLANK($B96)),VLOOKUP($B96,AssetCategories!$A:$E,5,0),"")</f>
        <v/>
      </c>
      <c r="EH96" t="str">
        <f>IF(NOT(ISBLANK($B96)),VLOOKUP($B96,AssetCategories!$A:$E,4,0),"")</f>
        <v/>
      </c>
      <c r="EM96" t="str">
        <f>IF(NOT(ISBLANK($B96)),VLOOKUP($B96,AssetCategories!$A:$E,2,0),"")</f>
        <v/>
      </c>
      <c r="EN96" t="str">
        <f>IF(NOT(ISBLANK($B96)),VLOOKUP($B96,AssetCategories!$A:$E,3,0),"")</f>
        <v/>
      </c>
      <c r="EP96" s="33" t="str">
        <f t="shared" si="3"/>
        <v/>
      </c>
    </row>
    <row r="97" spans="16:146" x14ac:dyDescent="0.25">
      <c r="P97" s="33" t="str" cm="1">
        <f t="array" ref="P97">IFERROR(SUM(VALUE(_xlfn.TEXTSPLIT(O97, ";"))), "")</f>
        <v/>
      </c>
      <c r="DO97" t="str">
        <f t="shared" si="2"/>
        <v/>
      </c>
      <c r="EG97" s="33" t="str">
        <f>IF(NOT(ISBLANK($B97)),VLOOKUP($B97,AssetCategories!$A:$E,5,0),"")</f>
        <v/>
      </c>
      <c r="EH97" t="str">
        <f>IF(NOT(ISBLANK($B97)),VLOOKUP($B97,AssetCategories!$A:$E,4,0),"")</f>
        <v/>
      </c>
      <c r="EM97" t="str">
        <f>IF(NOT(ISBLANK($B97)),VLOOKUP($B97,AssetCategories!$A:$E,2,0),"")</f>
        <v/>
      </c>
      <c r="EN97" t="str">
        <f>IF(NOT(ISBLANK($B97)),VLOOKUP($B97,AssetCategories!$A:$E,3,0),"")</f>
        <v/>
      </c>
      <c r="EP97" s="33" t="str">
        <f t="shared" si="3"/>
        <v/>
      </c>
    </row>
    <row r="98" spans="16:146" x14ac:dyDescent="0.25">
      <c r="P98" s="33" t="str" cm="1">
        <f t="array" ref="P98">IFERROR(SUM(VALUE(_xlfn.TEXTSPLIT(O98, ";"))), "")</f>
        <v/>
      </c>
      <c r="DO98" t="str">
        <f t="shared" si="2"/>
        <v/>
      </c>
      <c r="EG98" s="33" t="str">
        <f>IF(NOT(ISBLANK($B98)),VLOOKUP($B98,AssetCategories!$A:$E,5,0),"")</f>
        <v/>
      </c>
      <c r="EH98" t="str">
        <f>IF(NOT(ISBLANK($B98)),VLOOKUP($B98,AssetCategories!$A:$E,4,0),"")</f>
        <v/>
      </c>
      <c r="EM98" t="str">
        <f>IF(NOT(ISBLANK($B98)),VLOOKUP($B98,AssetCategories!$A:$E,2,0),"")</f>
        <v/>
      </c>
      <c r="EN98" t="str">
        <f>IF(NOT(ISBLANK($B98)),VLOOKUP($B98,AssetCategories!$A:$E,3,0),"")</f>
        <v/>
      </c>
      <c r="EP98" s="33" t="str">
        <f t="shared" si="3"/>
        <v/>
      </c>
    </row>
    <row r="99" spans="16:146" x14ac:dyDescent="0.25">
      <c r="P99" s="33" t="str" cm="1">
        <f t="array" ref="P99">IFERROR(SUM(VALUE(_xlfn.TEXTSPLIT(O99, ";"))), "")</f>
        <v/>
      </c>
      <c r="DO99" t="str">
        <f t="shared" si="2"/>
        <v/>
      </c>
      <c r="EG99" s="33" t="str">
        <f>IF(NOT(ISBLANK($B99)),VLOOKUP($B99,AssetCategories!$A:$E,5,0),"")</f>
        <v/>
      </c>
      <c r="EH99" t="str">
        <f>IF(NOT(ISBLANK($B99)),VLOOKUP($B99,AssetCategories!$A:$E,4,0),"")</f>
        <v/>
      </c>
      <c r="EM99" t="str">
        <f>IF(NOT(ISBLANK($B99)),VLOOKUP($B99,AssetCategories!$A:$E,2,0),"")</f>
        <v/>
      </c>
      <c r="EN99" t="str">
        <f>IF(NOT(ISBLANK($B99)),VLOOKUP($B99,AssetCategories!$A:$E,3,0),"")</f>
        <v/>
      </c>
      <c r="EP99" s="33" t="str">
        <f t="shared" si="3"/>
        <v/>
      </c>
    </row>
    <row r="100" spans="16:146" x14ac:dyDescent="0.25">
      <c r="P100" s="33" t="str" cm="1">
        <f t="array" ref="P100">IFERROR(SUM(VALUE(_xlfn.TEXTSPLIT(O100, ";"))), "")</f>
        <v/>
      </c>
      <c r="DO100" t="str">
        <f t="shared" si="2"/>
        <v/>
      </c>
      <c r="EG100" s="33" t="str">
        <f>IF(NOT(ISBLANK($B100)),VLOOKUP($B100,AssetCategories!$A:$E,5,0),"")</f>
        <v/>
      </c>
      <c r="EH100" t="str">
        <f>IF(NOT(ISBLANK($B100)),VLOOKUP($B100,AssetCategories!$A:$E,4,0),"")</f>
        <v/>
      </c>
      <c r="EM100" t="str">
        <f>IF(NOT(ISBLANK($B100)),VLOOKUP($B100,AssetCategories!$A:$E,2,0),"")</f>
        <v/>
      </c>
      <c r="EN100" t="str">
        <f>IF(NOT(ISBLANK($B100)),VLOOKUP($B100,AssetCategories!$A:$E,3,0),"")</f>
        <v/>
      </c>
      <c r="EP100" s="33" t="str">
        <f t="shared" si="3"/>
        <v/>
      </c>
    </row>
    <row r="101" spans="16:146" x14ac:dyDescent="0.25">
      <c r="P101" s="33" t="str" cm="1">
        <f t="array" ref="P101">IFERROR(SUM(VALUE(_xlfn.TEXTSPLIT(O101, ";"))), "")</f>
        <v/>
      </c>
      <c r="DO101" t="str">
        <f t="shared" si="2"/>
        <v/>
      </c>
      <c r="EG101" s="33" t="str">
        <f>IF(NOT(ISBLANK($B101)),VLOOKUP($B101,AssetCategories!$A:$E,5,0),"")</f>
        <v/>
      </c>
      <c r="EH101" t="str">
        <f>IF(NOT(ISBLANK($B101)),VLOOKUP($B101,AssetCategories!$A:$E,4,0),"")</f>
        <v/>
      </c>
      <c r="EM101" t="str">
        <f>IF(NOT(ISBLANK($B101)),VLOOKUP($B101,AssetCategories!$A:$E,2,0),"")</f>
        <v/>
      </c>
      <c r="EN101" t="str">
        <f>IF(NOT(ISBLANK($B101)),VLOOKUP($B101,AssetCategories!$A:$E,3,0),"")</f>
        <v/>
      </c>
      <c r="EP101" s="33" t="str">
        <f t="shared" si="3"/>
        <v/>
      </c>
    </row>
    <row r="102" spans="16:146" x14ac:dyDescent="0.25">
      <c r="P102" s="33" t="str" cm="1">
        <f t="array" ref="P102">IFERROR(SUM(VALUE(_xlfn.TEXTSPLIT(O102, ";"))), "")</f>
        <v/>
      </c>
      <c r="DO102" t="str">
        <f t="shared" si="2"/>
        <v/>
      </c>
      <c r="EG102" s="33" t="str">
        <f>IF(NOT(ISBLANK($B102)),VLOOKUP($B102,AssetCategories!$A:$E,5,0),"")</f>
        <v/>
      </c>
      <c r="EH102" t="str">
        <f>IF(NOT(ISBLANK($B102)),VLOOKUP($B102,AssetCategories!$A:$E,4,0),"")</f>
        <v/>
      </c>
      <c r="EM102" t="str">
        <f>IF(NOT(ISBLANK($B102)),VLOOKUP($B102,AssetCategories!$A:$E,2,0),"")</f>
        <v/>
      </c>
      <c r="EN102" t="str">
        <f>IF(NOT(ISBLANK($B102)),VLOOKUP($B102,AssetCategories!$A:$E,3,0),"")</f>
        <v/>
      </c>
      <c r="EP102" s="33" t="str">
        <f t="shared" si="3"/>
        <v/>
      </c>
    </row>
    <row r="103" spans="16:146" x14ac:dyDescent="0.25">
      <c r="P103" s="33" t="str" cm="1">
        <f t="array" ref="P103">IFERROR(SUM(VALUE(_xlfn.TEXTSPLIT(O103, ";"))), "")</f>
        <v/>
      </c>
      <c r="DO103" t="str">
        <f t="shared" si="2"/>
        <v/>
      </c>
      <c r="EG103" s="33" t="str">
        <f>IF(NOT(ISBLANK($B103)),VLOOKUP($B103,AssetCategories!$A:$E,5,0),"")</f>
        <v/>
      </c>
      <c r="EH103" t="str">
        <f>IF(NOT(ISBLANK($B103)),VLOOKUP($B103,AssetCategories!$A:$E,4,0),"")</f>
        <v/>
      </c>
      <c r="EM103" t="str">
        <f>IF(NOT(ISBLANK($B103)),VLOOKUP($B103,AssetCategories!$A:$E,2,0),"")</f>
        <v/>
      </c>
      <c r="EN103" t="str">
        <f>IF(NOT(ISBLANK($B103)),VLOOKUP($B103,AssetCategories!$A:$E,3,0),"")</f>
        <v/>
      </c>
      <c r="EP103" s="33" t="str">
        <f t="shared" si="3"/>
        <v/>
      </c>
    </row>
    <row r="104" spans="16:146" x14ac:dyDescent="0.25">
      <c r="P104" s="33" t="str" cm="1">
        <f t="array" ref="P104">IFERROR(SUM(VALUE(_xlfn.TEXTSPLIT(O104, ";"))), "")</f>
        <v/>
      </c>
      <c r="DO104" t="str">
        <f t="shared" si="2"/>
        <v/>
      </c>
      <c r="EG104" s="33" t="str">
        <f>IF(NOT(ISBLANK($B104)),VLOOKUP($B104,AssetCategories!$A:$E,5,0),"")</f>
        <v/>
      </c>
      <c r="EH104" t="str">
        <f>IF(NOT(ISBLANK($B104)),VLOOKUP($B104,AssetCategories!$A:$E,4,0),"")</f>
        <v/>
      </c>
      <c r="EM104" t="str">
        <f>IF(NOT(ISBLANK($B104)),VLOOKUP($B104,AssetCategories!$A:$E,2,0),"")</f>
        <v/>
      </c>
      <c r="EN104" t="str">
        <f>IF(NOT(ISBLANK($B104)),VLOOKUP($B104,AssetCategories!$A:$E,3,0),"")</f>
        <v/>
      </c>
      <c r="EP104" s="33" t="str">
        <f t="shared" si="3"/>
        <v/>
      </c>
    </row>
    <row r="105" spans="16:146" x14ac:dyDescent="0.25">
      <c r="P105" s="33" t="str" cm="1">
        <f t="array" ref="P105">IFERROR(SUM(VALUE(_xlfn.TEXTSPLIT(O105, ";"))), "")</f>
        <v/>
      </c>
      <c r="DO105" t="str">
        <f t="shared" si="2"/>
        <v/>
      </c>
      <c r="EG105" s="33" t="str">
        <f>IF(NOT(ISBLANK($B105)),VLOOKUP($B105,AssetCategories!$A:$E,5,0),"")</f>
        <v/>
      </c>
      <c r="EH105" t="str">
        <f>IF(NOT(ISBLANK($B105)),VLOOKUP($B105,AssetCategories!$A:$E,4,0),"")</f>
        <v/>
      </c>
      <c r="EM105" t="str">
        <f>IF(NOT(ISBLANK($B105)),VLOOKUP($B105,AssetCategories!$A:$E,2,0),"")</f>
        <v/>
      </c>
      <c r="EN105" t="str">
        <f>IF(NOT(ISBLANK($B105)),VLOOKUP($B105,AssetCategories!$A:$E,3,0),"")</f>
        <v/>
      </c>
      <c r="EP105" s="33" t="str">
        <f t="shared" si="3"/>
        <v/>
      </c>
    </row>
    <row r="106" spans="16:146" x14ac:dyDescent="0.25">
      <c r="P106" s="33" t="str" cm="1">
        <f t="array" ref="P106">IFERROR(SUM(VALUE(_xlfn.TEXTSPLIT(O106, ";"))), "")</f>
        <v/>
      </c>
      <c r="DO106" t="str">
        <f t="shared" si="2"/>
        <v/>
      </c>
      <c r="EG106" s="33" t="str">
        <f>IF(NOT(ISBLANK($B106)),VLOOKUP($B106,AssetCategories!$A:$E,5,0),"")</f>
        <v/>
      </c>
      <c r="EH106" t="str">
        <f>IF(NOT(ISBLANK($B106)),VLOOKUP($B106,AssetCategories!$A:$E,4,0),"")</f>
        <v/>
      </c>
      <c r="EM106" t="str">
        <f>IF(NOT(ISBLANK($B106)),VLOOKUP($B106,AssetCategories!$A:$E,2,0),"")</f>
        <v/>
      </c>
      <c r="EN106" t="str">
        <f>IF(NOT(ISBLANK($B106)),VLOOKUP($B106,AssetCategories!$A:$E,3,0),"")</f>
        <v/>
      </c>
      <c r="EP106" s="33" t="str">
        <f t="shared" si="3"/>
        <v/>
      </c>
    </row>
    <row r="107" spans="16:146" x14ac:dyDescent="0.25">
      <c r="P107" s="33" t="str" cm="1">
        <f t="array" ref="P107">IFERROR(SUM(VALUE(_xlfn.TEXTSPLIT(O107, ";"))), "")</f>
        <v/>
      </c>
      <c r="DO107" t="str">
        <f t="shared" si="2"/>
        <v/>
      </c>
      <c r="EG107" s="33" t="str">
        <f>IF(NOT(ISBLANK($B107)),VLOOKUP($B107,AssetCategories!$A:$E,5,0),"")</f>
        <v/>
      </c>
      <c r="EH107" t="str">
        <f>IF(NOT(ISBLANK($B107)),VLOOKUP($B107,AssetCategories!$A:$E,4,0),"")</f>
        <v/>
      </c>
      <c r="EM107" t="str">
        <f>IF(NOT(ISBLANK($B107)),VLOOKUP($B107,AssetCategories!$A:$E,2,0),"")</f>
        <v/>
      </c>
      <c r="EN107" t="str">
        <f>IF(NOT(ISBLANK($B107)),VLOOKUP($B107,AssetCategories!$A:$E,3,0),"")</f>
        <v/>
      </c>
      <c r="EP107" s="33" t="str">
        <f t="shared" si="3"/>
        <v/>
      </c>
    </row>
    <row r="108" spans="16:146" x14ac:dyDescent="0.25">
      <c r="P108" s="33" t="str" cm="1">
        <f t="array" ref="P108">IFERROR(SUM(VALUE(_xlfn.TEXTSPLIT(O108, ";"))), "")</f>
        <v/>
      </c>
      <c r="DO108" t="str">
        <f t="shared" si="2"/>
        <v/>
      </c>
      <c r="EG108" s="33" t="str">
        <f>IF(NOT(ISBLANK($B108)),VLOOKUP($B108,AssetCategories!$A:$E,5,0),"")</f>
        <v/>
      </c>
      <c r="EH108" t="str">
        <f>IF(NOT(ISBLANK($B108)),VLOOKUP($B108,AssetCategories!$A:$E,4,0),"")</f>
        <v/>
      </c>
      <c r="EM108" t="str">
        <f>IF(NOT(ISBLANK($B108)),VLOOKUP($B108,AssetCategories!$A:$E,2,0),"")</f>
        <v/>
      </c>
      <c r="EN108" t="str">
        <f>IF(NOT(ISBLANK($B108)),VLOOKUP($B108,AssetCategories!$A:$E,3,0),"")</f>
        <v/>
      </c>
      <c r="EP108" s="33" t="str">
        <f t="shared" si="3"/>
        <v/>
      </c>
    </row>
    <row r="109" spans="16:146" x14ac:dyDescent="0.25">
      <c r="P109" s="33" t="str" cm="1">
        <f t="array" ref="P109">IFERROR(SUM(VALUE(_xlfn.TEXTSPLIT(O109, ";"))), "")</f>
        <v/>
      </c>
      <c r="DO109" t="str">
        <f t="shared" si="2"/>
        <v/>
      </c>
      <c r="EG109" s="33" t="str">
        <f>IF(NOT(ISBLANK($B109)),VLOOKUP($B109,AssetCategories!$A:$E,5,0),"")</f>
        <v/>
      </c>
      <c r="EH109" t="str">
        <f>IF(NOT(ISBLANK($B109)),VLOOKUP($B109,AssetCategories!$A:$E,4,0),"")</f>
        <v/>
      </c>
      <c r="EM109" t="str">
        <f>IF(NOT(ISBLANK($B109)),VLOOKUP($B109,AssetCategories!$A:$E,2,0),"")</f>
        <v/>
      </c>
      <c r="EN109" t="str">
        <f>IF(NOT(ISBLANK($B109)),VLOOKUP($B109,AssetCategories!$A:$E,3,0),"")</f>
        <v/>
      </c>
      <c r="EP109" s="33" t="str">
        <f t="shared" si="3"/>
        <v/>
      </c>
    </row>
    <row r="110" spans="16:146" x14ac:dyDescent="0.25">
      <c r="P110" s="33" t="str" cm="1">
        <f t="array" ref="P110">IFERROR(SUM(VALUE(_xlfn.TEXTSPLIT(O110, ";"))), "")</f>
        <v/>
      </c>
      <c r="DO110" t="str">
        <f t="shared" si="2"/>
        <v/>
      </c>
      <c r="EG110" s="33" t="str">
        <f>IF(NOT(ISBLANK($B110)),VLOOKUP($B110,AssetCategories!$A:$E,5,0),"")</f>
        <v/>
      </c>
      <c r="EH110" t="str">
        <f>IF(NOT(ISBLANK($B110)),VLOOKUP($B110,AssetCategories!$A:$E,4,0),"")</f>
        <v/>
      </c>
      <c r="EM110" t="str">
        <f>IF(NOT(ISBLANK($B110)),VLOOKUP($B110,AssetCategories!$A:$E,2,0),"")</f>
        <v/>
      </c>
      <c r="EN110" t="str">
        <f>IF(NOT(ISBLANK($B110)),VLOOKUP($B110,AssetCategories!$A:$E,3,0),"")</f>
        <v/>
      </c>
      <c r="EP110" s="33" t="str">
        <f t="shared" si="3"/>
        <v/>
      </c>
    </row>
    <row r="111" spans="16:146" x14ac:dyDescent="0.25">
      <c r="P111" s="33" t="str" cm="1">
        <f t="array" ref="P111">IFERROR(SUM(VALUE(_xlfn.TEXTSPLIT(O111, ";"))), "")</f>
        <v/>
      </c>
      <c r="DO111" t="str">
        <f t="shared" si="2"/>
        <v/>
      </c>
      <c r="EG111" s="33" t="str">
        <f>IF(NOT(ISBLANK($B111)),VLOOKUP($B111,AssetCategories!$A:$E,5,0),"")</f>
        <v/>
      </c>
      <c r="EH111" t="str">
        <f>IF(NOT(ISBLANK($B111)),VLOOKUP($B111,AssetCategories!$A:$E,4,0),"")</f>
        <v/>
      </c>
      <c r="EM111" t="str">
        <f>IF(NOT(ISBLANK($B111)),VLOOKUP($B111,AssetCategories!$A:$E,2,0),"")</f>
        <v/>
      </c>
      <c r="EN111" t="str">
        <f>IF(NOT(ISBLANK($B111)),VLOOKUP($B111,AssetCategories!$A:$E,3,0),"")</f>
        <v/>
      </c>
      <c r="EP111" s="33" t="str">
        <f t="shared" si="3"/>
        <v/>
      </c>
    </row>
    <row r="112" spans="16:146" x14ac:dyDescent="0.25">
      <c r="P112" s="33" t="str" cm="1">
        <f t="array" ref="P112">IFERROR(SUM(VALUE(_xlfn.TEXTSPLIT(O112, ";"))), "")</f>
        <v/>
      </c>
      <c r="DO112" t="str">
        <f t="shared" si="2"/>
        <v/>
      </c>
      <c r="EG112" s="33" t="str">
        <f>IF(NOT(ISBLANK($B112)),VLOOKUP($B112,AssetCategories!$A:$E,5,0),"")</f>
        <v/>
      </c>
      <c r="EH112" t="str">
        <f>IF(NOT(ISBLANK($B112)),VLOOKUP($B112,AssetCategories!$A:$E,4,0),"")</f>
        <v/>
      </c>
      <c r="EM112" t="str">
        <f>IF(NOT(ISBLANK($B112)),VLOOKUP($B112,AssetCategories!$A:$E,2,0),"")</f>
        <v/>
      </c>
      <c r="EN112" t="str">
        <f>IF(NOT(ISBLANK($B112)),VLOOKUP($B112,AssetCategories!$A:$E,3,0),"")</f>
        <v/>
      </c>
      <c r="EP112" s="33" t="str">
        <f t="shared" si="3"/>
        <v/>
      </c>
    </row>
    <row r="113" spans="16:146" x14ac:dyDescent="0.25">
      <c r="P113" s="33" t="str" cm="1">
        <f t="array" ref="P113">IFERROR(SUM(VALUE(_xlfn.TEXTSPLIT(O113, ";"))), "")</f>
        <v/>
      </c>
      <c r="DO113" t="str">
        <f t="shared" si="2"/>
        <v/>
      </c>
      <c r="EG113" s="33" t="str">
        <f>IF(NOT(ISBLANK($B113)),VLOOKUP($B113,AssetCategories!$A:$E,5,0),"")</f>
        <v/>
      </c>
      <c r="EH113" t="str">
        <f>IF(NOT(ISBLANK($B113)),VLOOKUP($B113,AssetCategories!$A:$E,4,0),"")</f>
        <v/>
      </c>
      <c r="EM113" t="str">
        <f>IF(NOT(ISBLANK($B113)),VLOOKUP($B113,AssetCategories!$A:$E,2,0),"")</f>
        <v/>
      </c>
      <c r="EN113" t="str">
        <f>IF(NOT(ISBLANK($B113)),VLOOKUP($B113,AssetCategories!$A:$E,3,0),"")</f>
        <v/>
      </c>
      <c r="EP113" s="33" t="str">
        <f t="shared" si="3"/>
        <v/>
      </c>
    </row>
    <row r="114" spans="16:146" x14ac:dyDescent="0.25">
      <c r="P114" s="33" t="str" cm="1">
        <f t="array" ref="P114">IFERROR(SUM(VALUE(_xlfn.TEXTSPLIT(O114, ";"))), "")</f>
        <v/>
      </c>
      <c r="DO114" t="str">
        <f t="shared" si="2"/>
        <v/>
      </c>
      <c r="EG114" s="33" t="str">
        <f>IF(NOT(ISBLANK($B114)),VLOOKUP($B114,AssetCategories!$A:$E,5,0),"")</f>
        <v/>
      </c>
      <c r="EH114" t="str">
        <f>IF(NOT(ISBLANK($B114)),VLOOKUP($B114,AssetCategories!$A:$E,4,0),"")</f>
        <v/>
      </c>
      <c r="EM114" t="str">
        <f>IF(NOT(ISBLANK($B114)),VLOOKUP($B114,AssetCategories!$A:$E,2,0),"")</f>
        <v/>
      </c>
      <c r="EN114" t="str">
        <f>IF(NOT(ISBLANK($B114)),VLOOKUP($B114,AssetCategories!$A:$E,3,0),"")</f>
        <v/>
      </c>
      <c r="EP114" s="33" t="str">
        <f t="shared" si="3"/>
        <v/>
      </c>
    </row>
    <row r="115" spans="16:146" x14ac:dyDescent="0.25">
      <c r="P115" s="33" t="str" cm="1">
        <f t="array" ref="P115">IFERROR(SUM(VALUE(_xlfn.TEXTSPLIT(O115, ";"))), "")</f>
        <v/>
      </c>
      <c r="DO115" t="str">
        <f t="shared" si="2"/>
        <v/>
      </c>
      <c r="EG115" s="33" t="str">
        <f>IF(NOT(ISBLANK($B115)),VLOOKUP($B115,AssetCategories!$A:$E,5,0),"")</f>
        <v/>
      </c>
      <c r="EH115" t="str">
        <f>IF(NOT(ISBLANK($B115)),VLOOKUP($B115,AssetCategories!$A:$E,4,0),"")</f>
        <v/>
      </c>
      <c r="EM115" t="str">
        <f>IF(NOT(ISBLANK($B115)),VLOOKUP($B115,AssetCategories!$A:$E,2,0),"")</f>
        <v/>
      </c>
      <c r="EN115" t="str">
        <f>IF(NOT(ISBLANK($B115)),VLOOKUP($B115,AssetCategories!$A:$E,3,0),"")</f>
        <v/>
      </c>
      <c r="EP115" s="33" t="str">
        <f t="shared" si="3"/>
        <v/>
      </c>
    </row>
    <row r="116" spans="16:146" x14ac:dyDescent="0.25">
      <c r="P116" s="33" t="str" cm="1">
        <f t="array" ref="P116">IFERROR(SUM(VALUE(_xlfn.TEXTSPLIT(O116, ";"))), "")</f>
        <v/>
      </c>
      <c r="DO116" t="str">
        <f t="shared" si="2"/>
        <v/>
      </c>
      <c r="EG116" s="33" t="str">
        <f>IF(NOT(ISBLANK($B116)),VLOOKUP($B116,AssetCategories!$A:$E,5,0),"")</f>
        <v/>
      </c>
      <c r="EH116" t="str">
        <f>IF(NOT(ISBLANK($B116)),VLOOKUP($B116,AssetCategories!$A:$E,4,0),"")</f>
        <v/>
      </c>
      <c r="EM116" t="str">
        <f>IF(NOT(ISBLANK($B116)),VLOOKUP($B116,AssetCategories!$A:$E,2,0),"")</f>
        <v/>
      </c>
      <c r="EN116" t="str">
        <f>IF(NOT(ISBLANK($B116)),VLOOKUP($B116,AssetCategories!$A:$E,3,0),"")</f>
        <v/>
      </c>
      <c r="EP116" s="33" t="str">
        <f t="shared" si="3"/>
        <v/>
      </c>
    </row>
    <row r="117" spans="16:146" x14ac:dyDescent="0.25">
      <c r="P117" s="33" t="str" cm="1">
        <f t="array" ref="P117">IFERROR(SUM(VALUE(_xlfn.TEXTSPLIT(O117, ";"))), "")</f>
        <v/>
      </c>
      <c r="DO117" t="str">
        <f t="shared" si="2"/>
        <v/>
      </c>
      <c r="EG117" s="33" t="str">
        <f>IF(NOT(ISBLANK($B117)),VLOOKUP($B117,AssetCategories!$A:$E,5,0),"")</f>
        <v/>
      </c>
      <c r="EH117" t="str">
        <f>IF(NOT(ISBLANK($B117)),VLOOKUP($B117,AssetCategories!$A:$E,4,0),"")</f>
        <v/>
      </c>
      <c r="EM117" t="str">
        <f>IF(NOT(ISBLANK($B117)),VLOOKUP($B117,AssetCategories!$A:$E,2,0),"")</f>
        <v/>
      </c>
      <c r="EN117" t="str">
        <f>IF(NOT(ISBLANK($B117)),VLOOKUP($B117,AssetCategories!$A:$E,3,0),"")</f>
        <v/>
      </c>
      <c r="EP117" s="33" t="str">
        <f t="shared" si="3"/>
        <v/>
      </c>
    </row>
    <row r="118" spans="16:146" x14ac:dyDescent="0.25">
      <c r="P118" s="33" t="str" cm="1">
        <f t="array" ref="P118">IFERROR(SUM(VALUE(_xlfn.TEXTSPLIT(O118, ";"))), "")</f>
        <v/>
      </c>
      <c r="DO118" t="str">
        <f t="shared" si="2"/>
        <v/>
      </c>
      <c r="EG118" s="33" t="str">
        <f>IF(NOT(ISBLANK($B118)),VLOOKUP($B118,AssetCategories!$A:$E,5,0),"")</f>
        <v/>
      </c>
      <c r="EH118" t="str">
        <f>IF(NOT(ISBLANK($B118)),VLOOKUP($B118,AssetCategories!$A:$E,4,0),"")</f>
        <v/>
      </c>
      <c r="EM118" t="str">
        <f>IF(NOT(ISBLANK($B118)),VLOOKUP($B118,AssetCategories!$A:$E,2,0),"")</f>
        <v/>
      </c>
      <c r="EN118" t="str">
        <f>IF(NOT(ISBLANK($B118)),VLOOKUP($B118,AssetCategories!$A:$E,3,0),"")</f>
        <v/>
      </c>
      <c r="EP118" s="33" t="str">
        <f t="shared" si="3"/>
        <v/>
      </c>
    </row>
    <row r="119" spans="16:146" x14ac:dyDescent="0.25">
      <c r="P119" s="33" t="str" cm="1">
        <f t="array" ref="P119">IFERROR(SUM(VALUE(_xlfn.TEXTSPLIT(O119, ";"))), "")</f>
        <v/>
      </c>
      <c r="DO119" t="str">
        <f t="shared" si="2"/>
        <v/>
      </c>
      <c r="EG119" s="33" t="str">
        <f>IF(NOT(ISBLANK($B119)),VLOOKUP($B119,AssetCategories!$A:$E,5,0),"")</f>
        <v/>
      </c>
      <c r="EH119" t="str">
        <f>IF(NOT(ISBLANK($B119)),VLOOKUP($B119,AssetCategories!$A:$E,4,0),"")</f>
        <v/>
      </c>
      <c r="EM119" t="str">
        <f>IF(NOT(ISBLANK($B119)),VLOOKUP($B119,AssetCategories!$A:$E,2,0),"")</f>
        <v/>
      </c>
      <c r="EN119" t="str">
        <f>IF(NOT(ISBLANK($B119)),VLOOKUP($B119,AssetCategories!$A:$E,3,0),"")</f>
        <v/>
      </c>
      <c r="EP119" s="33" t="str">
        <f t="shared" si="3"/>
        <v/>
      </c>
    </row>
    <row r="120" spans="16:146" x14ac:dyDescent="0.25">
      <c r="P120" s="33" t="str" cm="1">
        <f t="array" ref="P120">IFERROR(SUM(VALUE(_xlfn.TEXTSPLIT(O120, ";"))), "")</f>
        <v/>
      </c>
      <c r="DO120" t="str">
        <f t="shared" si="2"/>
        <v/>
      </c>
      <c r="EG120" s="33" t="str">
        <f>IF(NOT(ISBLANK($B120)),VLOOKUP($B120,AssetCategories!$A:$E,5,0),"")</f>
        <v/>
      </c>
      <c r="EH120" t="str">
        <f>IF(NOT(ISBLANK($B120)),VLOOKUP($B120,AssetCategories!$A:$E,4,0),"")</f>
        <v/>
      </c>
      <c r="EM120" t="str">
        <f>IF(NOT(ISBLANK($B120)),VLOOKUP($B120,AssetCategories!$A:$E,2,0),"")</f>
        <v/>
      </c>
      <c r="EN120" t="str">
        <f>IF(NOT(ISBLANK($B120)),VLOOKUP($B120,AssetCategories!$A:$E,3,0),"")</f>
        <v/>
      </c>
      <c r="EP120" s="33" t="str">
        <f t="shared" si="3"/>
        <v/>
      </c>
    </row>
    <row r="121" spans="16:146" x14ac:dyDescent="0.25">
      <c r="P121" s="33" t="str" cm="1">
        <f t="array" ref="P121">IFERROR(SUM(VALUE(_xlfn.TEXTSPLIT(O121, ";"))), "")</f>
        <v/>
      </c>
      <c r="DO121" t="str">
        <f t="shared" si="2"/>
        <v/>
      </c>
      <c r="EG121" s="33" t="str">
        <f>IF(NOT(ISBLANK($B121)),VLOOKUP($B121,AssetCategories!$A:$E,5,0),"")</f>
        <v/>
      </c>
      <c r="EH121" t="str">
        <f>IF(NOT(ISBLANK($B121)),VLOOKUP($B121,AssetCategories!$A:$E,4,0),"")</f>
        <v/>
      </c>
      <c r="EM121" t="str">
        <f>IF(NOT(ISBLANK($B121)),VLOOKUP($B121,AssetCategories!$A:$E,2,0),"")</f>
        <v/>
      </c>
      <c r="EN121" t="str">
        <f>IF(NOT(ISBLANK($B121)),VLOOKUP($B121,AssetCategories!$A:$E,3,0),"")</f>
        <v/>
      </c>
      <c r="EP121" s="33" t="str">
        <f t="shared" si="3"/>
        <v/>
      </c>
    </row>
    <row r="122" spans="16:146" x14ac:dyDescent="0.25">
      <c r="P122" s="33" t="str" cm="1">
        <f t="array" ref="P122">IFERROR(SUM(VALUE(_xlfn.TEXTSPLIT(O122, ";"))), "")</f>
        <v/>
      </c>
      <c r="DO122" t="str">
        <f t="shared" si="2"/>
        <v/>
      </c>
      <c r="EG122" s="33" t="str">
        <f>IF(NOT(ISBLANK($B122)),VLOOKUP($B122,AssetCategories!$A:$E,5,0),"")</f>
        <v/>
      </c>
      <c r="EH122" t="str">
        <f>IF(NOT(ISBLANK($B122)),VLOOKUP($B122,AssetCategories!$A:$E,4,0),"")</f>
        <v/>
      </c>
      <c r="EM122" t="str">
        <f>IF(NOT(ISBLANK($B122)),VLOOKUP($B122,AssetCategories!$A:$E,2,0),"")</f>
        <v/>
      </c>
      <c r="EN122" t="str">
        <f>IF(NOT(ISBLANK($B122)),VLOOKUP($B122,AssetCategories!$A:$E,3,0),"")</f>
        <v/>
      </c>
      <c r="EP122" s="33" t="str">
        <f t="shared" si="3"/>
        <v/>
      </c>
    </row>
    <row r="123" spans="16:146" x14ac:dyDescent="0.25">
      <c r="P123" s="33" t="str" cm="1">
        <f t="array" ref="P123">IFERROR(SUM(VALUE(_xlfn.TEXTSPLIT(O123, ";"))), "")</f>
        <v/>
      </c>
      <c r="DO123" t="str">
        <f t="shared" si="2"/>
        <v/>
      </c>
      <c r="EG123" s="33" t="str">
        <f>IF(NOT(ISBLANK($B123)),VLOOKUP($B123,AssetCategories!$A:$E,5,0),"")</f>
        <v/>
      </c>
      <c r="EH123" t="str">
        <f>IF(NOT(ISBLANK($B123)),VLOOKUP($B123,AssetCategories!$A:$E,4,0),"")</f>
        <v/>
      </c>
      <c r="EM123" t="str">
        <f>IF(NOT(ISBLANK($B123)),VLOOKUP($B123,AssetCategories!$A:$E,2,0),"")</f>
        <v/>
      </c>
      <c r="EN123" t="str">
        <f>IF(NOT(ISBLANK($B123)),VLOOKUP($B123,AssetCategories!$A:$E,3,0),"")</f>
        <v/>
      </c>
      <c r="EP123" s="33" t="str">
        <f t="shared" si="3"/>
        <v/>
      </c>
    </row>
    <row r="124" spans="16:146" x14ac:dyDescent="0.25">
      <c r="P124" s="33" t="str" cm="1">
        <f t="array" ref="P124">IFERROR(SUM(VALUE(_xlfn.TEXTSPLIT(O124, ";"))), "")</f>
        <v/>
      </c>
      <c r="DO124" t="str">
        <f t="shared" si="2"/>
        <v/>
      </c>
      <c r="EG124" s="33" t="str">
        <f>IF(NOT(ISBLANK($B124)),VLOOKUP($B124,AssetCategories!$A:$E,5,0),"")</f>
        <v/>
      </c>
      <c r="EH124" t="str">
        <f>IF(NOT(ISBLANK($B124)),VLOOKUP($B124,AssetCategories!$A:$E,4,0),"")</f>
        <v/>
      </c>
      <c r="EM124" t="str">
        <f>IF(NOT(ISBLANK($B124)),VLOOKUP($B124,AssetCategories!$A:$E,2,0),"")</f>
        <v/>
      </c>
      <c r="EN124" t="str">
        <f>IF(NOT(ISBLANK($B124)),VLOOKUP($B124,AssetCategories!$A:$E,3,0),"")</f>
        <v/>
      </c>
      <c r="EP124" s="33" t="str">
        <f t="shared" si="3"/>
        <v/>
      </c>
    </row>
    <row r="125" spans="16:146" x14ac:dyDescent="0.25">
      <c r="P125" s="33" t="str" cm="1">
        <f t="array" ref="P125">IFERROR(SUM(VALUE(_xlfn.TEXTSPLIT(O125, ";"))), "")</f>
        <v/>
      </c>
      <c r="DO125" t="str">
        <f t="shared" si="2"/>
        <v/>
      </c>
      <c r="EG125" s="33" t="str">
        <f>IF(NOT(ISBLANK($B125)),VLOOKUP($B125,AssetCategories!$A:$E,5,0),"")</f>
        <v/>
      </c>
      <c r="EH125" t="str">
        <f>IF(NOT(ISBLANK($B125)),VLOOKUP($B125,AssetCategories!$A:$E,4,0),"")</f>
        <v/>
      </c>
      <c r="EM125" t="str">
        <f>IF(NOT(ISBLANK($B125)),VLOOKUP($B125,AssetCategories!$A:$E,2,0),"")</f>
        <v/>
      </c>
      <c r="EN125" t="str">
        <f>IF(NOT(ISBLANK($B125)),VLOOKUP($B125,AssetCategories!$A:$E,3,0),"")</f>
        <v/>
      </c>
      <c r="EP125" s="33" t="str">
        <f t="shared" si="3"/>
        <v/>
      </c>
    </row>
    <row r="126" spans="16:146" x14ac:dyDescent="0.25">
      <c r="P126" s="33" t="str" cm="1">
        <f t="array" ref="P126">IFERROR(SUM(VALUE(_xlfn.TEXTSPLIT(O126, ";"))), "")</f>
        <v/>
      </c>
      <c r="DO126" t="str">
        <f t="shared" si="2"/>
        <v/>
      </c>
      <c r="EG126" s="33" t="str">
        <f>IF(NOT(ISBLANK($B126)),VLOOKUP($B126,AssetCategories!$A:$E,5,0),"")</f>
        <v/>
      </c>
      <c r="EH126" t="str">
        <f>IF(NOT(ISBLANK($B126)),VLOOKUP($B126,AssetCategories!$A:$E,4,0),"")</f>
        <v/>
      </c>
      <c r="EM126" t="str">
        <f>IF(NOT(ISBLANK($B126)),VLOOKUP($B126,AssetCategories!$A:$E,2,0),"")</f>
        <v/>
      </c>
      <c r="EN126" t="str">
        <f>IF(NOT(ISBLANK($B126)),VLOOKUP($B126,AssetCategories!$A:$E,3,0),"")</f>
        <v/>
      </c>
      <c r="EP126" s="33" t="str">
        <f t="shared" si="3"/>
        <v/>
      </c>
    </row>
    <row r="127" spans="16:146" x14ac:dyDescent="0.25">
      <c r="P127" s="33" t="str" cm="1">
        <f t="array" ref="P127">IFERROR(SUM(VALUE(_xlfn.TEXTSPLIT(O127, ";"))), "")</f>
        <v/>
      </c>
      <c r="DO127" t="str">
        <f t="shared" si="2"/>
        <v/>
      </c>
      <c r="EG127" s="33" t="str">
        <f>IF(NOT(ISBLANK($B127)),VLOOKUP($B127,AssetCategories!$A:$E,5,0),"")</f>
        <v/>
      </c>
      <c r="EH127" t="str">
        <f>IF(NOT(ISBLANK($B127)),VLOOKUP($B127,AssetCategories!$A:$E,4,0),"")</f>
        <v/>
      </c>
      <c r="EM127" t="str">
        <f>IF(NOT(ISBLANK($B127)),VLOOKUP($B127,AssetCategories!$A:$E,2,0),"")</f>
        <v/>
      </c>
      <c r="EN127" t="str">
        <f>IF(NOT(ISBLANK($B127)),VLOOKUP($B127,AssetCategories!$A:$E,3,0),"")</f>
        <v/>
      </c>
      <c r="EP127" s="33" t="str">
        <f t="shared" si="3"/>
        <v/>
      </c>
    </row>
    <row r="128" spans="16:146" x14ac:dyDescent="0.25">
      <c r="P128" s="33" t="str" cm="1">
        <f t="array" ref="P128">IFERROR(SUM(VALUE(_xlfn.TEXTSPLIT(O128, ";"))), "")</f>
        <v/>
      </c>
      <c r="DO128" t="str">
        <f t="shared" si="2"/>
        <v/>
      </c>
      <c r="EG128" s="33" t="str">
        <f>IF(NOT(ISBLANK($B128)),VLOOKUP($B128,AssetCategories!$A:$E,5,0),"")</f>
        <v/>
      </c>
      <c r="EH128" t="str">
        <f>IF(NOT(ISBLANK($B128)),VLOOKUP($B128,AssetCategories!$A:$E,4,0),"")</f>
        <v/>
      </c>
      <c r="EM128" t="str">
        <f>IF(NOT(ISBLANK($B128)),VLOOKUP($B128,AssetCategories!$A:$E,2,0),"")</f>
        <v/>
      </c>
      <c r="EN128" t="str">
        <f>IF(NOT(ISBLANK($B128)),VLOOKUP($B128,AssetCategories!$A:$E,3,0),"")</f>
        <v/>
      </c>
      <c r="EP128" s="33" t="str">
        <f t="shared" si="3"/>
        <v/>
      </c>
    </row>
    <row r="129" spans="16:146" x14ac:dyDescent="0.25">
      <c r="P129" s="33" t="str" cm="1">
        <f t="array" ref="P129">IFERROR(SUM(VALUE(_xlfn.TEXTSPLIT(O129, ";"))), "")</f>
        <v/>
      </c>
      <c r="DO129" t="str">
        <f t="shared" si="2"/>
        <v/>
      </c>
      <c r="EG129" s="33" t="str">
        <f>IF(NOT(ISBLANK($B129)),VLOOKUP($B129,AssetCategories!$A:$E,5,0),"")</f>
        <v/>
      </c>
      <c r="EH129" t="str">
        <f>IF(NOT(ISBLANK($B129)),VLOOKUP($B129,AssetCategories!$A:$E,4,0),"")</f>
        <v/>
      </c>
      <c r="EM129" t="str">
        <f>IF(NOT(ISBLANK($B129)),VLOOKUP($B129,AssetCategories!$A:$E,2,0),"")</f>
        <v/>
      </c>
      <c r="EN129" t="str">
        <f>IF(NOT(ISBLANK($B129)),VLOOKUP($B129,AssetCategories!$A:$E,3,0),"")</f>
        <v/>
      </c>
      <c r="EP129" s="33" t="str">
        <f t="shared" si="3"/>
        <v/>
      </c>
    </row>
    <row r="130" spans="16:146" x14ac:dyDescent="0.25">
      <c r="P130" s="33" t="str" cm="1">
        <f t="array" ref="P130">IFERROR(SUM(VALUE(_xlfn.TEXTSPLIT(O130, ";"))), "")</f>
        <v/>
      </c>
      <c r="DO130" t="str">
        <f t="shared" si="2"/>
        <v/>
      </c>
      <c r="EG130" s="33" t="str">
        <f>IF(NOT(ISBLANK($B130)),VLOOKUP($B130,AssetCategories!$A:$E,5,0),"")</f>
        <v/>
      </c>
      <c r="EH130" t="str">
        <f>IF(NOT(ISBLANK($B130)),VLOOKUP($B130,AssetCategories!$A:$E,4,0),"")</f>
        <v/>
      </c>
      <c r="EM130" t="str">
        <f>IF(NOT(ISBLANK($B130)),VLOOKUP($B130,AssetCategories!$A:$E,2,0),"")</f>
        <v/>
      </c>
      <c r="EN130" t="str">
        <f>IF(NOT(ISBLANK($B130)),VLOOKUP($B130,AssetCategories!$A:$E,3,0),"")</f>
        <v/>
      </c>
      <c r="EP130" s="33" t="str">
        <f t="shared" si="3"/>
        <v/>
      </c>
    </row>
    <row r="131" spans="16:146" x14ac:dyDescent="0.25">
      <c r="P131" s="33" t="str" cm="1">
        <f t="array" ref="P131">IFERROR(SUM(VALUE(_xlfn.TEXTSPLIT(O131, ";"))), "")</f>
        <v/>
      </c>
      <c r="DO131" t="str">
        <f t="shared" si="2"/>
        <v/>
      </c>
      <c r="EG131" s="33" t="str">
        <f>IF(NOT(ISBLANK($B131)),VLOOKUP($B131,AssetCategories!$A:$E,5,0),"")</f>
        <v/>
      </c>
      <c r="EH131" t="str">
        <f>IF(NOT(ISBLANK($B131)),VLOOKUP($B131,AssetCategories!$A:$E,4,0),"")</f>
        <v/>
      </c>
      <c r="EM131" t="str">
        <f>IF(NOT(ISBLANK($B131)),VLOOKUP($B131,AssetCategories!$A:$E,2,0),"")</f>
        <v/>
      </c>
      <c r="EN131" t="str">
        <f>IF(NOT(ISBLANK($B131)),VLOOKUP($B131,AssetCategories!$A:$E,3,0),"")</f>
        <v/>
      </c>
      <c r="EP131" s="33" t="str">
        <f t="shared" si="3"/>
        <v/>
      </c>
    </row>
    <row r="132" spans="16:146" x14ac:dyDescent="0.25">
      <c r="P132" s="33" t="str" cm="1">
        <f t="array" ref="P132">IFERROR(SUM(VALUE(_xlfn.TEXTSPLIT(O132, ";"))), "")</f>
        <v/>
      </c>
      <c r="DO132" t="str">
        <f t="shared" si="2"/>
        <v/>
      </c>
      <c r="EG132" s="33" t="str">
        <f>IF(NOT(ISBLANK($B132)),VLOOKUP($B132,AssetCategories!$A:$E,5,0),"")</f>
        <v/>
      </c>
      <c r="EH132" t="str">
        <f>IF(NOT(ISBLANK($B132)),VLOOKUP($B132,AssetCategories!$A:$E,4,0),"")</f>
        <v/>
      </c>
      <c r="EM132" t="str">
        <f>IF(NOT(ISBLANK($B132)),VLOOKUP($B132,AssetCategories!$A:$E,2,0),"")</f>
        <v/>
      </c>
      <c r="EN132" t="str">
        <f>IF(NOT(ISBLANK($B132)),VLOOKUP($B132,AssetCategories!$A:$E,3,0),"")</f>
        <v/>
      </c>
      <c r="EP132" s="33" t="str">
        <f t="shared" si="3"/>
        <v/>
      </c>
    </row>
    <row r="133" spans="16:146" x14ac:dyDescent="0.25">
      <c r="P133" s="33" t="str" cm="1">
        <f t="array" ref="P133">IFERROR(SUM(VALUE(_xlfn.TEXTSPLIT(O133, ";"))), "")</f>
        <v/>
      </c>
      <c r="DO133" t="str">
        <f t="shared" ref="DO133:DO196" si="4">IF(SUM(DE133:DN133)=0, "", SUM(DE133:DN133))</f>
        <v/>
      </c>
      <c r="EG133" s="33" t="str">
        <f>IF(NOT(ISBLANK($B133)),VLOOKUP($B133,AssetCategories!$A:$E,5,0),"")</f>
        <v/>
      </c>
      <c r="EH133" t="str">
        <f>IF(NOT(ISBLANK($B133)),VLOOKUP($B133,AssetCategories!$A:$E,4,0),"")</f>
        <v/>
      </c>
      <c r="EM133" t="str">
        <f>IF(NOT(ISBLANK($B133)),VLOOKUP($B133,AssetCategories!$A:$E,2,0),"")</f>
        <v/>
      </c>
      <c r="EN133" t="str">
        <f>IF(NOT(ISBLANK($B133)),VLOOKUP($B133,AssetCategories!$A:$E,3,0),"")</f>
        <v/>
      </c>
      <c r="EP133" s="33" t="str">
        <f t="shared" ref="EP133:EP196" si="5">IFERROR(P133-EO133, "")</f>
        <v/>
      </c>
    </row>
    <row r="134" spans="16:146" x14ac:dyDescent="0.25">
      <c r="P134" s="33" t="str" cm="1">
        <f t="array" ref="P134">IFERROR(SUM(VALUE(_xlfn.TEXTSPLIT(O134, ";"))), "")</f>
        <v/>
      </c>
      <c r="DO134" t="str">
        <f t="shared" si="4"/>
        <v/>
      </c>
      <c r="EG134" s="33" t="str">
        <f>IF(NOT(ISBLANK($B134)),VLOOKUP($B134,AssetCategories!$A:$E,5,0),"")</f>
        <v/>
      </c>
      <c r="EH134" t="str">
        <f>IF(NOT(ISBLANK($B134)),VLOOKUP($B134,AssetCategories!$A:$E,4,0),"")</f>
        <v/>
      </c>
      <c r="EM134" t="str">
        <f>IF(NOT(ISBLANK($B134)),VLOOKUP($B134,AssetCategories!$A:$E,2,0),"")</f>
        <v/>
      </c>
      <c r="EN134" t="str">
        <f>IF(NOT(ISBLANK($B134)),VLOOKUP($B134,AssetCategories!$A:$E,3,0),"")</f>
        <v/>
      </c>
      <c r="EP134" s="33" t="str">
        <f t="shared" si="5"/>
        <v/>
      </c>
    </row>
    <row r="135" spans="16:146" x14ac:dyDescent="0.25">
      <c r="P135" s="33" t="str" cm="1">
        <f t="array" ref="P135">IFERROR(SUM(VALUE(_xlfn.TEXTSPLIT(O135, ";"))), "")</f>
        <v/>
      </c>
      <c r="DO135" t="str">
        <f t="shared" si="4"/>
        <v/>
      </c>
      <c r="EG135" s="33" t="str">
        <f>IF(NOT(ISBLANK($B135)),VLOOKUP($B135,AssetCategories!$A:$E,5,0),"")</f>
        <v/>
      </c>
      <c r="EH135" t="str">
        <f>IF(NOT(ISBLANK($B135)),VLOOKUP($B135,AssetCategories!$A:$E,4,0),"")</f>
        <v/>
      </c>
      <c r="EM135" t="str">
        <f>IF(NOT(ISBLANK($B135)),VLOOKUP($B135,AssetCategories!$A:$E,2,0),"")</f>
        <v/>
      </c>
      <c r="EN135" t="str">
        <f>IF(NOT(ISBLANK($B135)),VLOOKUP($B135,AssetCategories!$A:$E,3,0),"")</f>
        <v/>
      </c>
      <c r="EP135" s="33" t="str">
        <f t="shared" si="5"/>
        <v/>
      </c>
    </row>
    <row r="136" spans="16:146" x14ac:dyDescent="0.25">
      <c r="P136" s="33" t="str" cm="1">
        <f t="array" ref="P136">IFERROR(SUM(VALUE(_xlfn.TEXTSPLIT(O136, ";"))), "")</f>
        <v/>
      </c>
      <c r="DO136" t="str">
        <f t="shared" si="4"/>
        <v/>
      </c>
      <c r="EG136" s="33" t="str">
        <f>IF(NOT(ISBLANK($B136)),VLOOKUP($B136,AssetCategories!$A:$E,5,0),"")</f>
        <v/>
      </c>
      <c r="EH136" t="str">
        <f>IF(NOT(ISBLANK($B136)),VLOOKUP($B136,AssetCategories!$A:$E,4,0),"")</f>
        <v/>
      </c>
      <c r="EM136" t="str">
        <f>IF(NOT(ISBLANK($B136)),VLOOKUP($B136,AssetCategories!$A:$E,2,0),"")</f>
        <v/>
      </c>
      <c r="EN136" t="str">
        <f>IF(NOT(ISBLANK($B136)),VLOOKUP($B136,AssetCategories!$A:$E,3,0),"")</f>
        <v/>
      </c>
      <c r="EP136" s="33" t="str">
        <f t="shared" si="5"/>
        <v/>
      </c>
    </row>
    <row r="137" spans="16:146" x14ac:dyDescent="0.25">
      <c r="P137" s="33" t="str" cm="1">
        <f t="array" ref="P137">IFERROR(SUM(VALUE(_xlfn.TEXTSPLIT(O137, ";"))), "")</f>
        <v/>
      </c>
      <c r="DO137" t="str">
        <f t="shared" si="4"/>
        <v/>
      </c>
      <c r="EG137" s="33" t="str">
        <f>IF(NOT(ISBLANK($B137)),VLOOKUP($B137,AssetCategories!$A:$E,5,0),"")</f>
        <v/>
      </c>
      <c r="EH137" t="str">
        <f>IF(NOT(ISBLANK($B137)),VLOOKUP($B137,AssetCategories!$A:$E,4,0),"")</f>
        <v/>
      </c>
      <c r="EM137" t="str">
        <f>IF(NOT(ISBLANK($B137)),VLOOKUP($B137,AssetCategories!$A:$E,2,0),"")</f>
        <v/>
      </c>
      <c r="EN137" t="str">
        <f>IF(NOT(ISBLANK($B137)),VLOOKUP($B137,AssetCategories!$A:$E,3,0),"")</f>
        <v/>
      </c>
      <c r="EP137" s="33" t="str">
        <f t="shared" si="5"/>
        <v/>
      </c>
    </row>
    <row r="138" spans="16:146" x14ac:dyDescent="0.25">
      <c r="P138" s="33" t="str" cm="1">
        <f t="array" ref="P138">IFERROR(SUM(VALUE(_xlfn.TEXTSPLIT(O138, ";"))), "")</f>
        <v/>
      </c>
      <c r="DO138" t="str">
        <f t="shared" si="4"/>
        <v/>
      </c>
      <c r="EG138" s="33" t="str">
        <f>IF(NOT(ISBLANK($B138)),VLOOKUP($B138,AssetCategories!$A:$E,5,0),"")</f>
        <v/>
      </c>
      <c r="EH138" t="str">
        <f>IF(NOT(ISBLANK($B138)),VLOOKUP($B138,AssetCategories!$A:$E,4,0),"")</f>
        <v/>
      </c>
      <c r="EM138" t="str">
        <f>IF(NOT(ISBLANK($B138)),VLOOKUP($B138,AssetCategories!$A:$E,2,0),"")</f>
        <v/>
      </c>
      <c r="EN138" t="str">
        <f>IF(NOT(ISBLANK($B138)),VLOOKUP($B138,AssetCategories!$A:$E,3,0),"")</f>
        <v/>
      </c>
      <c r="EP138" s="33" t="str">
        <f t="shared" si="5"/>
        <v/>
      </c>
    </row>
    <row r="139" spans="16:146" x14ac:dyDescent="0.25">
      <c r="P139" s="33" t="str" cm="1">
        <f t="array" ref="P139">IFERROR(SUM(VALUE(_xlfn.TEXTSPLIT(O139, ";"))), "")</f>
        <v/>
      </c>
      <c r="DO139" t="str">
        <f t="shared" si="4"/>
        <v/>
      </c>
      <c r="EG139" s="33" t="str">
        <f>IF(NOT(ISBLANK($B139)),VLOOKUP($B139,AssetCategories!$A:$E,5,0),"")</f>
        <v/>
      </c>
      <c r="EH139" t="str">
        <f>IF(NOT(ISBLANK($B139)),VLOOKUP($B139,AssetCategories!$A:$E,4,0),"")</f>
        <v/>
      </c>
      <c r="EM139" t="str">
        <f>IF(NOT(ISBLANK($B139)),VLOOKUP($B139,AssetCategories!$A:$E,2,0),"")</f>
        <v/>
      </c>
      <c r="EN139" t="str">
        <f>IF(NOT(ISBLANK($B139)),VLOOKUP($B139,AssetCategories!$A:$E,3,0),"")</f>
        <v/>
      </c>
      <c r="EP139" s="33" t="str">
        <f t="shared" si="5"/>
        <v/>
      </c>
    </row>
    <row r="140" spans="16:146" x14ac:dyDescent="0.25">
      <c r="P140" s="33" t="str" cm="1">
        <f t="array" ref="P140">IFERROR(SUM(VALUE(_xlfn.TEXTSPLIT(O140, ";"))), "")</f>
        <v/>
      </c>
      <c r="DO140" t="str">
        <f t="shared" si="4"/>
        <v/>
      </c>
      <c r="EG140" s="33" t="str">
        <f>IF(NOT(ISBLANK($B140)),VLOOKUP($B140,AssetCategories!$A:$E,5,0),"")</f>
        <v/>
      </c>
      <c r="EH140" t="str">
        <f>IF(NOT(ISBLANK($B140)),VLOOKUP($B140,AssetCategories!$A:$E,4,0),"")</f>
        <v/>
      </c>
      <c r="EM140" t="str">
        <f>IF(NOT(ISBLANK($B140)),VLOOKUP($B140,AssetCategories!$A:$E,2,0),"")</f>
        <v/>
      </c>
      <c r="EN140" t="str">
        <f>IF(NOT(ISBLANK($B140)),VLOOKUP($B140,AssetCategories!$A:$E,3,0),"")</f>
        <v/>
      </c>
      <c r="EP140" s="33" t="str">
        <f t="shared" si="5"/>
        <v/>
      </c>
    </row>
    <row r="141" spans="16:146" x14ac:dyDescent="0.25">
      <c r="P141" s="33" t="str" cm="1">
        <f t="array" ref="P141">IFERROR(SUM(VALUE(_xlfn.TEXTSPLIT(O141, ";"))), "")</f>
        <v/>
      </c>
      <c r="DO141" t="str">
        <f t="shared" si="4"/>
        <v/>
      </c>
      <c r="EG141" s="33" t="str">
        <f>IF(NOT(ISBLANK($B141)),VLOOKUP($B141,AssetCategories!$A:$E,5,0),"")</f>
        <v/>
      </c>
      <c r="EH141" t="str">
        <f>IF(NOT(ISBLANK($B141)),VLOOKUP($B141,AssetCategories!$A:$E,4,0),"")</f>
        <v/>
      </c>
      <c r="EM141" t="str">
        <f>IF(NOT(ISBLANK($B141)),VLOOKUP($B141,AssetCategories!$A:$E,2,0),"")</f>
        <v/>
      </c>
      <c r="EN141" t="str">
        <f>IF(NOT(ISBLANK($B141)),VLOOKUP($B141,AssetCategories!$A:$E,3,0),"")</f>
        <v/>
      </c>
      <c r="EP141" s="33" t="str">
        <f t="shared" si="5"/>
        <v/>
      </c>
    </row>
    <row r="142" spans="16:146" x14ac:dyDescent="0.25">
      <c r="P142" s="33" t="str" cm="1">
        <f t="array" ref="P142">IFERROR(SUM(VALUE(_xlfn.TEXTSPLIT(O142, ";"))), "")</f>
        <v/>
      </c>
      <c r="DO142" t="str">
        <f t="shared" si="4"/>
        <v/>
      </c>
      <c r="EG142" s="33" t="str">
        <f>IF(NOT(ISBLANK($B142)),VLOOKUP($B142,AssetCategories!$A:$E,5,0),"")</f>
        <v/>
      </c>
      <c r="EH142" t="str">
        <f>IF(NOT(ISBLANK($B142)),VLOOKUP($B142,AssetCategories!$A:$E,4,0),"")</f>
        <v/>
      </c>
      <c r="EM142" t="str">
        <f>IF(NOT(ISBLANK($B142)),VLOOKUP($B142,AssetCategories!$A:$E,2,0),"")</f>
        <v/>
      </c>
      <c r="EN142" t="str">
        <f>IF(NOT(ISBLANK($B142)),VLOOKUP($B142,AssetCategories!$A:$E,3,0),"")</f>
        <v/>
      </c>
      <c r="EP142" s="33" t="str">
        <f t="shared" si="5"/>
        <v/>
      </c>
    </row>
    <row r="143" spans="16:146" x14ac:dyDescent="0.25">
      <c r="P143" s="33" t="str" cm="1">
        <f t="array" ref="P143">IFERROR(SUM(VALUE(_xlfn.TEXTSPLIT(O143, ";"))), "")</f>
        <v/>
      </c>
      <c r="DO143" t="str">
        <f t="shared" si="4"/>
        <v/>
      </c>
      <c r="EG143" s="33" t="str">
        <f>IF(NOT(ISBLANK($B143)),VLOOKUP($B143,AssetCategories!$A:$E,5,0),"")</f>
        <v/>
      </c>
      <c r="EH143" t="str">
        <f>IF(NOT(ISBLANK($B143)),VLOOKUP($B143,AssetCategories!$A:$E,4,0),"")</f>
        <v/>
      </c>
      <c r="EM143" t="str">
        <f>IF(NOT(ISBLANK($B143)),VLOOKUP($B143,AssetCategories!$A:$E,2,0),"")</f>
        <v/>
      </c>
      <c r="EN143" t="str">
        <f>IF(NOT(ISBLANK($B143)),VLOOKUP($B143,AssetCategories!$A:$E,3,0),"")</f>
        <v/>
      </c>
      <c r="EP143" s="33" t="str">
        <f t="shared" si="5"/>
        <v/>
      </c>
    </row>
    <row r="144" spans="16:146" x14ac:dyDescent="0.25">
      <c r="P144" s="33" t="str" cm="1">
        <f t="array" ref="P144">IFERROR(SUM(VALUE(_xlfn.TEXTSPLIT(O144, ";"))), "")</f>
        <v/>
      </c>
      <c r="DO144" t="str">
        <f t="shared" si="4"/>
        <v/>
      </c>
      <c r="EG144" s="33" t="str">
        <f>IF(NOT(ISBLANK($B144)),VLOOKUP($B144,AssetCategories!$A:$E,5,0),"")</f>
        <v/>
      </c>
      <c r="EH144" t="str">
        <f>IF(NOT(ISBLANK($B144)),VLOOKUP($B144,AssetCategories!$A:$E,4,0),"")</f>
        <v/>
      </c>
      <c r="EM144" t="str">
        <f>IF(NOT(ISBLANK($B144)),VLOOKUP($B144,AssetCategories!$A:$E,2,0),"")</f>
        <v/>
      </c>
      <c r="EN144" t="str">
        <f>IF(NOT(ISBLANK($B144)),VLOOKUP($B144,AssetCategories!$A:$E,3,0),"")</f>
        <v/>
      </c>
      <c r="EP144" s="33" t="str">
        <f t="shared" si="5"/>
        <v/>
      </c>
    </row>
    <row r="145" spans="16:146" x14ac:dyDescent="0.25">
      <c r="P145" s="33" t="str" cm="1">
        <f t="array" ref="P145">IFERROR(SUM(VALUE(_xlfn.TEXTSPLIT(O145, ";"))), "")</f>
        <v/>
      </c>
      <c r="DO145" t="str">
        <f t="shared" si="4"/>
        <v/>
      </c>
      <c r="EG145" s="33" t="str">
        <f>IF(NOT(ISBLANK($B145)),VLOOKUP($B145,AssetCategories!$A:$E,5,0),"")</f>
        <v/>
      </c>
      <c r="EH145" t="str">
        <f>IF(NOT(ISBLANK($B145)),VLOOKUP($B145,AssetCategories!$A:$E,4,0),"")</f>
        <v/>
      </c>
      <c r="EM145" t="str">
        <f>IF(NOT(ISBLANK($B145)),VLOOKUP($B145,AssetCategories!$A:$E,2,0),"")</f>
        <v/>
      </c>
      <c r="EN145" t="str">
        <f>IF(NOT(ISBLANK($B145)),VLOOKUP($B145,AssetCategories!$A:$E,3,0),"")</f>
        <v/>
      </c>
      <c r="EP145" s="33" t="str">
        <f t="shared" si="5"/>
        <v/>
      </c>
    </row>
    <row r="146" spans="16:146" x14ac:dyDescent="0.25">
      <c r="P146" s="33" t="str" cm="1">
        <f t="array" ref="P146">IFERROR(SUM(VALUE(_xlfn.TEXTSPLIT(O146, ";"))), "")</f>
        <v/>
      </c>
      <c r="DO146" t="str">
        <f t="shared" si="4"/>
        <v/>
      </c>
      <c r="EG146" s="33" t="str">
        <f>IF(NOT(ISBLANK($B146)),VLOOKUP($B146,AssetCategories!$A:$E,5,0),"")</f>
        <v/>
      </c>
      <c r="EH146" t="str">
        <f>IF(NOT(ISBLANK($B146)),VLOOKUP($B146,AssetCategories!$A:$E,4,0),"")</f>
        <v/>
      </c>
      <c r="EM146" t="str">
        <f>IF(NOT(ISBLANK($B146)),VLOOKUP($B146,AssetCategories!$A:$E,2,0),"")</f>
        <v/>
      </c>
      <c r="EN146" t="str">
        <f>IF(NOT(ISBLANK($B146)),VLOOKUP($B146,AssetCategories!$A:$E,3,0),"")</f>
        <v/>
      </c>
      <c r="EP146" s="33" t="str">
        <f t="shared" si="5"/>
        <v/>
      </c>
    </row>
    <row r="147" spans="16:146" x14ac:dyDescent="0.25">
      <c r="P147" s="33" t="str" cm="1">
        <f t="array" ref="P147">IFERROR(SUM(VALUE(_xlfn.TEXTSPLIT(O147, ";"))), "")</f>
        <v/>
      </c>
      <c r="DO147" t="str">
        <f t="shared" si="4"/>
        <v/>
      </c>
      <c r="EG147" s="33" t="str">
        <f>IF(NOT(ISBLANK($B147)),VLOOKUP($B147,AssetCategories!$A:$E,5,0),"")</f>
        <v/>
      </c>
      <c r="EH147" t="str">
        <f>IF(NOT(ISBLANK($B147)),VLOOKUP($B147,AssetCategories!$A:$E,4,0),"")</f>
        <v/>
      </c>
      <c r="EM147" t="str">
        <f>IF(NOT(ISBLANK($B147)),VLOOKUP($B147,AssetCategories!$A:$E,2,0),"")</f>
        <v/>
      </c>
      <c r="EN147" t="str">
        <f>IF(NOT(ISBLANK($B147)),VLOOKUP($B147,AssetCategories!$A:$E,3,0),"")</f>
        <v/>
      </c>
      <c r="EP147" s="33" t="str">
        <f t="shared" si="5"/>
        <v/>
      </c>
    </row>
    <row r="148" spans="16:146" x14ac:dyDescent="0.25">
      <c r="P148" s="33" t="str" cm="1">
        <f t="array" ref="P148">IFERROR(SUM(VALUE(_xlfn.TEXTSPLIT(O148, ";"))), "")</f>
        <v/>
      </c>
      <c r="DO148" t="str">
        <f t="shared" si="4"/>
        <v/>
      </c>
      <c r="EG148" s="33" t="str">
        <f>IF(NOT(ISBLANK($B148)),VLOOKUP($B148,AssetCategories!$A:$E,5,0),"")</f>
        <v/>
      </c>
      <c r="EH148" t="str">
        <f>IF(NOT(ISBLANK($B148)),VLOOKUP($B148,AssetCategories!$A:$E,4,0),"")</f>
        <v/>
      </c>
      <c r="EM148" t="str">
        <f>IF(NOT(ISBLANK($B148)),VLOOKUP($B148,AssetCategories!$A:$E,2,0),"")</f>
        <v/>
      </c>
      <c r="EN148" t="str">
        <f>IF(NOT(ISBLANK($B148)),VLOOKUP($B148,AssetCategories!$A:$E,3,0),"")</f>
        <v/>
      </c>
      <c r="EP148" s="33" t="str">
        <f t="shared" si="5"/>
        <v/>
      </c>
    </row>
    <row r="149" spans="16:146" x14ac:dyDescent="0.25">
      <c r="P149" s="33" t="str" cm="1">
        <f t="array" ref="P149">IFERROR(SUM(VALUE(_xlfn.TEXTSPLIT(O149, ";"))), "")</f>
        <v/>
      </c>
      <c r="DO149" t="str">
        <f t="shared" si="4"/>
        <v/>
      </c>
      <c r="EG149" s="33" t="str">
        <f>IF(NOT(ISBLANK($B149)),VLOOKUP($B149,AssetCategories!$A:$E,5,0),"")</f>
        <v/>
      </c>
      <c r="EH149" t="str">
        <f>IF(NOT(ISBLANK($B149)),VLOOKUP($B149,AssetCategories!$A:$E,4,0),"")</f>
        <v/>
      </c>
      <c r="EM149" t="str">
        <f>IF(NOT(ISBLANK($B149)),VLOOKUP($B149,AssetCategories!$A:$E,2,0),"")</f>
        <v/>
      </c>
      <c r="EN149" t="str">
        <f>IF(NOT(ISBLANK($B149)),VLOOKUP($B149,AssetCategories!$A:$E,3,0),"")</f>
        <v/>
      </c>
      <c r="EP149" s="33" t="str">
        <f t="shared" si="5"/>
        <v/>
      </c>
    </row>
    <row r="150" spans="16:146" x14ac:dyDescent="0.25">
      <c r="P150" s="33" t="str" cm="1">
        <f t="array" ref="P150">IFERROR(SUM(VALUE(_xlfn.TEXTSPLIT(O150, ";"))), "")</f>
        <v/>
      </c>
      <c r="DO150" t="str">
        <f t="shared" si="4"/>
        <v/>
      </c>
      <c r="EG150" s="33" t="str">
        <f>IF(NOT(ISBLANK($B150)),VLOOKUP($B150,AssetCategories!$A:$E,5,0),"")</f>
        <v/>
      </c>
      <c r="EH150" t="str">
        <f>IF(NOT(ISBLANK($B150)),VLOOKUP($B150,AssetCategories!$A:$E,4,0),"")</f>
        <v/>
      </c>
      <c r="EM150" t="str">
        <f>IF(NOT(ISBLANK($B150)),VLOOKUP($B150,AssetCategories!$A:$E,2,0),"")</f>
        <v/>
      </c>
      <c r="EN150" t="str">
        <f>IF(NOT(ISBLANK($B150)),VLOOKUP($B150,AssetCategories!$A:$E,3,0),"")</f>
        <v/>
      </c>
      <c r="EP150" s="33" t="str">
        <f t="shared" si="5"/>
        <v/>
      </c>
    </row>
    <row r="151" spans="16:146" x14ac:dyDescent="0.25">
      <c r="P151" s="33" t="str" cm="1">
        <f t="array" ref="P151">IFERROR(SUM(VALUE(_xlfn.TEXTSPLIT(O151, ";"))), "")</f>
        <v/>
      </c>
      <c r="DO151" t="str">
        <f t="shared" si="4"/>
        <v/>
      </c>
      <c r="EG151" s="33" t="str">
        <f>IF(NOT(ISBLANK($B151)),VLOOKUP($B151,AssetCategories!$A:$E,5,0),"")</f>
        <v/>
      </c>
      <c r="EH151" t="str">
        <f>IF(NOT(ISBLANK($B151)),VLOOKUP($B151,AssetCategories!$A:$E,4,0),"")</f>
        <v/>
      </c>
      <c r="EM151" t="str">
        <f>IF(NOT(ISBLANK($B151)),VLOOKUP($B151,AssetCategories!$A:$E,2,0),"")</f>
        <v/>
      </c>
      <c r="EN151" t="str">
        <f>IF(NOT(ISBLANK($B151)),VLOOKUP($B151,AssetCategories!$A:$E,3,0),"")</f>
        <v/>
      </c>
      <c r="EP151" s="33" t="str">
        <f t="shared" si="5"/>
        <v/>
      </c>
    </row>
    <row r="152" spans="16:146" x14ac:dyDescent="0.25">
      <c r="P152" s="33" t="str" cm="1">
        <f t="array" ref="P152">IFERROR(SUM(VALUE(_xlfn.TEXTSPLIT(O152, ";"))), "")</f>
        <v/>
      </c>
      <c r="DO152" t="str">
        <f t="shared" si="4"/>
        <v/>
      </c>
      <c r="EG152" s="33" t="str">
        <f>IF(NOT(ISBLANK($B152)),VLOOKUP($B152,AssetCategories!$A:$E,5,0),"")</f>
        <v/>
      </c>
      <c r="EH152" t="str">
        <f>IF(NOT(ISBLANK($B152)),VLOOKUP($B152,AssetCategories!$A:$E,4,0),"")</f>
        <v/>
      </c>
      <c r="EM152" t="str">
        <f>IF(NOT(ISBLANK($B152)),VLOOKUP($B152,AssetCategories!$A:$E,2,0),"")</f>
        <v/>
      </c>
      <c r="EN152" t="str">
        <f>IF(NOT(ISBLANK($B152)),VLOOKUP($B152,AssetCategories!$A:$E,3,0),"")</f>
        <v/>
      </c>
      <c r="EP152" s="33" t="str">
        <f t="shared" si="5"/>
        <v/>
      </c>
    </row>
    <row r="153" spans="16:146" x14ac:dyDescent="0.25">
      <c r="P153" s="33" t="str" cm="1">
        <f t="array" ref="P153">IFERROR(SUM(VALUE(_xlfn.TEXTSPLIT(O153, ";"))), "")</f>
        <v/>
      </c>
      <c r="DO153" t="str">
        <f t="shared" si="4"/>
        <v/>
      </c>
      <c r="EG153" s="33" t="str">
        <f>IF(NOT(ISBLANK($B153)),VLOOKUP($B153,AssetCategories!$A:$E,5,0),"")</f>
        <v/>
      </c>
      <c r="EH153" t="str">
        <f>IF(NOT(ISBLANK($B153)),VLOOKUP($B153,AssetCategories!$A:$E,4,0),"")</f>
        <v/>
      </c>
      <c r="EM153" t="str">
        <f>IF(NOT(ISBLANK($B153)),VLOOKUP($B153,AssetCategories!$A:$E,2,0),"")</f>
        <v/>
      </c>
      <c r="EN153" t="str">
        <f>IF(NOT(ISBLANK($B153)),VLOOKUP($B153,AssetCategories!$A:$E,3,0),"")</f>
        <v/>
      </c>
      <c r="EP153" s="33" t="str">
        <f t="shared" si="5"/>
        <v/>
      </c>
    </row>
    <row r="154" spans="16:146" x14ac:dyDescent="0.25">
      <c r="P154" s="33" t="str" cm="1">
        <f t="array" ref="P154">IFERROR(SUM(VALUE(_xlfn.TEXTSPLIT(O154, ";"))), "")</f>
        <v/>
      </c>
      <c r="DO154" t="str">
        <f t="shared" si="4"/>
        <v/>
      </c>
      <c r="EG154" s="33" t="str">
        <f>IF(NOT(ISBLANK($B154)),VLOOKUP($B154,AssetCategories!$A:$E,5,0),"")</f>
        <v/>
      </c>
      <c r="EH154" t="str">
        <f>IF(NOT(ISBLANK($B154)),VLOOKUP($B154,AssetCategories!$A:$E,4,0),"")</f>
        <v/>
      </c>
      <c r="EM154" t="str">
        <f>IF(NOT(ISBLANK($B154)),VLOOKUP($B154,AssetCategories!$A:$E,2,0),"")</f>
        <v/>
      </c>
      <c r="EN154" t="str">
        <f>IF(NOT(ISBLANK($B154)),VLOOKUP($B154,AssetCategories!$A:$E,3,0),"")</f>
        <v/>
      </c>
      <c r="EP154" s="33" t="str">
        <f t="shared" si="5"/>
        <v/>
      </c>
    </row>
    <row r="155" spans="16:146" x14ac:dyDescent="0.25">
      <c r="P155" s="33" t="str" cm="1">
        <f t="array" ref="P155">IFERROR(SUM(VALUE(_xlfn.TEXTSPLIT(O155, ";"))), "")</f>
        <v/>
      </c>
      <c r="DO155" t="str">
        <f t="shared" si="4"/>
        <v/>
      </c>
      <c r="EG155" s="33" t="str">
        <f>IF(NOT(ISBLANK($B155)),VLOOKUP($B155,AssetCategories!$A:$E,5,0),"")</f>
        <v/>
      </c>
      <c r="EH155" t="str">
        <f>IF(NOT(ISBLANK($B155)),VLOOKUP($B155,AssetCategories!$A:$E,4,0),"")</f>
        <v/>
      </c>
      <c r="EM155" t="str">
        <f>IF(NOT(ISBLANK($B155)),VLOOKUP($B155,AssetCategories!$A:$E,2,0),"")</f>
        <v/>
      </c>
      <c r="EN155" t="str">
        <f>IF(NOT(ISBLANK($B155)),VLOOKUP($B155,AssetCategories!$A:$E,3,0),"")</f>
        <v/>
      </c>
      <c r="EP155" s="33" t="str">
        <f t="shared" si="5"/>
        <v/>
      </c>
    </row>
    <row r="156" spans="16:146" x14ac:dyDescent="0.25">
      <c r="P156" s="33" t="str" cm="1">
        <f t="array" ref="P156">IFERROR(SUM(VALUE(_xlfn.TEXTSPLIT(O156, ";"))), "")</f>
        <v/>
      </c>
      <c r="DO156" t="str">
        <f t="shared" si="4"/>
        <v/>
      </c>
      <c r="EG156" s="33" t="str">
        <f>IF(NOT(ISBLANK($B156)),VLOOKUP($B156,AssetCategories!$A:$E,5,0),"")</f>
        <v/>
      </c>
      <c r="EH156" t="str">
        <f>IF(NOT(ISBLANK($B156)),VLOOKUP($B156,AssetCategories!$A:$E,4,0),"")</f>
        <v/>
      </c>
      <c r="EM156" t="str">
        <f>IF(NOT(ISBLANK($B156)),VLOOKUP($B156,AssetCategories!$A:$E,2,0),"")</f>
        <v/>
      </c>
      <c r="EN156" t="str">
        <f>IF(NOT(ISBLANK($B156)),VLOOKUP($B156,AssetCategories!$A:$E,3,0),"")</f>
        <v/>
      </c>
      <c r="EP156" s="33" t="str">
        <f t="shared" si="5"/>
        <v/>
      </c>
    </row>
    <row r="157" spans="16:146" x14ac:dyDescent="0.25">
      <c r="P157" s="33" t="str" cm="1">
        <f t="array" ref="P157">IFERROR(SUM(VALUE(_xlfn.TEXTSPLIT(O157, ";"))), "")</f>
        <v/>
      </c>
      <c r="DO157" t="str">
        <f t="shared" si="4"/>
        <v/>
      </c>
      <c r="EG157" s="33" t="str">
        <f>IF(NOT(ISBLANK($B157)),VLOOKUP($B157,AssetCategories!$A:$E,5,0),"")</f>
        <v/>
      </c>
      <c r="EH157" t="str">
        <f>IF(NOT(ISBLANK($B157)),VLOOKUP($B157,AssetCategories!$A:$E,4,0),"")</f>
        <v/>
      </c>
      <c r="EM157" t="str">
        <f>IF(NOT(ISBLANK($B157)),VLOOKUP($B157,AssetCategories!$A:$E,2,0),"")</f>
        <v/>
      </c>
      <c r="EN157" t="str">
        <f>IF(NOT(ISBLANK($B157)),VLOOKUP($B157,AssetCategories!$A:$E,3,0),"")</f>
        <v/>
      </c>
      <c r="EP157" s="33" t="str">
        <f t="shared" si="5"/>
        <v/>
      </c>
    </row>
    <row r="158" spans="16:146" x14ac:dyDescent="0.25">
      <c r="P158" s="33" t="str" cm="1">
        <f t="array" ref="P158">IFERROR(SUM(VALUE(_xlfn.TEXTSPLIT(O158, ";"))), "")</f>
        <v/>
      </c>
      <c r="DO158" t="str">
        <f t="shared" si="4"/>
        <v/>
      </c>
      <c r="EG158" s="33" t="str">
        <f>IF(NOT(ISBLANK($B158)),VLOOKUP($B158,AssetCategories!$A:$E,5,0),"")</f>
        <v/>
      </c>
      <c r="EH158" t="str">
        <f>IF(NOT(ISBLANK($B158)),VLOOKUP($B158,AssetCategories!$A:$E,4,0),"")</f>
        <v/>
      </c>
      <c r="EM158" t="str">
        <f>IF(NOT(ISBLANK($B158)),VLOOKUP($B158,AssetCategories!$A:$E,2,0),"")</f>
        <v/>
      </c>
      <c r="EN158" t="str">
        <f>IF(NOT(ISBLANK($B158)),VLOOKUP($B158,AssetCategories!$A:$E,3,0),"")</f>
        <v/>
      </c>
      <c r="EP158" s="33" t="str">
        <f t="shared" si="5"/>
        <v/>
      </c>
    </row>
    <row r="159" spans="16:146" x14ac:dyDescent="0.25">
      <c r="P159" s="33" t="str" cm="1">
        <f t="array" ref="P159">IFERROR(SUM(VALUE(_xlfn.TEXTSPLIT(O159, ";"))), "")</f>
        <v/>
      </c>
      <c r="DO159" t="str">
        <f t="shared" si="4"/>
        <v/>
      </c>
      <c r="EG159" s="33" t="str">
        <f>IF(NOT(ISBLANK($B159)),VLOOKUP($B159,AssetCategories!$A:$E,5,0),"")</f>
        <v/>
      </c>
      <c r="EH159" t="str">
        <f>IF(NOT(ISBLANK($B159)),VLOOKUP($B159,AssetCategories!$A:$E,4,0),"")</f>
        <v/>
      </c>
      <c r="EM159" t="str">
        <f>IF(NOT(ISBLANK($B159)),VLOOKUP($B159,AssetCategories!$A:$E,2,0),"")</f>
        <v/>
      </c>
      <c r="EN159" t="str">
        <f>IF(NOT(ISBLANK($B159)),VLOOKUP($B159,AssetCategories!$A:$E,3,0),"")</f>
        <v/>
      </c>
      <c r="EP159" s="33" t="str">
        <f t="shared" si="5"/>
        <v/>
      </c>
    </row>
    <row r="160" spans="16:146" x14ac:dyDescent="0.25">
      <c r="P160" s="33" t="str" cm="1">
        <f t="array" ref="P160">IFERROR(SUM(VALUE(_xlfn.TEXTSPLIT(O160, ";"))), "")</f>
        <v/>
      </c>
      <c r="DO160" t="str">
        <f t="shared" si="4"/>
        <v/>
      </c>
      <c r="EG160" s="33" t="str">
        <f>IF(NOT(ISBLANK($B160)),VLOOKUP($B160,AssetCategories!$A:$E,5,0),"")</f>
        <v/>
      </c>
      <c r="EH160" t="str">
        <f>IF(NOT(ISBLANK($B160)),VLOOKUP($B160,AssetCategories!$A:$E,4,0),"")</f>
        <v/>
      </c>
      <c r="EM160" t="str">
        <f>IF(NOT(ISBLANK($B160)),VLOOKUP($B160,AssetCategories!$A:$E,2,0),"")</f>
        <v/>
      </c>
      <c r="EN160" t="str">
        <f>IF(NOT(ISBLANK($B160)),VLOOKUP($B160,AssetCategories!$A:$E,3,0),"")</f>
        <v/>
      </c>
      <c r="EP160" s="33" t="str">
        <f t="shared" si="5"/>
        <v/>
      </c>
    </row>
    <row r="161" spans="16:146" x14ac:dyDescent="0.25">
      <c r="P161" s="33" t="str" cm="1">
        <f t="array" ref="P161">IFERROR(SUM(VALUE(_xlfn.TEXTSPLIT(O161, ";"))), "")</f>
        <v/>
      </c>
      <c r="DO161" t="str">
        <f t="shared" si="4"/>
        <v/>
      </c>
      <c r="EG161" s="33" t="str">
        <f>IF(NOT(ISBLANK($B161)),VLOOKUP($B161,AssetCategories!$A:$E,5,0),"")</f>
        <v/>
      </c>
      <c r="EH161" t="str">
        <f>IF(NOT(ISBLANK($B161)),VLOOKUP($B161,AssetCategories!$A:$E,4,0),"")</f>
        <v/>
      </c>
      <c r="EM161" t="str">
        <f>IF(NOT(ISBLANK($B161)),VLOOKUP($B161,AssetCategories!$A:$E,2,0),"")</f>
        <v/>
      </c>
      <c r="EN161" t="str">
        <f>IF(NOT(ISBLANK($B161)),VLOOKUP($B161,AssetCategories!$A:$E,3,0),"")</f>
        <v/>
      </c>
      <c r="EP161" s="33" t="str">
        <f t="shared" si="5"/>
        <v/>
      </c>
    </row>
    <row r="162" spans="16:146" x14ac:dyDescent="0.25">
      <c r="P162" s="33" t="str" cm="1">
        <f t="array" ref="P162">IFERROR(SUM(VALUE(_xlfn.TEXTSPLIT(O162, ";"))), "")</f>
        <v/>
      </c>
      <c r="DO162" t="str">
        <f t="shared" si="4"/>
        <v/>
      </c>
      <c r="EG162" s="33" t="str">
        <f>IF(NOT(ISBLANK($B162)),VLOOKUP($B162,AssetCategories!$A:$E,5,0),"")</f>
        <v/>
      </c>
      <c r="EH162" t="str">
        <f>IF(NOT(ISBLANK($B162)),VLOOKUP($B162,AssetCategories!$A:$E,4,0),"")</f>
        <v/>
      </c>
      <c r="EM162" t="str">
        <f>IF(NOT(ISBLANK($B162)),VLOOKUP($B162,AssetCategories!$A:$E,2,0),"")</f>
        <v/>
      </c>
      <c r="EN162" t="str">
        <f>IF(NOT(ISBLANK($B162)),VLOOKUP($B162,AssetCategories!$A:$E,3,0),"")</f>
        <v/>
      </c>
      <c r="EP162" s="33" t="str">
        <f t="shared" si="5"/>
        <v/>
      </c>
    </row>
    <row r="163" spans="16:146" x14ac:dyDescent="0.25">
      <c r="P163" s="33" t="str" cm="1">
        <f t="array" ref="P163">IFERROR(SUM(VALUE(_xlfn.TEXTSPLIT(O163, ";"))), "")</f>
        <v/>
      </c>
      <c r="DO163" t="str">
        <f t="shared" si="4"/>
        <v/>
      </c>
      <c r="EG163" s="33" t="str">
        <f>IF(NOT(ISBLANK($B163)),VLOOKUP($B163,AssetCategories!$A:$E,5,0),"")</f>
        <v/>
      </c>
      <c r="EH163" t="str">
        <f>IF(NOT(ISBLANK($B163)),VLOOKUP($B163,AssetCategories!$A:$E,4,0),"")</f>
        <v/>
      </c>
      <c r="EM163" t="str">
        <f>IF(NOT(ISBLANK($B163)),VLOOKUP($B163,AssetCategories!$A:$E,2,0),"")</f>
        <v/>
      </c>
      <c r="EN163" t="str">
        <f>IF(NOT(ISBLANK($B163)),VLOOKUP($B163,AssetCategories!$A:$E,3,0),"")</f>
        <v/>
      </c>
      <c r="EP163" s="33" t="str">
        <f t="shared" si="5"/>
        <v/>
      </c>
    </row>
    <row r="164" spans="16:146" x14ac:dyDescent="0.25">
      <c r="P164" s="33" t="str" cm="1">
        <f t="array" ref="P164">IFERROR(SUM(VALUE(_xlfn.TEXTSPLIT(O164, ";"))), "")</f>
        <v/>
      </c>
      <c r="DO164" t="str">
        <f t="shared" si="4"/>
        <v/>
      </c>
      <c r="EG164" s="33" t="str">
        <f>IF(NOT(ISBLANK($B164)),VLOOKUP($B164,AssetCategories!$A:$E,5,0),"")</f>
        <v/>
      </c>
      <c r="EH164" t="str">
        <f>IF(NOT(ISBLANK($B164)),VLOOKUP($B164,AssetCategories!$A:$E,4,0),"")</f>
        <v/>
      </c>
      <c r="EM164" t="str">
        <f>IF(NOT(ISBLANK($B164)),VLOOKUP($B164,AssetCategories!$A:$E,2,0),"")</f>
        <v/>
      </c>
      <c r="EN164" t="str">
        <f>IF(NOT(ISBLANK($B164)),VLOOKUP($B164,AssetCategories!$A:$E,3,0),"")</f>
        <v/>
      </c>
      <c r="EP164" s="33" t="str">
        <f t="shared" si="5"/>
        <v/>
      </c>
    </row>
    <row r="165" spans="16:146" x14ac:dyDescent="0.25">
      <c r="P165" s="33" t="str" cm="1">
        <f t="array" ref="P165">IFERROR(SUM(VALUE(_xlfn.TEXTSPLIT(O165, ";"))), "")</f>
        <v/>
      </c>
      <c r="DO165" t="str">
        <f t="shared" si="4"/>
        <v/>
      </c>
      <c r="EG165" s="33" t="str">
        <f>IF(NOT(ISBLANK($B165)),VLOOKUP($B165,AssetCategories!$A:$E,5,0),"")</f>
        <v/>
      </c>
      <c r="EH165" t="str">
        <f>IF(NOT(ISBLANK($B165)),VLOOKUP($B165,AssetCategories!$A:$E,4,0),"")</f>
        <v/>
      </c>
      <c r="EM165" t="str">
        <f>IF(NOT(ISBLANK($B165)),VLOOKUP($B165,AssetCategories!$A:$E,2,0),"")</f>
        <v/>
      </c>
      <c r="EN165" t="str">
        <f>IF(NOT(ISBLANK($B165)),VLOOKUP($B165,AssetCategories!$A:$E,3,0),"")</f>
        <v/>
      </c>
      <c r="EP165" s="33" t="str">
        <f t="shared" si="5"/>
        <v/>
      </c>
    </row>
    <row r="166" spans="16:146" x14ac:dyDescent="0.25">
      <c r="P166" s="33" t="str" cm="1">
        <f t="array" ref="P166">IFERROR(SUM(VALUE(_xlfn.TEXTSPLIT(O166, ";"))), "")</f>
        <v/>
      </c>
      <c r="DO166" t="str">
        <f t="shared" si="4"/>
        <v/>
      </c>
      <c r="EG166" s="33" t="str">
        <f>IF(NOT(ISBLANK($B166)),VLOOKUP($B166,AssetCategories!$A:$E,5,0),"")</f>
        <v/>
      </c>
      <c r="EH166" t="str">
        <f>IF(NOT(ISBLANK($B166)),VLOOKUP($B166,AssetCategories!$A:$E,4,0),"")</f>
        <v/>
      </c>
      <c r="EM166" t="str">
        <f>IF(NOT(ISBLANK($B166)),VLOOKUP($B166,AssetCategories!$A:$E,2,0),"")</f>
        <v/>
      </c>
      <c r="EN166" t="str">
        <f>IF(NOT(ISBLANK($B166)),VLOOKUP($B166,AssetCategories!$A:$E,3,0),"")</f>
        <v/>
      </c>
      <c r="EP166" s="33" t="str">
        <f t="shared" si="5"/>
        <v/>
      </c>
    </row>
    <row r="167" spans="16:146" x14ac:dyDescent="0.25">
      <c r="P167" s="33" t="str" cm="1">
        <f t="array" ref="P167">IFERROR(SUM(VALUE(_xlfn.TEXTSPLIT(O167, ";"))), "")</f>
        <v/>
      </c>
      <c r="DO167" t="str">
        <f t="shared" si="4"/>
        <v/>
      </c>
      <c r="EG167" s="33" t="str">
        <f>IF(NOT(ISBLANK($B167)),VLOOKUP($B167,AssetCategories!$A:$E,5,0),"")</f>
        <v/>
      </c>
      <c r="EH167" t="str">
        <f>IF(NOT(ISBLANK($B167)),VLOOKUP($B167,AssetCategories!$A:$E,4,0),"")</f>
        <v/>
      </c>
      <c r="EM167" t="str">
        <f>IF(NOT(ISBLANK($B167)),VLOOKUP($B167,AssetCategories!$A:$E,2,0),"")</f>
        <v/>
      </c>
      <c r="EN167" t="str">
        <f>IF(NOT(ISBLANK($B167)),VLOOKUP($B167,AssetCategories!$A:$E,3,0),"")</f>
        <v/>
      </c>
      <c r="EP167" s="33" t="str">
        <f t="shared" si="5"/>
        <v/>
      </c>
    </row>
    <row r="168" spans="16:146" x14ac:dyDescent="0.25">
      <c r="P168" s="33" t="str" cm="1">
        <f t="array" ref="P168">IFERROR(SUM(VALUE(_xlfn.TEXTSPLIT(O168, ";"))), "")</f>
        <v/>
      </c>
      <c r="DO168" t="str">
        <f t="shared" si="4"/>
        <v/>
      </c>
      <c r="EG168" s="33" t="str">
        <f>IF(NOT(ISBLANK($B168)),VLOOKUP($B168,AssetCategories!$A:$E,5,0),"")</f>
        <v/>
      </c>
      <c r="EH168" t="str">
        <f>IF(NOT(ISBLANK($B168)),VLOOKUP($B168,AssetCategories!$A:$E,4,0),"")</f>
        <v/>
      </c>
      <c r="EM168" t="str">
        <f>IF(NOT(ISBLANK($B168)),VLOOKUP($B168,AssetCategories!$A:$E,2,0),"")</f>
        <v/>
      </c>
      <c r="EN168" t="str">
        <f>IF(NOT(ISBLANK($B168)),VLOOKUP($B168,AssetCategories!$A:$E,3,0),"")</f>
        <v/>
      </c>
      <c r="EP168" s="33" t="str">
        <f t="shared" si="5"/>
        <v/>
      </c>
    </row>
    <row r="169" spans="16:146" x14ac:dyDescent="0.25">
      <c r="P169" s="33" t="str" cm="1">
        <f t="array" ref="P169">IFERROR(SUM(VALUE(_xlfn.TEXTSPLIT(O169, ";"))), "")</f>
        <v/>
      </c>
      <c r="DO169" t="str">
        <f t="shared" si="4"/>
        <v/>
      </c>
      <c r="EG169" s="33" t="str">
        <f>IF(NOT(ISBLANK($B169)),VLOOKUP($B169,AssetCategories!$A:$E,5,0),"")</f>
        <v/>
      </c>
      <c r="EH169" t="str">
        <f>IF(NOT(ISBLANK($B169)),VLOOKUP($B169,AssetCategories!$A:$E,4,0),"")</f>
        <v/>
      </c>
      <c r="EM169" t="str">
        <f>IF(NOT(ISBLANK($B169)),VLOOKUP($B169,AssetCategories!$A:$E,2,0),"")</f>
        <v/>
      </c>
      <c r="EN169" t="str">
        <f>IF(NOT(ISBLANK($B169)),VLOOKUP($B169,AssetCategories!$A:$E,3,0),"")</f>
        <v/>
      </c>
      <c r="EP169" s="33" t="str">
        <f t="shared" si="5"/>
        <v/>
      </c>
    </row>
    <row r="170" spans="16:146" x14ac:dyDescent="0.25">
      <c r="P170" s="33" t="str" cm="1">
        <f t="array" ref="P170">IFERROR(SUM(VALUE(_xlfn.TEXTSPLIT(O170, ";"))), "")</f>
        <v/>
      </c>
      <c r="DO170" t="str">
        <f t="shared" si="4"/>
        <v/>
      </c>
      <c r="EG170" s="33" t="str">
        <f>IF(NOT(ISBLANK($B170)),VLOOKUP($B170,AssetCategories!$A:$E,5,0),"")</f>
        <v/>
      </c>
      <c r="EH170" t="str">
        <f>IF(NOT(ISBLANK($B170)),VLOOKUP($B170,AssetCategories!$A:$E,4,0),"")</f>
        <v/>
      </c>
      <c r="EM170" t="str">
        <f>IF(NOT(ISBLANK($B170)),VLOOKUP($B170,AssetCategories!$A:$E,2,0),"")</f>
        <v/>
      </c>
      <c r="EN170" t="str">
        <f>IF(NOT(ISBLANK($B170)),VLOOKUP($B170,AssetCategories!$A:$E,3,0),"")</f>
        <v/>
      </c>
      <c r="EP170" s="33" t="str">
        <f t="shared" si="5"/>
        <v/>
      </c>
    </row>
    <row r="171" spans="16:146" x14ac:dyDescent="0.25">
      <c r="P171" s="33" t="str" cm="1">
        <f t="array" ref="P171">IFERROR(SUM(VALUE(_xlfn.TEXTSPLIT(O171, ";"))), "")</f>
        <v/>
      </c>
      <c r="DO171" t="str">
        <f t="shared" si="4"/>
        <v/>
      </c>
      <c r="EG171" s="33" t="str">
        <f>IF(NOT(ISBLANK($B171)),VLOOKUP($B171,AssetCategories!$A:$E,5,0),"")</f>
        <v/>
      </c>
      <c r="EH171" t="str">
        <f>IF(NOT(ISBLANK($B171)),VLOOKUP($B171,AssetCategories!$A:$E,4,0),"")</f>
        <v/>
      </c>
      <c r="EM171" t="str">
        <f>IF(NOT(ISBLANK($B171)),VLOOKUP($B171,AssetCategories!$A:$E,2,0),"")</f>
        <v/>
      </c>
      <c r="EN171" t="str">
        <f>IF(NOT(ISBLANK($B171)),VLOOKUP($B171,AssetCategories!$A:$E,3,0),"")</f>
        <v/>
      </c>
      <c r="EP171" s="33" t="str">
        <f t="shared" si="5"/>
        <v/>
      </c>
    </row>
    <row r="172" spans="16:146" x14ac:dyDescent="0.25">
      <c r="P172" s="33" t="str" cm="1">
        <f t="array" ref="P172">IFERROR(SUM(VALUE(_xlfn.TEXTSPLIT(O172, ";"))), "")</f>
        <v/>
      </c>
      <c r="DO172" t="str">
        <f t="shared" si="4"/>
        <v/>
      </c>
      <c r="EG172" s="33" t="str">
        <f>IF(NOT(ISBLANK($B172)),VLOOKUP($B172,AssetCategories!$A:$E,5,0),"")</f>
        <v/>
      </c>
      <c r="EH172" t="str">
        <f>IF(NOT(ISBLANK($B172)),VLOOKUP($B172,AssetCategories!$A:$E,4,0),"")</f>
        <v/>
      </c>
      <c r="EM172" t="str">
        <f>IF(NOT(ISBLANK($B172)),VLOOKUP($B172,AssetCategories!$A:$E,2,0),"")</f>
        <v/>
      </c>
      <c r="EN172" t="str">
        <f>IF(NOT(ISBLANK($B172)),VLOOKUP($B172,AssetCategories!$A:$E,3,0),"")</f>
        <v/>
      </c>
      <c r="EP172" s="33" t="str">
        <f t="shared" si="5"/>
        <v/>
      </c>
    </row>
    <row r="173" spans="16:146" x14ac:dyDescent="0.25">
      <c r="P173" s="33" t="str" cm="1">
        <f t="array" ref="P173">IFERROR(SUM(VALUE(_xlfn.TEXTSPLIT(O173, ";"))), "")</f>
        <v/>
      </c>
      <c r="DO173" t="str">
        <f t="shared" si="4"/>
        <v/>
      </c>
      <c r="EG173" s="33" t="str">
        <f>IF(NOT(ISBLANK($B173)),VLOOKUP($B173,AssetCategories!$A:$E,5,0),"")</f>
        <v/>
      </c>
      <c r="EH173" t="str">
        <f>IF(NOT(ISBLANK($B173)),VLOOKUP($B173,AssetCategories!$A:$E,4,0),"")</f>
        <v/>
      </c>
      <c r="EM173" t="str">
        <f>IF(NOT(ISBLANK($B173)),VLOOKUP($B173,AssetCategories!$A:$E,2,0),"")</f>
        <v/>
      </c>
      <c r="EN173" t="str">
        <f>IF(NOT(ISBLANK($B173)),VLOOKUP($B173,AssetCategories!$A:$E,3,0),"")</f>
        <v/>
      </c>
      <c r="EP173" s="33" t="str">
        <f t="shared" si="5"/>
        <v/>
      </c>
    </row>
    <row r="174" spans="16:146" x14ac:dyDescent="0.25">
      <c r="P174" s="33" t="str" cm="1">
        <f t="array" ref="P174">IFERROR(SUM(VALUE(_xlfn.TEXTSPLIT(O174, ";"))), "")</f>
        <v/>
      </c>
      <c r="DO174" t="str">
        <f t="shared" si="4"/>
        <v/>
      </c>
      <c r="EG174" s="33" t="str">
        <f>IF(NOT(ISBLANK($B174)),VLOOKUP($B174,AssetCategories!$A:$E,5,0),"")</f>
        <v/>
      </c>
      <c r="EH174" t="str">
        <f>IF(NOT(ISBLANK($B174)),VLOOKUP($B174,AssetCategories!$A:$E,4,0),"")</f>
        <v/>
      </c>
      <c r="EM174" t="str">
        <f>IF(NOT(ISBLANK($B174)),VLOOKUP($B174,AssetCategories!$A:$E,2,0),"")</f>
        <v/>
      </c>
      <c r="EN174" t="str">
        <f>IF(NOT(ISBLANK($B174)),VLOOKUP($B174,AssetCategories!$A:$E,3,0),"")</f>
        <v/>
      </c>
      <c r="EP174" s="33" t="str">
        <f t="shared" si="5"/>
        <v/>
      </c>
    </row>
    <row r="175" spans="16:146" x14ac:dyDescent="0.25">
      <c r="P175" s="33" t="str" cm="1">
        <f t="array" ref="P175">IFERROR(SUM(VALUE(_xlfn.TEXTSPLIT(O175, ";"))), "")</f>
        <v/>
      </c>
      <c r="DO175" t="str">
        <f t="shared" si="4"/>
        <v/>
      </c>
      <c r="EG175" s="33" t="str">
        <f>IF(NOT(ISBLANK($B175)),VLOOKUP($B175,AssetCategories!$A:$E,5,0),"")</f>
        <v/>
      </c>
      <c r="EH175" t="str">
        <f>IF(NOT(ISBLANK($B175)),VLOOKUP($B175,AssetCategories!$A:$E,4,0),"")</f>
        <v/>
      </c>
      <c r="EM175" t="str">
        <f>IF(NOT(ISBLANK($B175)),VLOOKUP($B175,AssetCategories!$A:$E,2,0),"")</f>
        <v/>
      </c>
      <c r="EN175" t="str">
        <f>IF(NOT(ISBLANK($B175)),VLOOKUP($B175,AssetCategories!$A:$E,3,0),"")</f>
        <v/>
      </c>
      <c r="EP175" s="33" t="str">
        <f t="shared" si="5"/>
        <v/>
      </c>
    </row>
    <row r="176" spans="16:146" x14ac:dyDescent="0.25">
      <c r="P176" s="33" t="str" cm="1">
        <f t="array" ref="P176">IFERROR(SUM(VALUE(_xlfn.TEXTSPLIT(O176, ";"))), "")</f>
        <v/>
      </c>
      <c r="DO176" t="str">
        <f t="shared" si="4"/>
        <v/>
      </c>
      <c r="EG176" s="33" t="str">
        <f>IF(NOT(ISBLANK($B176)),VLOOKUP($B176,AssetCategories!$A:$E,5,0),"")</f>
        <v/>
      </c>
      <c r="EH176" t="str">
        <f>IF(NOT(ISBLANK($B176)),VLOOKUP($B176,AssetCategories!$A:$E,4,0),"")</f>
        <v/>
      </c>
      <c r="EM176" t="str">
        <f>IF(NOT(ISBLANK($B176)),VLOOKUP($B176,AssetCategories!$A:$E,2,0),"")</f>
        <v/>
      </c>
      <c r="EN176" t="str">
        <f>IF(NOT(ISBLANK($B176)),VLOOKUP($B176,AssetCategories!$A:$E,3,0),"")</f>
        <v/>
      </c>
      <c r="EP176" s="33" t="str">
        <f t="shared" si="5"/>
        <v/>
      </c>
    </row>
    <row r="177" spans="16:146" x14ac:dyDescent="0.25">
      <c r="P177" s="33" t="str" cm="1">
        <f t="array" ref="P177">IFERROR(SUM(VALUE(_xlfn.TEXTSPLIT(O177, ";"))), "")</f>
        <v/>
      </c>
      <c r="DO177" t="str">
        <f t="shared" si="4"/>
        <v/>
      </c>
      <c r="EG177" s="33" t="str">
        <f>IF(NOT(ISBLANK($B177)),VLOOKUP($B177,AssetCategories!$A:$E,5,0),"")</f>
        <v/>
      </c>
      <c r="EH177" t="str">
        <f>IF(NOT(ISBLANK($B177)),VLOOKUP($B177,AssetCategories!$A:$E,4,0),"")</f>
        <v/>
      </c>
      <c r="EM177" t="str">
        <f>IF(NOT(ISBLANK($B177)),VLOOKUP($B177,AssetCategories!$A:$E,2,0),"")</f>
        <v/>
      </c>
      <c r="EN177" t="str">
        <f>IF(NOT(ISBLANK($B177)),VLOOKUP($B177,AssetCategories!$A:$E,3,0),"")</f>
        <v/>
      </c>
      <c r="EP177" s="33" t="str">
        <f t="shared" si="5"/>
        <v/>
      </c>
    </row>
    <row r="178" spans="16:146" x14ac:dyDescent="0.25">
      <c r="P178" s="33" t="str" cm="1">
        <f t="array" ref="P178">IFERROR(SUM(VALUE(_xlfn.TEXTSPLIT(O178, ";"))), "")</f>
        <v/>
      </c>
      <c r="DO178" t="str">
        <f t="shared" si="4"/>
        <v/>
      </c>
      <c r="EG178" s="33" t="str">
        <f>IF(NOT(ISBLANK($B178)),VLOOKUP($B178,AssetCategories!$A:$E,5,0),"")</f>
        <v/>
      </c>
      <c r="EH178" t="str">
        <f>IF(NOT(ISBLANK($B178)),VLOOKUP($B178,AssetCategories!$A:$E,4,0),"")</f>
        <v/>
      </c>
      <c r="EM178" t="str">
        <f>IF(NOT(ISBLANK($B178)),VLOOKUP($B178,AssetCategories!$A:$E,2,0),"")</f>
        <v/>
      </c>
      <c r="EN178" t="str">
        <f>IF(NOT(ISBLANK($B178)),VLOOKUP($B178,AssetCategories!$A:$E,3,0),"")</f>
        <v/>
      </c>
      <c r="EP178" s="33" t="str">
        <f t="shared" si="5"/>
        <v/>
      </c>
    </row>
    <row r="179" spans="16:146" x14ac:dyDescent="0.25">
      <c r="P179" s="33" t="str" cm="1">
        <f t="array" ref="P179">IFERROR(SUM(VALUE(_xlfn.TEXTSPLIT(O179, ";"))), "")</f>
        <v/>
      </c>
      <c r="DO179" t="str">
        <f t="shared" si="4"/>
        <v/>
      </c>
      <c r="EG179" s="33" t="str">
        <f>IF(NOT(ISBLANK($B179)),VLOOKUP($B179,AssetCategories!$A:$E,5,0),"")</f>
        <v/>
      </c>
      <c r="EH179" t="str">
        <f>IF(NOT(ISBLANK($B179)),VLOOKUP($B179,AssetCategories!$A:$E,4,0),"")</f>
        <v/>
      </c>
      <c r="EM179" t="str">
        <f>IF(NOT(ISBLANK($B179)),VLOOKUP($B179,AssetCategories!$A:$E,2,0),"")</f>
        <v/>
      </c>
      <c r="EN179" t="str">
        <f>IF(NOT(ISBLANK($B179)),VLOOKUP($B179,AssetCategories!$A:$E,3,0),"")</f>
        <v/>
      </c>
      <c r="EP179" s="33" t="str">
        <f t="shared" si="5"/>
        <v/>
      </c>
    </row>
    <row r="180" spans="16:146" x14ac:dyDescent="0.25">
      <c r="P180" s="33" t="str" cm="1">
        <f t="array" ref="P180">IFERROR(SUM(VALUE(_xlfn.TEXTSPLIT(O180, ";"))), "")</f>
        <v/>
      </c>
      <c r="DO180" t="str">
        <f t="shared" si="4"/>
        <v/>
      </c>
      <c r="EG180" s="33" t="str">
        <f>IF(NOT(ISBLANK($B180)),VLOOKUP($B180,AssetCategories!$A:$E,5,0),"")</f>
        <v/>
      </c>
      <c r="EH180" t="str">
        <f>IF(NOT(ISBLANK($B180)),VLOOKUP($B180,AssetCategories!$A:$E,4,0),"")</f>
        <v/>
      </c>
      <c r="EM180" t="str">
        <f>IF(NOT(ISBLANK($B180)),VLOOKUP($B180,AssetCategories!$A:$E,2,0),"")</f>
        <v/>
      </c>
      <c r="EN180" t="str">
        <f>IF(NOT(ISBLANK($B180)),VLOOKUP($B180,AssetCategories!$A:$E,3,0),"")</f>
        <v/>
      </c>
      <c r="EP180" s="33" t="str">
        <f t="shared" si="5"/>
        <v/>
      </c>
    </row>
    <row r="181" spans="16:146" x14ac:dyDescent="0.25">
      <c r="P181" s="33" t="str" cm="1">
        <f t="array" ref="P181">IFERROR(SUM(VALUE(_xlfn.TEXTSPLIT(O181, ";"))), "")</f>
        <v/>
      </c>
      <c r="DO181" t="str">
        <f t="shared" si="4"/>
        <v/>
      </c>
      <c r="EG181" s="33" t="str">
        <f>IF(NOT(ISBLANK($B181)),VLOOKUP($B181,AssetCategories!$A:$E,5,0),"")</f>
        <v/>
      </c>
      <c r="EH181" t="str">
        <f>IF(NOT(ISBLANK($B181)),VLOOKUP($B181,AssetCategories!$A:$E,4,0),"")</f>
        <v/>
      </c>
      <c r="EM181" t="str">
        <f>IF(NOT(ISBLANK($B181)),VLOOKUP($B181,AssetCategories!$A:$E,2,0),"")</f>
        <v/>
      </c>
      <c r="EN181" t="str">
        <f>IF(NOT(ISBLANK($B181)),VLOOKUP($B181,AssetCategories!$A:$E,3,0),"")</f>
        <v/>
      </c>
      <c r="EP181" s="33" t="str">
        <f t="shared" si="5"/>
        <v/>
      </c>
    </row>
    <row r="182" spans="16:146" x14ac:dyDescent="0.25">
      <c r="P182" s="33" t="str" cm="1">
        <f t="array" ref="P182">IFERROR(SUM(VALUE(_xlfn.TEXTSPLIT(O182, ";"))), "")</f>
        <v/>
      </c>
      <c r="DO182" t="str">
        <f t="shared" si="4"/>
        <v/>
      </c>
      <c r="EG182" s="33" t="str">
        <f>IF(NOT(ISBLANK($B182)),VLOOKUP($B182,AssetCategories!$A:$E,5,0),"")</f>
        <v/>
      </c>
      <c r="EH182" t="str">
        <f>IF(NOT(ISBLANK($B182)),VLOOKUP($B182,AssetCategories!$A:$E,4,0),"")</f>
        <v/>
      </c>
      <c r="EM182" t="str">
        <f>IF(NOT(ISBLANK($B182)),VLOOKUP($B182,AssetCategories!$A:$E,2,0),"")</f>
        <v/>
      </c>
      <c r="EN182" t="str">
        <f>IF(NOT(ISBLANK($B182)),VLOOKUP($B182,AssetCategories!$A:$E,3,0),"")</f>
        <v/>
      </c>
      <c r="EP182" s="33" t="str">
        <f t="shared" si="5"/>
        <v/>
      </c>
    </row>
    <row r="183" spans="16:146" x14ac:dyDescent="0.25">
      <c r="P183" s="33" t="str" cm="1">
        <f t="array" ref="P183">IFERROR(SUM(VALUE(_xlfn.TEXTSPLIT(O183, ";"))), "")</f>
        <v/>
      </c>
      <c r="DO183" t="str">
        <f t="shared" si="4"/>
        <v/>
      </c>
      <c r="EG183" s="33" t="str">
        <f>IF(NOT(ISBLANK($B183)),VLOOKUP($B183,AssetCategories!$A:$E,5,0),"")</f>
        <v/>
      </c>
      <c r="EH183" t="str">
        <f>IF(NOT(ISBLANK($B183)),VLOOKUP($B183,AssetCategories!$A:$E,4,0),"")</f>
        <v/>
      </c>
      <c r="EM183" t="str">
        <f>IF(NOT(ISBLANK($B183)),VLOOKUP($B183,AssetCategories!$A:$E,2,0),"")</f>
        <v/>
      </c>
      <c r="EN183" t="str">
        <f>IF(NOT(ISBLANK($B183)),VLOOKUP($B183,AssetCategories!$A:$E,3,0),"")</f>
        <v/>
      </c>
      <c r="EP183" s="33" t="str">
        <f t="shared" si="5"/>
        <v/>
      </c>
    </row>
    <row r="184" spans="16:146" x14ac:dyDescent="0.25">
      <c r="P184" s="33" t="str" cm="1">
        <f t="array" ref="P184">IFERROR(SUM(VALUE(_xlfn.TEXTSPLIT(O184, ";"))), "")</f>
        <v/>
      </c>
      <c r="DO184" t="str">
        <f t="shared" si="4"/>
        <v/>
      </c>
      <c r="EG184" s="33" t="str">
        <f>IF(NOT(ISBLANK($B184)),VLOOKUP($B184,AssetCategories!$A:$E,5,0),"")</f>
        <v/>
      </c>
      <c r="EH184" t="str">
        <f>IF(NOT(ISBLANK($B184)),VLOOKUP($B184,AssetCategories!$A:$E,4,0),"")</f>
        <v/>
      </c>
      <c r="EM184" t="str">
        <f>IF(NOT(ISBLANK($B184)),VLOOKUP($B184,AssetCategories!$A:$E,2,0),"")</f>
        <v/>
      </c>
      <c r="EN184" t="str">
        <f>IF(NOT(ISBLANK($B184)),VLOOKUP($B184,AssetCategories!$A:$E,3,0),"")</f>
        <v/>
      </c>
      <c r="EP184" s="33" t="str">
        <f t="shared" si="5"/>
        <v/>
      </c>
    </row>
    <row r="185" spans="16:146" x14ac:dyDescent="0.25">
      <c r="P185" s="33" t="str" cm="1">
        <f t="array" ref="P185">IFERROR(SUM(VALUE(_xlfn.TEXTSPLIT(O185, ";"))), "")</f>
        <v/>
      </c>
      <c r="DO185" t="str">
        <f t="shared" si="4"/>
        <v/>
      </c>
      <c r="EG185" s="33" t="str">
        <f>IF(NOT(ISBLANK($B185)),VLOOKUP($B185,AssetCategories!$A:$E,5,0),"")</f>
        <v/>
      </c>
      <c r="EH185" t="str">
        <f>IF(NOT(ISBLANK($B185)),VLOOKUP($B185,AssetCategories!$A:$E,4,0),"")</f>
        <v/>
      </c>
      <c r="EM185" t="str">
        <f>IF(NOT(ISBLANK($B185)),VLOOKUP($B185,AssetCategories!$A:$E,2,0),"")</f>
        <v/>
      </c>
      <c r="EN185" t="str">
        <f>IF(NOT(ISBLANK($B185)),VLOOKUP($B185,AssetCategories!$A:$E,3,0),"")</f>
        <v/>
      </c>
      <c r="EP185" s="33" t="str">
        <f t="shared" si="5"/>
        <v/>
      </c>
    </row>
    <row r="186" spans="16:146" x14ac:dyDescent="0.25">
      <c r="P186" s="33" t="str" cm="1">
        <f t="array" ref="P186">IFERROR(SUM(VALUE(_xlfn.TEXTSPLIT(O186, ";"))), "")</f>
        <v/>
      </c>
      <c r="DO186" t="str">
        <f t="shared" si="4"/>
        <v/>
      </c>
      <c r="EG186" s="33" t="str">
        <f>IF(NOT(ISBLANK($B186)),VLOOKUP($B186,AssetCategories!$A:$E,5,0),"")</f>
        <v/>
      </c>
      <c r="EH186" t="str">
        <f>IF(NOT(ISBLANK($B186)),VLOOKUP($B186,AssetCategories!$A:$E,4,0),"")</f>
        <v/>
      </c>
      <c r="EM186" t="str">
        <f>IF(NOT(ISBLANK($B186)),VLOOKUP($B186,AssetCategories!$A:$E,2,0),"")</f>
        <v/>
      </c>
      <c r="EN186" t="str">
        <f>IF(NOT(ISBLANK($B186)),VLOOKUP($B186,AssetCategories!$A:$E,3,0),"")</f>
        <v/>
      </c>
      <c r="EP186" s="33" t="str">
        <f t="shared" si="5"/>
        <v/>
      </c>
    </row>
    <row r="187" spans="16:146" x14ac:dyDescent="0.25">
      <c r="P187" s="33" t="str" cm="1">
        <f t="array" ref="P187">IFERROR(SUM(VALUE(_xlfn.TEXTSPLIT(O187, ";"))), "")</f>
        <v/>
      </c>
      <c r="DO187" t="str">
        <f t="shared" si="4"/>
        <v/>
      </c>
      <c r="EG187" s="33" t="str">
        <f>IF(NOT(ISBLANK($B187)),VLOOKUP($B187,AssetCategories!$A:$E,5,0),"")</f>
        <v/>
      </c>
      <c r="EH187" t="str">
        <f>IF(NOT(ISBLANK($B187)),VLOOKUP($B187,AssetCategories!$A:$E,4,0),"")</f>
        <v/>
      </c>
      <c r="EM187" t="str">
        <f>IF(NOT(ISBLANK($B187)),VLOOKUP($B187,AssetCategories!$A:$E,2,0),"")</f>
        <v/>
      </c>
      <c r="EN187" t="str">
        <f>IF(NOT(ISBLANK($B187)),VLOOKUP($B187,AssetCategories!$A:$E,3,0),"")</f>
        <v/>
      </c>
      <c r="EP187" s="33" t="str">
        <f t="shared" si="5"/>
        <v/>
      </c>
    </row>
    <row r="188" spans="16:146" x14ac:dyDescent="0.25">
      <c r="P188" s="33" t="str" cm="1">
        <f t="array" ref="P188">IFERROR(SUM(VALUE(_xlfn.TEXTSPLIT(O188, ";"))), "")</f>
        <v/>
      </c>
      <c r="DO188" t="str">
        <f t="shared" si="4"/>
        <v/>
      </c>
      <c r="EG188" s="33" t="str">
        <f>IF(NOT(ISBLANK($B188)),VLOOKUP($B188,AssetCategories!$A:$E,5,0),"")</f>
        <v/>
      </c>
      <c r="EH188" t="str">
        <f>IF(NOT(ISBLANK($B188)),VLOOKUP($B188,AssetCategories!$A:$E,4,0),"")</f>
        <v/>
      </c>
      <c r="EM188" t="str">
        <f>IF(NOT(ISBLANK($B188)),VLOOKUP($B188,AssetCategories!$A:$E,2,0),"")</f>
        <v/>
      </c>
      <c r="EN188" t="str">
        <f>IF(NOT(ISBLANK($B188)),VLOOKUP($B188,AssetCategories!$A:$E,3,0),"")</f>
        <v/>
      </c>
      <c r="EP188" s="33" t="str">
        <f t="shared" si="5"/>
        <v/>
      </c>
    </row>
    <row r="189" spans="16:146" x14ac:dyDescent="0.25">
      <c r="P189" s="33" t="str" cm="1">
        <f t="array" ref="P189">IFERROR(SUM(VALUE(_xlfn.TEXTSPLIT(O189, ";"))), "")</f>
        <v/>
      </c>
      <c r="DO189" t="str">
        <f t="shared" si="4"/>
        <v/>
      </c>
      <c r="EG189" s="33" t="str">
        <f>IF(NOT(ISBLANK($B189)),VLOOKUP($B189,AssetCategories!$A:$E,5,0),"")</f>
        <v/>
      </c>
      <c r="EH189" t="str">
        <f>IF(NOT(ISBLANK($B189)),VLOOKUP($B189,AssetCategories!$A:$E,4,0),"")</f>
        <v/>
      </c>
      <c r="EM189" t="str">
        <f>IF(NOT(ISBLANK($B189)),VLOOKUP($B189,AssetCategories!$A:$E,2,0),"")</f>
        <v/>
      </c>
      <c r="EN189" t="str">
        <f>IF(NOT(ISBLANK($B189)),VLOOKUP($B189,AssetCategories!$A:$E,3,0),"")</f>
        <v/>
      </c>
      <c r="EP189" s="33" t="str">
        <f t="shared" si="5"/>
        <v/>
      </c>
    </row>
    <row r="190" spans="16:146" x14ac:dyDescent="0.25">
      <c r="P190" s="33" t="str" cm="1">
        <f t="array" ref="P190">IFERROR(SUM(VALUE(_xlfn.TEXTSPLIT(O190, ";"))), "")</f>
        <v/>
      </c>
      <c r="DO190" t="str">
        <f t="shared" si="4"/>
        <v/>
      </c>
      <c r="EG190" s="33" t="str">
        <f>IF(NOT(ISBLANK($B190)),VLOOKUP($B190,AssetCategories!$A:$E,5,0),"")</f>
        <v/>
      </c>
      <c r="EH190" t="str">
        <f>IF(NOT(ISBLANK($B190)),VLOOKUP($B190,AssetCategories!$A:$E,4,0),"")</f>
        <v/>
      </c>
      <c r="EM190" t="str">
        <f>IF(NOT(ISBLANK($B190)),VLOOKUP($B190,AssetCategories!$A:$E,2,0),"")</f>
        <v/>
      </c>
      <c r="EN190" t="str">
        <f>IF(NOT(ISBLANK($B190)),VLOOKUP($B190,AssetCategories!$A:$E,3,0),"")</f>
        <v/>
      </c>
      <c r="EP190" s="33" t="str">
        <f t="shared" si="5"/>
        <v/>
      </c>
    </row>
    <row r="191" spans="16:146" x14ac:dyDescent="0.25">
      <c r="P191" s="33" t="str" cm="1">
        <f t="array" ref="P191">IFERROR(SUM(VALUE(_xlfn.TEXTSPLIT(O191, ";"))), "")</f>
        <v/>
      </c>
      <c r="DO191" t="str">
        <f t="shared" si="4"/>
        <v/>
      </c>
      <c r="EG191" s="33" t="str">
        <f>IF(NOT(ISBLANK($B191)),VLOOKUP($B191,AssetCategories!$A:$E,5,0),"")</f>
        <v/>
      </c>
      <c r="EH191" t="str">
        <f>IF(NOT(ISBLANK($B191)),VLOOKUP($B191,AssetCategories!$A:$E,4,0),"")</f>
        <v/>
      </c>
      <c r="EM191" t="str">
        <f>IF(NOT(ISBLANK($B191)),VLOOKUP($B191,AssetCategories!$A:$E,2,0),"")</f>
        <v/>
      </c>
      <c r="EN191" t="str">
        <f>IF(NOT(ISBLANK($B191)),VLOOKUP($B191,AssetCategories!$A:$E,3,0),"")</f>
        <v/>
      </c>
      <c r="EP191" s="33" t="str">
        <f t="shared" si="5"/>
        <v/>
      </c>
    </row>
    <row r="192" spans="16:146" x14ac:dyDescent="0.25">
      <c r="P192" s="33" t="str" cm="1">
        <f t="array" ref="P192">IFERROR(SUM(VALUE(_xlfn.TEXTSPLIT(O192, ";"))), "")</f>
        <v/>
      </c>
      <c r="DO192" t="str">
        <f t="shared" si="4"/>
        <v/>
      </c>
      <c r="EG192" s="33" t="str">
        <f>IF(NOT(ISBLANK($B192)),VLOOKUP($B192,AssetCategories!$A:$E,5,0),"")</f>
        <v/>
      </c>
      <c r="EH192" t="str">
        <f>IF(NOT(ISBLANK($B192)),VLOOKUP($B192,AssetCategories!$A:$E,4,0),"")</f>
        <v/>
      </c>
      <c r="EM192" t="str">
        <f>IF(NOT(ISBLANK($B192)),VLOOKUP($B192,AssetCategories!$A:$E,2,0),"")</f>
        <v/>
      </c>
      <c r="EN192" t="str">
        <f>IF(NOT(ISBLANK($B192)),VLOOKUP($B192,AssetCategories!$A:$E,3,0),"")</f>
        <v/>
      </c>
      <c r="EP192" s="33" t="str">
        <f t="shared" si="5"/>
        <v/>
      </c>
    </row>
    <row r="193" spans="16:146" x14ac:dyDescent="0.25">
      <c r="P193" s="33" t="str" cm="1">
        <f t="array" ref="P193">IFERROR(SUM(VALUE(_xlfn.TEXTSPLIT(O193, ";"))), "")</f>
        <v/>
      </c>
      <c r="DO193" t="str">
        <f t="shared" si="4"/>
        <v/>
      </c>
      <c r="EG193" s="33" t="str">
        <f>IF(NOT(ISBLANK($B193)),VLOOKUP($B193,AssetCategories!$A:$E,5,0),"")</f>
        <v/>
      </c>
      <c r="EH193" t="str">
        <f>IF(NOT(ISBLANK($B193)),VLOOKUP($B193,AssetCategories!$A:$E,4,0),"")</f>
        <v/>
      </c>
      <c r="EM193" t="str">
        <f>IF(NOT(ISBLANK($B193)),VLOOKUP($B193,AssetCategories!$A:$E,2,0),"")</f>
        <v/>
      </c>
      <c r="EN193" t="str">
        <f>IF(NOT(ISBLANK($B193)),VLOOKUP($B193,AssetCategories!$A:$E,3,0),"")</f>
        <v/>
      </c>
      <c r="EP193" s="33" t="str">
        <f t="shared" si="5"/>
        <v/>
      </c>
    </row>
    <row r="194" spans="16:146" x14ac:dyDescent="0.25">
      <c r="P194" s="33" t="str" cm="1">
        <f t="array" ref="P194">IFERROR(SUM(VALUE(_xlfn.TEXTSPLIT(O194, ";"))), "")</f>
        <v/>
      </c>
      <c r="DO194" t="str">
        <f t="shared" si="4"/>
        <v/>
      </c>
      <c r="EG194" s="33" t="str">
        <f>IF(NOT(ISBLANK($B194)),VLOOKUP($B194,AssetCategories!$A:$E,5,0),"")</f>
        <v/>
      </c>
      <c r="EH194" t="str">
        <f>IF(NOT(ISBLANK($B194)),VLOOKUP($B194,AssetCategories!$A:$E,4,0),"")</f>
        <v/>
      </c>
      <c r="EM194" t="str">
        <f>IF(NOT(ISBLANK($B194)),VLOOKUP($B194,AssetCategories!$A:$E,2,0),"")</f>
        <v/>
      </c>
      <c r="EN194" t="str">
        <f>IF(NOT(ISBLANK($B194)),VLOOKUP($B194,AssetCategories!$A:$E,3,0),"")</f>
        <v/>
      </c>
      <c r="EP194" s="33" t="str">
        <f t="shared" si="5"/>
        <v/>
      </c>
    </row>
    <row r="195" spans="16:146" x14ac:dyDescent="0.25">
      <c r="P195" s="33" t="str" cm="1">
        <f t="array" ref="P195">IFERROR(SUM(VALUE(_xlfn.TEXTSPLIT(O195, ";"))), "")</f>
        <v/>
      </c>
      <c r="DO195" t="str">
        <f t="shared" si="4"/>
        <v/>
      </c>
      <c r="EG195" s="33" t="str">
        <f>IF(NOT(ISBLANK($B195)),VLOOKUP($B195,AssetCategories!$A:$E,5,0),"")</f>
        <v/>
      </c>
      <c r="EH195" t="str">
        <f>IF(NOT(ISBLANK($B195)),VLOOKUP($B195,AssetCategories!$A:$E,4,0),"")</f>
        <v/>
      </c>
      <c r="EM195" t="str">
        <f>IF(NOT(ISBLANK($B195)),VLOOKUP($B195,AssetCategories!$A:$E,2,0),"")</f>
        <v/>
      </c>
      <c r="EN195" t="str">
        <f>IF(NOT(ISBLANK($B195)),VLOOKUP($B195,AssetCategories!$A:$E,3,0),"")</f>
        <v/>
      </c>
      <c r="EP195" s="33" t="str">
        <f t="shared" si="5"/>
        <v/>
      </c>
    </row>
    <row r="196" spans="16:146" x14ac:dyDescent="0.25">
      <c r="P196" s="33" t="str" cm="1">
        <f t="array" ref="P196">IFERROR(SUM(VALUE(_xlfn.TEXTSPLIT(O196, ";"))), "")</f>
        <v/>
      </c>
      <c r="DO196" t="str">
        <f t="shared" si="4"/>
        <v/>
      </c>
      <c r="EG196" s="33" t="str">
        <f>IF(NOT(ISBLANK($B196)),VLOOKUP($B196,AssetCategories!$A:$E,5,0),"")</f>
        <v/>
      </c>
      <c r="EH196" t="str">
        <f>IF(NOT(ISBLANK($B196)),VLOOKUP($B196,AssetCategories!$A:$E,4,0),"")</f>
        <v/>
      </c>
      <c r="EM196" t="str">
        <f>IF(NOT(ISBLANK($B196)),VLOOKUP($B196,AssetCategories!$A:$E,2,0),"")</f>
        <v/>
      </c>
      <c r="EN196" t="str">
        <f>IF(NOT(ISBLANK($B196)),VLOOKUP($B196,AssetCategories!$A:$E,3,0),"")</f>
        <v/>
      </c>
      <c r="EP196" s="33" t="str">
        <f t="shared" si="5"/>
        <v/>
      </c>
    </row>
    <row r="197" spans="16:146" x14ac:dyDescent="0.25">
      <c r="P197" s="33" t="str" cm="1">
        <f t="array" ref="P197">IFERROR(SUM(VALUE(_xlfn.TEXTSPLIT(O197, ";"))), "")</f>
        <v/>
      </c>
      <c r="DO197" t="str">
        <f t="shared" ref="DO197:DO260" si="6">IF(SUM(DE197:DN197)=0, "", SUM(DE197:DN197))</f>
        <v/>
      </c>
      <c r="EG197" s="33" t="str">
        <f>IF(NOT(ISBLANK($B197)),VLOOKUP($B197,AssetCategories!$A:$E,5,0),"")</f>
        <v/>
      </c>
      <c r="EH197" t="str">
        <f>IF(NOT(ISBLANK($B197)),VLOOKUP($B197,AssetCategories!$A:$E,4,0),"")</f>
        <v/>
      </c>
      <c r="EM197" t="str">
        <f>IF(NOT(ISBLANK($B197)),VLOOKUP($B197,AssetCategories!$A:$E,2,0),"")</f>
        <v/>
      </c>
      <c r="EN197" t="str">
        <f>IF(NOT(ISBLANK($B197)),VLOOKUP($B197,AssetCategories!$A:$E,3,0),"")</f>
        <v/>
      </c>
      <c r="EP197" s="33" t="str">
        <f t="shared" ref="EP197:EP260" si="7">IFERROR(P197-EO197, "")</f>
        <v/>
      </c>
    </row>
    <row r="198" spans="16:146" x14ac:dyDescent="0.25">
      <c r="P198" s="33" t="str" cm="1">
        <f t="array" ref="P198">IFERROR(SUM(VALUE(_xlfn.TEXTSPLIT(O198, ";"))), "")</f>
        <v/>
      </c>
      <c r="DO198" t="str">
        <f t="shared" si="6"/>
        <v/>
      </c>
      <c r="EG198" s="33" t="str">
        <f>IF(NOT(ISBLANK($B198)),VLOOKUP($B198,AssetCategories!$A:$E,5,0),"")</f>
        <v/>
      </c>
      <c r="EH198" t="str">
        <f>IF(NOT(ISBLANK($B198)),VLOOKUP($B198,AssetCategories!$A:$E,4,0),"")</f>
        <v/>
      </c>
      <c r="EM198" t="str">
        <f>IF(NOT(ISBLANK($B198)),VLOOKUP($B198,AssetCategories!$A:$E,2,0),"")</f>
        <v/>
      </c>
      <c r="EN198" t="str">
        <f>IF(NOT(ISBLANK($B198)),VLOOKUP($B198,AssetCategories!$A:$E,3,0),"")</f>
        <v/>
      </c>
      <c r="EP198" s="33" t="str">
        <f t="shared" si="7"/>
        <v/>
      </c>
    </row>
    <row r="199" spans="16:146" x14ac:dyDescent="0.25">
      <c r="P199" s="33" t="str" cm="1">
        <f t="array" ref="P199">IFERROR(SUM(VALUE(_xlfn.TEXTSPLIT(O199, ";"))), "")</f>
        <v/>
      </c>
      <c r="DO199" t="str">
        <f t="shared" si="6"/>
        <v/>
      </c>
      <c r="EG199" s="33" t="str">
        <f>IF(NOT(ISBLANK($B199)),VLOOKUP($B199,AssetCategories!$A:$E,5,0),"")</f>
        <v/>
      </c>
      <c r="EH199" t="str">
        <f>IF(NOT(ISBLANK($B199)),VLOOKUP($B199,AssetCategories!$A:$E,4,0),"")</f>
        <v/>
      </c>
      <c r="EM199" t="str">
        <f>IF(NOT(ISBLANK($B199)),VLOOKUP($B199,AssetCategories!$A:$E,2,0),"")</f>
        <v/>
      </c>
      <c r="EN199" t="str">
        <f>IF(NOT(ISBLANK($B199)),VLOOKUP($B199,AssetCategories!$A:$E,3,0),"")</f>
        <v/>
      </c>
      <c r="EP199" s="33" t="str">
        <f t="shared" si="7"/>
        <v/>
      </c>
    </row>
    <row r="200" spans="16:146" x14ac:dyDescent="0.25">
      <c r="P200" s="33" t="str" cm="1">
        <f t="array" ref="P200">IFERROR(SUM(VALUE(_xlfn.TEXTSPLIT(O200, ";"))), "")</f>
        <v/>
      </c>
      <c r="DO200" t="str">
        <f t="shared" si="6"/>
        <v/>
      </c>
      <c r="EG200" s="33" t="str">
        <f>IF(NOT(ISBLANK($B200)),VLOOKUP($B200,AssetCategories!$A:$E,5,0),"")</f>
        <v/>
      </c>
      <c r="EH200" t="str">
        <f>IF(NOT(ISBLANK($B200)),VLOOKUP($B200,AssetCategories!$A:$E,4,0),"")</f>
        <v/>
      </c>
      <c r="EM200" t="str">
        <f>IF(NOT(ISBLANK($B200)),VLOOKUP($B200,AssetCategories!$A:$E,2,0),"")</f>
        <v/>
      </c>
      <c r="EN200" t="str">
        <f>IF(NOT(ISBLANK($B200)),VLOOKUP($B200,AssetCategories!$A:$E,3,0),"")</f>
        <v/>
      </c>
      <c r="EP200" s="33" t="str">
        <f t="shared" si="7"/>
        <v/>
      </c>
    </row>
    <row r="201" spans="16:146" x14ac:dyDescent="0.25">
      <c r="P201" s="33" t="str" cm="1">
        <f t="array" ref="P201">IFERROR(SUM(VALUE(_xlfn.TEXTSPLIT(O201, ";"))), "")</f>
        <v/>
      </c>
      <c r="DO201" t="str">
        <f t="shared" si="6"/>
        <v/>
      </c>
      <c r="EG201" s="33" t="str">
        <f>IF(NOT(ISBLANK($B201)),VLOOKUP($B201,AssetCategories!$A:$E,5,0),"")</f>
        <v/>
      </c>
      <c r="EH201" t="str">
        <f>IF(NOT(ISBLANK($B201)),VLOOKUP($B201,AssetCategories!$A:$E,4,0),"")</f>
        <v/>
      </c>
      <c r="EM201" t="str">
        <f>IF(NOT(ISBLANK($B201)),VLOOKUP($B201,AssetCategories!$A:$E,2,0),"")</f>
        <v/>
      </c>
      <c r="EN201" t="str">
        <f>IF(NOT(ISBLANK($B201)),VLOOKUP($B201,AssetCategories!$A:$E,3,0),"")</f>
        <v/>
      </c>
      <c r="EP201" s="33" t="str">
        <f t="shared" si="7"/>
        <v/>
      </c>
    </row>
    <row r="202" spans="16:146" x14ac:dyDescent="0.25">
      <c r="P202" s="33" t="str" cm="1">
        <f t="array" ref="P202">IFERROR(SUM(VALUE(_xlfn.TEXTSPLIT(O202, ";"))), "")</f>
        <v/>
      </c>
      <c r="DO202" t="str">
        <f t="shared" si="6"/>
        <v/>
      </c>
      <c r="EG202" s="33" t="str">
        <f>IF(NOT(ISBLANK($B202)),VLOOKUP($B202,AssetCategories!$A:$E,5,0),"")</f>
        <v/>
      </c>
      <c r="EH202" t="str">
        <f>IF(NOT(ISBLANK($B202)),VLOOKUP($B202,AssetCategories!$A:$E,4,0),"")</f>
        <v/>
      </c>
      <c r="EM202" t="str">
        <f>IF(NOT(ISBLANK($B202)),VLOOKUP($B202,AssetCategories!$A:$E,2,0),"")</f>
        <v/>
      </c>
      <c r="EN202" t="str">
        <f>IF(NOT(ISBLANK($B202)),VLOOKUP($B202,AssetCategories!$A:$E,3,0),"")</f>
        <v/>
      </c>
      <c r="EP202" s="33" t="str">
        <f t="shared" si="7"/>
        <v/>
      </c>
    </row>
    <row r="203" spans="16:146" x14ac:dyDescent="0.25">
      <c r="P203" s="33" t="str" cm="1">
        <f t="array" ref="P203">IFERROR(SUM(VALUE(_xlfn.TEXTSPLIT(O203, ";"))), "")</f>
        <v/>
      </c>
      <c r="DO203" t="str">
        <f t="shared" si="6"/>
        <v/>
      </c>
      <c r="EG203" s="33" t="str">
        <f>IF(NOT(ISBLANK($B203)),VLOOKUP($B203,AssetCategories!$A:$E,5,0),"")</f>
        <v/>
      </c>
      <c r="EH203" t="str">
        <f>IF(NOT(ISBLANK($B203)),VLOOKUP($B203,AssetCategories!$A:$E,4,0),"")</f>
        <v/>
      </c>
      <c r="EM203" t="str">
        <f>IF(NOT(ISBLANK($B203)),VLOOKUP($B203,AssetCategories!$A:$E,2,0),"")</f>
        <v/>
      </c>
      <c r="EN203" t="str">
        <f>IF(NOT(ISBLANK($B203)),VLOOKUP($B203,AssetCategories!$A:$E,3,0),"")</f>
        <v/>
      </c>
      <c r="EP203" s="33" t="str">
        <f t="shared" si="7"/>
        <v/>
      </c>
    </row>
    <row r="204" spans="16:146" x14ac:dyDescent="0.25">
      <c r="P204" s="33" t="str" cm="1">
        <f t="array" ref="P204">IFERROR(SUM(VALUE(_xlfn.TEXTSPLIT(O204, ";"))), "")</f>
        <v/>
      </c>
      <c r="DO204" t="str">
        <f t="shared" si="6"/>
        <v/>
      </c>
      <c r="EG204" s="33" t="str">
        <f>IF(NOT(ISBLANK($B204)),VLOOKUP($B204,AssetCategories!$A:$E,5,0),"")</f>
        <v/>
      </c>
      <c r="EH204" t="str">
        <f>IF(NOT(ISBLANK($B204)),VLOOKUP($B204,AssetCategories!$A:$E,4,0),"")</f>
        <v/>
      </c>
      <c r="EM204" t="str">
        <f>IF(NOT(ISBLANK($B204)),VLOOKUP($B204,AssetCategories!$A:$E,2,0),"")</f>
        <v/>
      </c>
      <c r="EN204" t="str">
        <f>IF(NOT(ISBLANK($B204)),VLOOKUP($B204,AssetCategories!$A:$E,3,0),"")</f>
        <v/>
      </c>
      <c r="EP204" s="33" t="str">
        <f t="shared" si="7"/>
        <v/>
      </c>
    </row>
    <row r="205" spans="16:146" x14ac:dyDescent="0.25">
      <c r="P205" s="33" t="str" cm="1">
        <f t="array" ref="P205">IFERROR(SUM(VALUE(_xlfn.TEXTSPLIT(O205, ";"))), "")</f>
        <v/>
      </c>
      <c r="DO205" t="str">
        <f t="shared" si="6"/>
        <v/>
      </c>
      <c r="EG205" s="33" t="str">
        <f>IF(NOT(ISBLANK($B205)),VLOOKUP($B205,AssetCategories!$A:$E,5,0),"")</f>
        <v/>
      </c>
      <c r="EH205" t="str">
        <f>IF(NOT(ISBLANK($B205)),VLOOKUP($B205,AssetCategories!$A:$E,4,0),"")</f>
        <v/>
      </c>
      <c r="EM205" t="str">
        <f>IF(NOT(ISBLANK($B205)),VLOOKUP($B205,AssetCategories!$A:$E,2,0),"")</f>
        <v/>
      </c>
      <c r="EN205" t="str">
        <f>IF(NOT(ISBLANK($B205)),VLOOKUP($B205,AssetCategories!$A:$E,3,0),"")</f>
        <v/>
      </c>
      <c r="EP205" s="33" t="str">
        <f t="shared" si="7"/>
        <v/>
      </c>
    </row>
    <row r="206" spans="16:146" x14ac:dyDescent="0.25">
      <c r="P206" s="33" t="str" cm="1">
        <f t="array" ref="P206">IFERROR(SUM(VALUE(_xlfn.TEXTSPLIT(O206, ";"))), "")</f>
        <v/>
      </c>
      <c r="DO206" t="str">
        <f t="shared" si="6"/>
        <v/>
      </c>
      <c r="EG206" s="33" t="str">
        <f>IF(NOT(ISBLANK($B206)),VLOOKUP($B206,AssetCategories!$A:$E,5,0),"")</f>
        <v/>
      </c>
      <c r="EH206" t="str">
        <f>IF(NOT(ISBLANK($B206)),VLOOKUP($B206,AssetCategories!$A:$E,4,0),"")</f>
        <v/>
      </c>
      <c r="EM206" t="str">
        <f>IF(NOT(ISBLANK($B206)),VLOOKUP($B206,AssetCategories!$A:$E,2,0),"")</f>
        <v/>
      </c>
      <c r="EN206" t="str">
        <f>IF(NOT(ISBLANK($B206)),VLOOKUP($B206,AssetCategories!$A:$E,3,0),"")</f>
        <v/>
      </c>
      <c r="EP206" s="33" t="str">
        <f t="shared" si="7"/>
        <v/>
      </c>
    </row>
    <row r="207" spans="16:146" x14ac:dyDescent="0.25">
      <c r="P207" s="33" t="str" cm="1">
        <f t="array" ref="P207">IFERROR(SUM(VALUE(_xlfn.TEXTSPLIT(O207, ";"))), "")</f>
        <v/>
      </c>
      <c r="DO207" t="str">
        <f t="shared" si="6"/>
        <v/>
      </c>
      <c r="EG207" s="33" t="str">
        <f>IF(NOT(ISBLANK($B207)),VLOOKUP($B207,AssetCategories!$A:$E,5,0),"")</f>
        <v/>
      </c>
      <c r="EH207" t="str">
        <f>IF(NOT(ISBLANK($B207)),VLOOKUP($B207,AssetCategories!$A:$E,4,0),"")</f>
        <v/>
      </c>
      <c r="EM207" t="str">
        <f>IF(NOT(ISBLANK($B207)),VLOOKUP($B207,AssetCategories!$A:$E,2,0),"")</f>
        <v/>
      </c>
      <c r="EN207" t="str">
        <f>IF(NOT(ISBLANK($B207)),VLOOKUP($B207,AssetCategories!$A:$E,3,0),"")</f>
        <v/>
      </c>
      <c r="EP207" s="33" t="str">
        <f t="shared" si="7"/>
        <v/>
      </c>
    </row>
    <row r="208" spans="16:146" x14ac:dyDescent="0.25">
      <c r="P208" s="33" t="str" cm="1">
        <f t="array" ref="P208">IFERROR(SUM(VALUE(_xlfn.TEXTSPLIT(O208, ";"))), "")</f>
        <v/>
      </c>
      <c r="DO208" t="str">
        <f t="shared" si="6"/>
        <v/>
      </c>
      <c r="EG208" s="33" t="str">
        <f>IF(NOT(ISBLANK($B208)),VLOOKUP($B208,AssetCategories!$A:$E,5,0),"")</f>
        <v/>
      </c>
      <c r="EH208" t="str">
        <f>IF(NOT(ISBLANK($B208)),VLOOKUP($B208,AssetCategories!$A:$E,4,0),"")</f>
        <v/>
      </c>
      <c r="EM208" t="str">
        <f>IF(NOT(ISBLANK($B208)),VLOOKUP($B208,AssetCategories!$A:$E,2,0),"")</f>
        <v/>
      </c>
      <c r="EN208" t="str">
        <f>IF(NOT(ISBLANK($B208)),VLOOKUP($B208,AssetCategories!$A:$E,3,0),"")</f>
        <v/>
      </c>
      <c r="EP208" s="33" t="str">
        <f t="shared" si="7"/>
        <v/>
      </c>
    </row>
    <row r="209" spans="16:146" x14ac:dyDescent="0.25">
      <c r="P209" s="33" t="str" cm="1">
        <f t="array" ref="P209">IFERROR(SUM(VALUE(_xlfn.TEXTSPLIT(O209, ";"))), "")</f>
        <v/>
      </c>
      <c r="DO209" t="str">
        <f t="shared" si="6"/>
        <v/>
      </c>
      <c r="EG209" s="33" t="str">
        <f>IF(NOT(ISBLANK($B209)),VLOOKUP($B209,AssetCategories!$A:$E,5,0),"")</f>
        <v/>
      </c>
      <c r="EH209" t="str">
        <f>IF(NOT(ISBLANK($B209)),VLOOKUP($B209,AssetCategories!$A:$E,4,0),"")</f>
        <v/>
      </c>
      <c r="EM209" t="str">
        <f>IF(NOT(ISBLANK($B209)),VLOOKUP($B209,AssetCategories!$A:$E,2,0),"")</f>
        <v/>
      </c>
      <c r="EN209" t="str">
        <f>IF(NOT(ISBLANK($B209)),VLOOKUP($B209,AssetCategories!$A:$E,3,0),"")</f>
        <v/>
      </c>
      <c r="EP209" s="33" t="str">
        <f t="shared" si="7"/>
        <v/>
      </c>
    </row>
    <row r="210" spans="16:146" x14ac:dyDescent="0.25">
      <c r="P210" s="33" t="str" cm="1">
        <f t="array" ref="P210">IFERROR(SUM(VALUE(_xlfn.TEXTSPLIT(O210, ";"))), "")</f>
        <v/>
      </c>
      <c r="DO210" t="str">
        <f t="shared" si="6"/>
        <v/>
      </c>
      <c r="EG210" s="33" t="str">
        <f>IF(NOT(ISBLANK($B210)),VLOOKUP($B210,AssetCategories!$A:$E,5,0),"")</f>
        <v/>
      </c>
      <c r="EH210" t="str">
        <f>IF(NOT(ISBLANK($B210)),VLOOKUP($B210,AssetCategories!$A:$E,4,0),"")</f>
        <v/>
      </c>
      <c r="EM210" t="str">
        <f>IF(NOT(ISBLANK($B210)),VLOOKUP($B210,AssetCategories!$A:$E,2,0),"")</f>
        <v/>
      </c>
      <c r="EN210" t="str">
        <f>IF(NOT(ISBLANK($B210)),VLOOKUP($B210,AssetCategories!$A:$E,3,0),"")</f>
        <v/>
      </c>
      <c r="EP210" s="33" t="str">
        <f t="shared" si="7"/>
        <v/>
      </c>
    </row>
    <row r="211" spans="16:146" x14ac:dyDescent="0.25">
      <c r="P211" s="33" t="str" cm="1">
        <f t="array" ref="P211">IFERROR(SUM(VALUE(_xlfn.TEXTSPLIT(O211, ";"))), "")</f>
        <v/>
      </c>
      <c r="DO211" t="str">
        <f t="shared" si="6"/>
        <v/>
      </c>
      <c r="EG211" s="33" t="str">
        <f>IF(NOT(ISBLANK($B211)),VLOOKUP($B211,AssetCategories!$A:$E,5,0),"")</f>
        <v/>
      </c>
      <c r="EH211" t="str">
        <f>IF(NOT(ISBLANK($B211)),VLOOKUP($B211,AssetCategories!$A:$E,4,0),"")</f>
        <v/>
      </c>
      <c r="EM211" t="str">
        <f>IF(NOT(ISBLANK($B211)),VLOOKUP($B211,AssetCategories!$A:$E,2,0),"")</f>
        <v/>
      </c>
      <c r="EN211" t="str">
        <f>IF(NOT(ISBLANK($B211)),VLOOKUP($B211,AssetCategories!$A:$E,3,0),"")</f>
        <v/>
      </c>
      <c r="EP211" s="33" t="str">
        <f t="shared" si="7"/>
        <v/>
      </c>
    </row>
    <row r="212" spans="16:146" x14ac:dyDescent="0.25">
      <c r="P212" s="33" t="str" cm="1">
        <f t="array" ref="P212">IFERROR(SUM(VALUE(_xlfn.TEXTSPLIT(O212, ";"))), "")</f>
        <v/>
      </c>
      <c r="DO212" t="str">
        <f t="shared" si="6"/>
        <v/>
      </c>
      <c r="EG212" s="33" t="str">
        <f>IF(NOT(ISBLANK($B212)),VLOOKUP($B212,AssetCategories!$A:$E,5,0),"")</f>
        <v/>
      </c>
      <c r="EH212" t="str">
        <f>IF(NOT(ISBLANK($B212)),VLOOKUP($B212,AssetCategories!$A:$E,4,0),"")</f>
        <v/>
      </c>
      <c r="EM212" t="str">
        <f>IF(NOT(ISBLANK($B212)),VLOOKUP($B212,AssetCategories!$A:$E,2,0),"")</f>
        <v/>
      </c>
      <c r="EN212" t="str">
        <f>IF(NOT(ISBLANK($B212)),VLOOKUP($B212,AssetCategories!$A:$E,3,0),"")</f>
        <v/>
      </c>
      <c r="EP212" s="33" t="str">
        <f t="shared" si="7"/>
        <v/>
      </c>
    </row>
    <row r="213" spans="16:146" x14ac:dyDescent="0.25">
      <c r="P213" s="33" t="str" cm="1">
        <f t="array" ref="P213">IFERROR(SUM(VALUE(_xlfn.TEXTSPLIT(O213, ";"))), "")</f>
        <v/>
      </c>
      <c r="DO213" t="str">
        <f t="shared" si="6"/>
        <v/>
      </c>
      <c r="EG213" s="33" t="str">
        <f>IF(NOT(ISBLANK($B213)),VLOOKUP($B213,AssetCategories!$A:$E,5,0),"")</f>
        <v/>
      </c>
      <c r="EH213" t="str">
        <f>IF(NOT(ISBLANK($B213)),VLOOKUP($B213,AssetCategories!$A:$E,4,0),"")</f>
        <v/>
      </c>
      <c r="EM213" t="str">
        <f>IF(NOT(ISBLANK($B213)),VLOOKUP($B213,AssetCategories!$A:$E,2,0),"")</f>
        <v/>
      </c>
      <c r="EN213" t="str">
        <f>IF(NOT(ISBLANK($B213)),VLOOKUP($B213,AssetCategories!$A:$E,3,0),"")</f>
        <v/>
      </c>
      <c r="EP213" s="33" t="str">
        <f t="shared" si="7"/>
        <v/>
      </c>
    </row>
    <row r="214" spans="16:146" x14ac:dyDescent="0.25">
      <c r="P214" s="33" t="str" cm="1">
        <f t="array" ref="P214">IFERROR(SUM(VALUE(_xlfn.TEXTSPLIT(O214, ";"))), "")</f>
        <v/>
      </c>
      <c r="DO214" t="str">
        <f t="shared" si="6"/>
        <v/>
      </c>
      <c r="EG214" s="33" t="str">
        <f>IF(NOT(ISBLANK($B214)),VLOOKUP($B214,AssetCategories!$A:$E,5,0),"")</f>
        <v/>
      </c>
      <c r="EH214" t="str">
        <f>IF(NOT(ISBLANK($B214)),VLOOKUP($B214,AssetCategories!$A:$E,4,0),"")</f>
        <v/>
      </c>
      <c r="EM214" t="str">
        <f>IF(NOT(ISBLANK($B214)),VLOOKUP($B214,AssetCategories!$A:$E,2,0),"")</f>
        <v/>
      </c>
      <c r="EN214" t="str">
        <f>IF(NOT(ISBLANK($B214)),VLOOKUP($B214,AssetCategories!$A:$E,3,0),"")</f>
        <v/>
      </c>
      <c r="EP214" s="33" t="str">
        <f t="shared" si="7"/>
        <v/>
      </c>
    </row>
    <row r="215" spans="16:146" x14ac:dyDescent="0.25">
      <c r="P215" s="33" t="str" cm="1">
        <f t="array" ref="P215">IFERROR(SUM(VALUE(_xlfn.TEXTSPLIT(O215, ";"))), "")</f>
        <v/>
      </c>
      <c r="DO215" t="str">
        <f t="shared" si="6"/>
        <v/>
      </c>
      <c r="EG215" s="33" t="str">
        <f>IF(NOT(ISBLANK($B215)),VLOOKUP($B215,AssetCategories!$A:$E,5,0),"")</f>
        <v/>
      </c>
      <c r="EH215" t="str">
        <f>IF(NOT(ISBLANK($B215)),VLOOKUP($B215,AssetCategories!$A:$E,4,0),"")</f>
        <v/>
      </c>
      <c r="EM215" t="str">
        <f>IF(NOT(ISBLANK($B215)),VLOOKUP($B215,AssetCategories!$A:$E,2,0),"")</f>
        <v/>
      </c>
      <c r="EN215" t="str">
        <f>IF(NOT(ISBLANK($B215)),VLOOKUP($B215,AssetCategories!$A:$E,3,0),"")</f>
        <v/>
      </c>
      <c r="EP215" s="33" t="str">
        <f t="shared" si="7"/>
        <v/>
      </c>
    </row>
    <row r="216" spans="16:146" x14ac:dyDescent="0.25">
      <c r="P216" s="33" t="str" cm="1">
        <f t="array" ref="P216">IFERROR(SUM(VALUE(_xlfn.TEXTSPLIT(O216, ";"))), "")</f>
        <v/>
      </c>
      <c r="DO216" t="str">
        <f t="shared" si="6"/>
        <v/>
      </c>
      <c r="EG216" s="33" t="str">
        <f>IF(NOT(ISBLANK($B216)),VLOOKUP($B216,AssetCategories!$A:$E,5,0),"")</f>
        <v/>
      </c>
      <c r="EH216" t="str">
        <f>IF(NOT(ISBLANK($B216)),VLOOKUP($B216,AssetCategories!$A:$E,4,0),"")</f>
        <v/>
      </c>
      <c r="EM216" t="str">
        <f>IF(NOT(ISBLANK($B216)),VLOOKUP($B216,AssetCategories!$A:$E,2,0),"")</f>
        <v/>
      </c>
      <c r="EN216" t="str">
        <f>IF(NOT(ISBLANK($B216)),VLOOKUP($B216,AssetCategories!$A:$E,3,0),"")</f>
        <v/>
      </c>
      <c r="EP216" s="33" t="str">
        <f t="shared" si="7"/>
        <v/>
      </c>
    </row>
    <row r="217" spans="16:146" x14ac:dyDescent="0.25">
      <c r="P217" s="33" t="str" cm="1">
        <f t="array" ref="P217">IFERROR(SUM(VALUE(_xlfn.TEXTSPLIT(O217, ";"))), "")</f>
        <v/>
      </c>
      <c r="DO217" t="str">
        <f t="shared" si="6"/>
        <v/>
      </c>
      <c r="EG217" s="33" t="str">
        <f>IF(NOT(ISBLANK($B217)),VLOOKUP($B217,AssetCategories!$A:$E,5,0),"")</f>
        <v/>
      </c>
      <c r="EH217" t="str">
        <f>IF(NOT(ISBLANK($B217)),VLOOKUP($B217,AssetCategories!$A:$E,4,0),"")</f>
        <v/>
      </c>
      <c r="EM217" t="str">
        <f>IF(NOT(ISBLANK($B217)),VLOOKUP($B217,AssetCategories!$A:$E,2,0),"")</f>
        <v/>
      </c>
      <c r="EN217" t="str">
        <f>IF(NOT(ISBLANK($B217)),VLOOKUP($B217,AssetCategories!$A:$E,3,0),"")</f>
        <v/>
      </c>
      <c r="EP217" s="33" t="str">
        <f t="shared" si="7"/>
        <v/>
      </c>
    </row>
    <row r="218" spans="16:146" x14ac:dyDescent="0.25">
      <c r="P218" s="33" t="str" cm="1">
        <f t="array" ref="P218">IFERROR(SUM(VALUE(_xlfn.TEXTSPLIT(O218, ";"))), "")</f>
        <v/>
      </c>
      <c r="DO218" t="str">
        <f t="shared" si="6"/>
        <v/>
      </c>
      <c r="EG218" s="33" t="str">
        <f>IF(NOT(ISBLANK($B218)),VLOOKUP($B218,AssetCategories!$A:$E,5,0),"")</f>
        <v/>
      </c>
      <c r="EH218" t="str">
        <f>IF(NOT(ISBLANK($B218)),VLOOKUP($B218,AssetCategories!$A:$E,4,0),"")</f>
        <v/>
      </c>
      <c r="EM218" t="str">
        <f>IF(NOT(ISBLANK($B218)),VLOOKUP($B218,AssetCategories!$A:$E,2,0),"")</f>
        <v/>
      </c>
      <c r="EN218" t="str">
        <f>IF(NOT(ISBLANK($B218)),VLOOKUP($B218,AssetCategories!$A:$E,3,0),"")</f>
        <v/>
      </c>
      <c r="EP218" s="33" t="str">
        <f t="shared" si="7"/>
        <v/>
      </c>
    </row>
    <row r="219" spans="16:146" x14ac:dyDescent="0.25">
      <c r="P219" s="33" t="str" cm="1">
        <f t="array" ref="P219">IFERROR(SUM(VALUE(_xlfn.TEXTSPLIT(O219, ";"))), "")</f>
        <v/>
      </c>
      <c r="DO219" t="str">
        <f t="shared" si="6"/>
        <v/>
      </c>
      <c r="EG219" s="33" t="str">
        <f>IF(NOT(ISBLANK($B219)),VLOOKUP($B219,AssetCategories!$A:$E,5,0),"")</f>
        <v/>
      </c>
      <c r="EH219" t="str">
        <f>IF(NOT(ISBLANK($B219)),VLOOKUP($B219,AssetCategories!$A:$E,4,0),"")</f>
        <v/>
      </c>
      <c r="EM219" t="str">
        <f>IF(NOT(ISBLANK($B219)),VLOOKUP($B219,AssetCategories!$A:$E,2,0),"")</f>
        <v/>
      </c>
      <c r="EN219" t="str">
        <f>IF(NOT(ISBLANK($B219)),VLOOKUP($B219,AssetCategories!$A:$E,3,0),"")</f>
        <v/>
      </c>
      <c r="EP219" s="33" t="str">
        <f t="shared" si="7"/>
        <v/>
      </c>
    </row>
    <row r="220" spans="16:146" x14ac:dyDescent="0.25">
      <c r="P220" s="33" t="str" cm="1">
        <f t="array" ref="P220">IFERROR(SUM(VALUE(_xlfn.TEXTSPLIT(O220, ";"))), "")</f>
        <v/>
      </c>
      <c r="DO220" t="str">
        <f t="shared" si="6"/>
        <v/>
      </c>
      <c r="EG220" s="33" t="str">
        <f>IF(NOT(ISBLANK($B220)),VLOOKUP($B220,AssetCategories!$A:$E,5,0),"")</f>
        <v/>
      </c>
      <c r="EH220" t="str">
        <f>IF(NOT(ISBLANK($B220)),VLOOKUP($B220,AssetCategories!$A:$E,4,0),"")</f>
        <v/>
      </c>
      <c r="EM220" t="str">
        <f>IF(NOT(ISBLANK($B220)),VLOOKUP($B220,AssetCategories!$A:$E,2,0),"")</f>
        <v/>
      </c>
      <c r="EN220" t="str">
        <f>IF(NOT(ISBLANK($B220)),VLOOKUP($B220,AssetCategories!$A:$E,3,0),"")</f>
        <v/>
      </c>
      <c r="EP220" s="33" t="str">
        <f t="shared" si="7"/>
        <v/>
      </c>
    </row>
    <row r="221" spans="16:146" x14ac:dyDescent="0.25">
      <c r="P221" s="33" t="str" cm="1">
        <f t="array" ref="P221">IFERROR(SUM(VALUE(_xlfn.TEXTSPLIT(O221, ";"))), "")</f>
        <v/>
      </c>
      <c r="DO221" t="str">
        <f t="shared" si="6"/>
        <v/>
      </c>
      <c r="EG221" s="33" t="str">
        <f>IF(NOT(ISBLANK($B221)),VLOOKUP($B221,AssetCategories!$A:$E,5,0),"")</f>
        <v/>
      </c>
      <c r="EH221" t="str">
        <f>IF(NOT(ISBLANK($B221)),VLOOKUP($B221,AssetCategories!$A:$E,4,0),"")</f>
        <v/>
      </c>
      <c r="EM221" t="str">
        <f>IF(NOT(ISBLANK($B221)),VLOOKUP($B221,AssetCategories!$A:$E,2,0),"")</f>
        <v/>
      </c>
      <c r="EN221" t="str">
        <f>IF(NOT(ISBLANK($B221)),VLOOKUP($B221,AssetCategories!$A:$E,3,0),"")</f>
        <v/>
      </c>
      <c r="EP221" s="33" t="str">
        <f t="shared" si="7"/>
        <v/>
      </c>
    </row>
    <row r="222" spans="16:146" x14ac:dyDescent="0.25">
      <c r="P222" s="33" t="str" cm="1">
        <f t="array" ref="P222">IFERROR(SUM(VALUE(_xlfn.TEXTSPLIT(O222, ";"))), "")</f>
        <v/>
      </c>
      <c r="DO222" t="str">
        <f t="shared" si="6"/>
        <v/>
      </c>
      <c r="EG222" s="33" t="str">
        <f>IF(NOT(ISBLANK($B222)),VLOOKUP($B222,AssetCategories!$A:$E,5,0),"")</f>
        <v/>
      </c>
      <c r="EH222" t="str">
        <f>IF(NOT(ISBLANK($B222)),VLOOKUP($B222,AssetCategories!$A:$E,4,0),"")</f>
        <v/>
      </c>
      <c r="EM222" t="str">
        <f>IF(NOT(ISBLANK($B222)),VLOOKUP($B222,AssetCategories!$A:$E,2,0),"")</f>
        <v/>
      </c>
      <c r="EN222" t="str">
        <f>IF(NOT(ISBLANK($B222)),VLOOKUP($B222,AssetCategories!$A:$E,3,0),"")</f>
        <v/>
      </c>
      <c r="EP222" s="33" t="str">
        <f t="shared" si="7"/>
        <v/>
      </c>
    </row>
    <row r="223" spans="16:146" x14ac:dyDescent="0.25">
      <c r="P223" s="33" t="str" cm="1">
        <f t="array" ref="P223">IFERROR(SUM(VALUE(_xlfn.TEXTSPLIT(O223, ";"))), "")</f>
        <v/>
      </c>
      <c r="DO223" t="str">
        <f t="shared" si="6"/>
        <v/>
      </c>
      <c r="EG223" s="33" t="str">
        <f>IF(NOT(ISBLANK($B223)),VLOOKUP($B223,AssetCategories!$A:$E,5,0),"")</f>
        <v/>
      </c>
      <c r="EH223" t="str">
        <f>IF(NOT(ISBLANK($B223)),VLOOKUP($B223,AssetCategories!$A:$E,4,0),"")</f>
        <v/>
      </c>
      <c r="EM223" t="str">
        <f>IF(NOT(ISBLANK($B223)),VLOOKUP($B223,AssetCategories!$A:$E,2,0),"")</f>
        <v/>
      </c>
      <c r="EN223" t="str">
        <f>IF(NOT(ISBLANK($B223)),VLOOKUP($B223,AssetCategories!$A:$E,3,0),"")</f>
        <v/>
      </c>
      <c r="EP223" s="33" t="str">
        <f t="shared" si="7"/>
        <v/>
      </c>
    </row>
    <row r="224" spans="16:146" x14ac:dyDescent="0.25">
      <c r="P224" s="33" t="str" cm="1">
        <f t="array" ref="P224">IFERROR(SUM(VALUE(_xlfn.TEXTSPLIT(O224, ";"))), "")</f>
        <v/>
      </c>
      <c r="DO224" t="str">
        <f t="shared" si="6"/>
        <v/>
      </c>
      <c r="EG224" s="33" t="str">
        <f>IF(NOT(ISBLANK($B224)),VLOOKUP($B224,AssetCategories!$A:$E,5,0),"")</f>
        <v/>
      </c>
      <c r="EH224" t="str">
        <f>IF(NOT(ISBLANK($B224)),VLOOKUP($B224,AssetCategories!$A:$E,4,0),"")</f>
        <v/>
      </c>
      <c r="EM224" t="str">
        <f>IF(NOT(ISBLANK($B224)),VLOOKUP($B224,AssetCategories!$A:$E,2,0),"")</f>
        <v/>
      </c>
      <c r="EN224" t="str">
        <f>IF(NOT(ISBLANK($B224)),VLOOKUP($B224,AssetCategories!$A:$E,3,0),"")</f>
        <v/>
      </c>
      <c r="EP224" s="33" t="str">
        <f t="shared" si="7"/>
        <v/>
      </c>
    </row>
    <row r="225" spans="16:146" x14ac:dyDescent="0.25">
      <c r="P225" s="33" t="str" cm="1">
        <f t="array" ref="P225">IFERROR(SUM(VALUE(_xlfn.TEXTSPLIT(O225, ";"))), "")</f>
        <v/>
      </c>
      <c r="DO225" t="str">
        <f t="shared" si="6"/>
        <v/>
      </c>
      <c r="EG225" s="33" t="str">
        <f>IF(NOT(ISBLANK($B225)),VLOOKUP($B225,AssetCategories!$A:$E,5,0),"")</f>
        <v/>
      </c>
      <c r="EH225" t="str">
        <f>IF(NOT(ISBLANK($B225)),VLOOKUP($B225,AssetCategories!$A:$E,4,0),"")</f>
        <v/>
      </c>
      <c r="EM225" t="str">
        <f>IF(NOT(ISBLANK($B225)),VLOOKUP($B225,AssetCategories!$A:$E,2,0),"")</f>
        <v/>
      </c>
      <c r="EN225" t="str">
        <f>IF(NOT(ISBLANK($B225)),VLOOKUP($B225,AssetCategories!$A:$E,3,0),"")</f>
        <v/>
      </c>
      <c r="EP225" s="33" t="str">
        <f t="shared" si="7"/>
        <v/>
      </c>
    </row>
    <row r="226" spans="16:146" x14ac:dyDescent="0.25">
      <c r="P226" s="33" t="str" cm="1">
        <f t="array" ref="P226">IFERROR(SUM(VALUE(_xlfn.TEXTSPLIT(O226, ";"))), "")</f>
        <v/>
      </c>
      <c r="DO226" t="str">
        <f t="shared" si="6"/>
        <v/>
      </c>
      <c r="EG226" s="33" t="str">
        <f>IF(NOT(ISBLANK($B226)),VLOOKUP($B226,AssetCategories!$A:$E,5,0),"")</f>
        <v/>
      </c>
      <c r="EH226" t="str">
        <f>IF(NOT(ISBLANK($B226)),VLOOKUP($B226,AssetCategories!$A:$E,4,0),"")</f>
        <v/>
      </c>
      <c r="EM226" t="str">
        <f>IF(NOT(ISBLANK($B226)),VLOOKUP($B226,AssetCategories!$A:$E,2,0),"")</f>
        <v/>
      </c>
      <c r="EN226" t="str">
        <f>IF(NOT(ISBLANK($B226)),VLOOKUP($B226,AssetCategories!$A:$E,3,0),"")</f>
        <v/>
      </c>
      <c r="EP226" s="33" t="str">
        <f t="shared" si="7"/>
        <v/>
      </c>
    </row>
    <row r="227" spans="16:146" x14ac:dyDescent="0.25">
      <c r="P227" s="33" t="str" cm="1">
        <f t="array" ref="P227">IFERROR(SUM(VALUE(_xlfn.TEXTSPLIT(O227, ";"))), "")</f>
        <v/>
      </c>
      <c r="DO227" t="str">
        <f t="shared" si="6"/>
        <v/>
      </c>
      <c r="EG227" s="33" t="str">
        <f>IF(NOT(ISBLANK($B227)),VLOOKUP($B227,AssetCategories!$A:$E,5,0),"")</f>
        <v/>
      </c>
      <c r="EH227" t="str">
        <f>IF(NOT(ISBLANK($B227)),VLOOKUP($B227,AssetCategories!$A:$E,4,0),"")</f>
        <v/>
      </c>
      <c r="EM227" t="str">
        <f>IF(NOT(ISBLANK($B227)),VLOOKUP($B227,AssetCategories!$A:$E,2,0),"")</f>
        <v/>
      </c>
      <c r="EN227" t="str">
        <f>IF(NOT(ISBLANK($B227)),VLOOKUP($B227,AssetCategories!$A:$E,3,0),"")</f>
        <v/>
      </c>
      <c r="EP227" s="33" t="str">
        <f t="shared" si="7"/>
        <v/>
      </c>
    </row>
    <row r="228" spans="16:146" x14ac:dyDescent="0.25">
      <c r="P228" s="33" t="str" cm="1">
        <f t="array" ref="P228">IFERROR(SUM(VALUE(_xlfn.TEXTSPLIT(O228, ";"))), "")</f>
        <v/>
      </c>
      <c r="DO228" t="str">
        <f t="shared" si="6"/>
        <v/>
      </c>
      <c r="EG228" s="33" t="str">
        <f>IF(NOT(ISBLANK($B228)),VLOOKUP($B228,AssetCategories!$A:$E,5,0),"")</f>
        <v/>
      </c>
      <c r="EH228" t="str">
        <f>IF(NOT(ISBLANK($B228)),VLOOKUP($B228,AssetCategories!$A:$E,4,0),"")</f>
        <v/>
      </c>
      <c r="EM228" t="str">
        <f>IF(NOT(ISBLANK($B228)),VLOOKUP($B228,AssetCategories!$A:$E,2,0),"")</f>
        <v/>
      </c>
      <c r="EN228" t="str">
        <f>IF(NOT(ISBLANK($B228)),VLOOKUP($B228,AssetCategories!$A:$E,3,0),"")</f>
        <v/>
      </c>
      <c r="EP228" s="33" t="str">
        <f t="shared" si="7"/>
        <v/>
      </c>
    </row>
    <row r="229" spans="16:146" x14ac:dyDescent="0.25">
      <c r="P229" s="33" t="str" cm="1">
        <f t="array" ref="P229">IFERROR(SUM(VALUE(_xlfn.TEXTSPLIT(O229, ";"))), "")</f>
        <v/>
      </c>
      <c r="DO229" t="str">
        <f t="shared" si="6"/>
        <v/>
      </c>
      <c r="EG229" s="33" t="str">
        <f>IF(NOT(ISBLANK($B229)),VLOOKUP($B229,AssetCategories!$A:$E,5,0),"")</f>
        <v/>
      </c>
      <c r="EH229" t="str">
        <f>IF(NOT(ISBLANK($B229)),VLOOKUP($B229,AssetCategories!$A:$E,4,0),"")</f>
        <v/>
      </c>
      <c r="EM229" t="str">
        <f>IF(NOT(ISBLANK($B229)),VLOOKUP($B229,AssetCategories!$A:$E,2,0),"")</f>
        <v/>
      </c>
      <c r="EN229" t="str">
        <f>IF(NOT(ISBLANK($B229)),VLOOKUP($B229,AssetCategories!$A:$E,3,0),"")</f>
        <v/>
      </c>
      <c r="EP229" s="33" t="str">
        <f t="shared" si="7"/>
        <v/>
      </c>
    </row>
    <row r="230" spans="16:146" x14ac:dyDescent="0.25">
      <c r="P230" s="33" t="str" cm="1">
        <f t="array" ref="P230">IFERROR(SUM(VALUE(_xlfn.TEXTSPLIT(O230, ";"))), "")</f>
        <v/>
      </c>
      <c r="DO230" t="str">
        <f t="shared" si="6"/>
        <v/>
      </c>
      <c r="EG230" s="33" t="str">
        <f>IF(NOT(ISBLANK($B230)),VLOOKUP($B230,AssetCategories!$A:$E,5,0),"")</f>
        <v/>
      </c>
      <c r="EH230" t="str">
        <f>IF(NOT(ISBLANK($B230)),VLOOKUP($B230,AssetCategories!$A:$E,4,0),"")</f>
        <v/>
      </c>
      <c r="EM230" t="str">
        <f>IF(NOT(ISBLANK($B230)),VLOOKUP($B230,AssetCategories!$A:$E,2,0),"")</f>
        <v/>
      </c>
      <c r="EN230" t="str">
        <f>IF(NOT(ISBLANK($B230)),VLOOKUP($B230,AssetCategories!$A:$E,3,0),"")</f>
        <v/>
      </c>
      <c r="EP230" s="33" t="str">
        <f t="shared" si="7"/>
        <v/>
      </c>
    </row>
    <row r="231" spans="16:146" x14ac:dyDescent="0.25">
      <c r="P231" s="33" t="str" cm="1">
        <f t="array" ref="P231">IFERROR(SUM(VALUE(_xlfn.TEXTSPLIT(O231, ";"))), "")</f>
        <v/>
      </c>
      <c r="DO231" t="str">
        <f t="shared" si="6"/>
        <v/>
      </c>
      <c r="EG231" s="33" t="str">
        <f>IF(NOT(ISBLANK($B231)),VLOOKUP($B231,AssetCategories!$A:$E,5,0),"")</f>
        <v/>
      </c>
      <c r="EH231" t="str">
        <f>IF(NOT(ISBLANK($B231)),VLOOKUP($B231,AssetCategories!$A:$E,4,0),"")</f>
        <v/>
      </c>
      <c r="EM231" t="str">
        <f>IF(NOT(ISBLANK($B231)),VLOOKUP($B231,AssetCategories!$A:$E,2,0),"")</f>
        <v/>
      </c>
      <c r="EN231" t="str">
        <f>IF(NOT(ISBLANK($B231)),VLOOKUP($B231,AssetCategories!$A:$E,3,0),"")</f>
        <v/>
      </c>
      <c r="EP231" s="33" t="str">
        <f t="shared" si="7"/>
        <v/>
      </c>
    </row>
    <row r="232" spans="16:146" x14ac:dyDescent="0.25">
      <c r="P232" s="33" t="str" cm="1">
        <f t="array" ref="P232">IFERROR(SUM(VALUE(_xlfn.TEXTSPLIT(O232, ";"))), "")</f>
        <v/>
      </c>
      <c r="DO232" t="str">
        <f t="shared" si="6"/>
        <v/>
      </c>
      <c r="EG232" s="33" t="str">
        <f>IF(NOT(ISBLANK($B232)),VLOOKUP($B232,AssetCategories!$A:$E,5,0),"")</f>
        <v/>
      </c>
      <c r="EH232" t="str">
        <f>IF(NOT(ISBLANK($B232)),VLOOKUP($B232,AssetCategories!$A:$E,4,0),"")</f>
        <v/>
      </c>
      <c r="EM232" t="str">
        <f>IF(NOT(ISBLANK($B232)),VLOOKUP($B232,AssetCategories!$A:$E,2,0),"")</f>
        <v/>
      </c>
      <c r="EN232" t="str">
        <f>IF(NOT(ISBLANK($B232)),VLOOKUP($B232,AssetCategories!$A:$E,3,0),"")</f>
        <v/>
      </c>
      <c r="EP232" s="33" t="str">
        <f t="shared" si="7"/>
        <v/>
      </c>
    </row>
    <row r="233" spans="16:146" x14ac:dyDescent="0.25">
      <c r="P233" s="33" t="str" cm="1">
        <f t="array" ref="P233">IFERROR(SUM(VALUE(_xlfn.TEXTSPLIT(O233, ";"))), "")</f>
        <v/>
      </c>
      <c r="DO233" t="str">
        <f t="shared" si="6"/>
        <v/>
      </c>
      <c r="EG233" s="33" t="str">
        <f>IF(NOT(ISBLANK($B233)),VLOOKUP($B233,AssetCategories!$A:$E,5,0),"")</f>
        <v/>
      </c>
      <c r="EH233" t="str">
        <f>IF(NOT(ISBLANK($B233)),VLOOKUP($B233,AssetCategories!$A:$E,4,0),"")</f>
        <v/>
      </c>
      <c r="EM233" t="str">
        <f>IF(NOT(ISBLANK($B233)),VLOOKUP($B233,AssetCategories!$A:$E,2,0),"")</f>
        <v/>
      </c>
      <c r="EN233" t="str">
        <f>IF(NOT(ISBLANK($B233)),VLOOKUP($B233,AssetCategories!$A:$E,3,0),"")</f>
        <v/>
      </c>
      <c r="EP233" s="33" t="str">
        <f t="shared" si="7"/>
        <v/>
      </c>
    </row>
    <row r="234" spans="16:146" x14ac:dyDescent="0.25">
      <c r="P234" s="33" t="str" cm="1">
        <f t="array" ref="P234">IFERROR(SUM(VALUE(_xlfn.TEXTSPLIT(O234, ";"))), "")</f>
        <v/>
      </c>
      <c r="DO234" t="str">
        <f t="shared" si="6"/>
        <v/>
      </c>
      <c r="EG234" s="33" t="str">
        <f>IF(NOT(ISBLANK($B234)),VLOOKUP($B234,AssetCategories!$A:$E,5,0),"")</f>
        <v/>
      </c>
      <c r="EH234" t="str">
        <f>IF(NOT(ISBLANK($B234)),VLOOKUP($B234,AssetCategories!$A:$E,4,0),"")</f>
        <v/>
      </c>
      <c r="EM234" t="str">
        <f>IF(NOT(ISBLANK($B234)),VLOOKUP($B234,AssetCategories!$A:$E,2,0),"")</f>
        <v/>
      </c>
      <c r="EN234" t="str">
        <f>IF(NOT(ISBLANK($B234)),VLOOKUP($B234,AssetCategories!$A:$E,3,0),"")</f>
        <v/>
      </c>
      <c r="EP234" s="33" t="str">
        <f t="shared" si="7"/>
        <v/>
      </c>
    </row>
    <row r="235" spans="16:146" x14ac:dyDescent="0.25">
      <c r="P235" s="33" t="str" cm="1">
        <f t="array" ref="P235">IFERROR(SUM(VALUE(_xlfn.TEXTSPLIT(O235, ";"))), "")</f>
        <v/>
      </c>
      <c r="DO235" t="str">
        <f t="shared" si="6"/>
        <v/>
      </c>
      <c r="EG235" s="33" t="str">
        <f>IF(NOT(ISBLANK($B235)),VLOOKUP($B235,AssetCategories!$A:$E,5,0),"")</f>
        <v/>
      </c>
      <c r="EH235" t="str">
        <f>IF(NOT(ISBLANK($B235)),VLOOKUP($B235,AssetCategories!$A:$E,4,0),"")</f>
        <v/>
      </c>
      <c r="EM235" t="str">
        <f>IF(NOT(ISBLANK($B235)),VLOOKUP($B235,AssetCategories!$A:$E,2,0),"")</f>
        <v/>
      </c>
      <c r="EN235" t="str">
        <f>IF(NOT(ISBLANK($B235)),VLOOKUP($B235,AssetCategories!$A:$E,3,0),"")</f>
        <v/>
      </c>
      <c r="EP235" s="33" t="str">
        <f t="shared" si="7"/>
        <v/>
      </c>
    </row>
    <row r="236" spans="16:146" x14ac:dyDescent="0.25">
      <c r="P236" s="33" t="str" cm="1">
        <f t="array" ref="P236">IFERROR(SUM(VALUE(_xlfn.TEXTSPLIT(O236, ";"))), "")</f>
        <v/>
      </c>
      <c r="DO236" t="str">
        <f t="shared" si="6"/>
        <v/>
      </c>
      <c r="EG236" s="33" t="str">
        <f>IF(NOT(ISBLANK($B236)),VLOOKUP($B236,AssetCategories!$A:$E,5,0),"")</f>
        <v/>
      </c>
      <c r="EH236" t="str">
        <f>IF(NOT(ISBLANK($B236)),VLOOKUP($B236,AssetCategories!$A:$E,4,0),"")</f>
        <v/>
      </c>
      <c r="EM236" t="str">
        <f>IF(NOT(ISBLANK($B236)),VLOOKUP($B236,AssetCategories!$A:$E,2,0),"")</f>
        <v/>
      </c>
      <c r="EN236" t="str">
        <f>IF(NOT(ISBLANK($B236)),VLOOKUP($B236,AssetCategories!$A:$E,3,0),"")</f>
        <v/>
      </c>
      <c r="EP236" s="33" t="str">
        <f t="shared" si="7"/>
        <v/>
      </c>
    </row>
    <row r="237" spans="16:146" x14ac:dyDescent="0.25">
      <c r="P237" s="33" t="str" cm="1">
        <f t="array" ref="P237">IFERROR(SUM(VALUE(_xlfn.TEXTSPLIT(O237, ";"))), "")</f>
        <v/>
      </c>
      <c r="DO237" t="str">
        <f t="shared" si="6"/>
        <v/>
      </c>
      <c r="EG237" s="33" t="str">
        <f>IF(NOT(ISBLANK($B237)),VLOOKUP($B237,AssetCategories!$A:$E,5,0),"")</f>
        <v/>
      </c>
      <c r="EH237" t="str">
        <f>IF(NOT(ISBLANK($B237)),VLOOKUP($B237,AssetCategories!$A:$E,4,0),"")</f>
        <v/>
      </c>
      <c r="EM237" t="str">
        <f>IF(NOT(ISBLANK($B237)),VLOOKUP($B237,AssetCategories!$A:$E,2,0),"")</f>
        <v/>
      </c>
      <c r="EN237" t="str">
        <f>IF(NOT(ISBLANK($B237)),VLOOKUP($B237,AssetCategories!$A:$E,3,0),"")</f>
        <v/>
      </c>
      <c r="EP237" s="33" t="str">
        <f t="shared" si="7"/>
        <v/>
      </c>
    </row>
    <row r="238" spans="16:146" x14ac:dyDescent="0.25">
      <c r="P238" s="33" t="str" cm="1">
        <f t="array" ref="P238">IFERROR(SUM(VALUE(_xlfn.TEXTSPLIT(O238, ";"))), "")</f>
        <v/>
      </c>
      <c r="DO238" t="str">
        <f t="shared" si="6"/>
        <v/>
      </c>
      <c r="EG238" s="33" t="str">
        <f>IF(NOT(ISBLANK($B238)),VLOOKUP($B238,AssetCategories!$A:$E,5,0),"")</f>
        <v/>
      </c>
      <c r="EH238" t="str">
        <f>IF(NOT(ISBLANK($B238)),VLOOKUP($B238,AssetCategories!$A:$E,4,0),"")</f>
        <v/>
      </c>
      <c r="EM238" t="str">
        <f>IF(NOT(ISBLANK($B238)),VLOOKUP($B238,AssetCategories!$A:$E,2,0),"")</f>
        <v/>
      </c>
      <c r="EN238" t="str">
        <f>IF(NOT(ISBLANK($B238)),VLOOKUP($B238,AssetCategories!$A:$E,3,0),"")</f>
        <v/>
      </c>
      <c r="EP238" s="33" t="str">
        <f t="shared" si="7"/>
        <v/>
      </c>
    </row>
    <row r="239" spans="16:146" x14ac:dyDescent="0.25">
      <c r="P239" s="33" t="str" cm="1">
        <f t="array" ref="P239">IFERROR(SUM(VALUE(_xlfn.TEXTSPLIT(O239, ";"))), "")</f>
        <v/>
      </c>
      <c r="DO239" t="str">
        <f t="shared" si="6"/>
        <v/>
      </c>
      <c r="EG239" s="33" t="str">
        <f>IF(NOT(ISBLANK($B239)),VLOOKUP($B239,AssetCategories!$A:$E,5,0),"")</f>
        <v/>
      </c>
      <c r="EH239" t="str">
        <f>IF(NOT(ISBLANK($B239)),VLOOKUP($B239,AssetCategories!$A:$E,4,0),"")</f>
        <v/>
      </c>
      <c r="EM239" t="str">
        <f>IF(NOT(ISBLANK($B239)),VLOOKUP($B239,AssetCategories!$A:$E,2,0),"")</f>
        <v/>
      </c>
      <c r="EN239" t="str">
        <f>IF(NOT(ISBLANK($B239)),VLOOKUP($B239,AssetCategories!$A:$E,3,0),"")</f>
        <v/>
      </c>
      <c r="EP239" s="33" t="str">
        <f t="shared" si="7"/>
        <v/>
      </c>
    </row>
    <row r="240" spans="16:146" x14ac:dyDescent="0.25">
      <c r="P240" s="33" t="str" cm="1">
        <f t="array" ref="P240">IFERROR(SUM(VALUE(_xlfn.TEXTSPLIT(O240, ";"))), "")</f>
        <v/>
      </c>
      <c r="DO240" t="str">
        <f t="shared" si="6"/>
        <v/>
      </c>
      <c r="EG240" s="33" t="str">
        <f>IF(NOT(ISBLANK($B240)),VLOOKUP($B240,AssetCategories!$A:$E,5,0),"")</f>
        <v/>
      </c>
      <c r="EH240" t="str">
        <f>IF(NOT(ISBLANK($B240)),VLOOKUP($B240,AssetCategories!$A:$E,4,0),"")</f>
        <v/>
      </c>
      <c r="EM240" t="str">
        <f>IF(NOT(ISBLANK($B240)),VLOOKUP($B240,AssetCategories!$A:$E,2,0),"")</f>
        <v/>
      </c>
      <c r="EN240" t="str">
        <f>IF(NOT(ISBLANK($B240)),VLOOKUP($B240,AssetCategories!$A:$E,3,0),"")</f>
        <v/>
      </c>
      <c r="EP240" s="33" t="str">
        <f t="shared" si="7"/>
        <v/>
      </c>
    </row>
    <row r="241" spans="16:146" x14ac:dyDescent="0.25">
      <c r="P241" s="33" t="str" cm="1">
        <f t="array" ref="P241">IFERROR(SUM(VALUE(_xlfn.TEXTSPLIT(O241, ";"))), "")</f>
        <v/>
      </c>
      <c r="DO241" t="str">
        <f t="shared" si="6"/>
        <v/>
      </c>
      <c r="EG241" s="33" t="str">
        <f>IF(NOT(ISBLANK($B241)),VLOOKUP($B241,AssetCategories!$A:$E,5,0),"")</f>
        <v/>
      </c>
      <c r="EH241" t="str">
        <f>IF(NOT(ISBLANK($B241)),VLOOKUP($B241,AssetCategories!$A:$E,4,0),"")</f>
        <v/>
      </c>
      <c r="EM241" t="str">
        <f>IF(NOT(ISBLANK($B241)),VLOOKUP($B241,AssetCategories!$A:$E,2,0),"")</f>
        <v/>
      </c>
      <c r="EN241" t="str">
        <f>IF(NOT(ISBLANK($B241)),VLOOKUP($B241,AssetCategories!$A:$E,3,0),"")</f>
        <v/>
      </c>
      <c r="EP241" s="33" t="str">
        <f t="shared" si="7"/>
        <v/>
      </c>
    </row>
    <row r="242" spans="16:146" x14ac:dyDescent="0.25">
      <c r="P242" s="33" t="str" cm="1">
        <f t="array" ref="P242">IFERROR(SUM(VALUE(_xlfn.TEXTSPLIT(O242, ";"))), "")</f>
        <v/>
      </c>
      <c r="DO242" t="str">
        <f t="shared" si="6"/>
        <v/>
      </c>
      <c r="EG242" s="33" t="str">
        <f>IF(NOT(ISBLANK($B242)),VLOOKUP($B242,AssetCategories!$A:$E,5,0),"")</f>
        <v/>
      </c>
      <c r="EH242" t="str">
        <f>IF(NOT(ISBLANK($B242)),VLOOKUP($B242,AssetCategories!$A:$E,4,0),"")</f>
        <v/>
      </c>
      <c r="EM242" t="str">
        <f>IF(NOT(ISBLANK($B242)),VLOOKUP($B242,AssetCategories!$A:$E,2,0),"")</f>
        <v/>
      </c>
      <c r="EN242" t="str">
        <f>IF(NOT(ISBLANK($B242)),VLOOKUP($B242,AssetCategories!$A:$E,3,0),"")</f>
        <v/>
      </c>
      <c r="EP242" s="33" t="str">
        <f t="shared" si="7"/>
        <v/>
      </c>
    </row>
    <row r="243" spans="16:146" x14ac:dyDescent="0.25">
      <c r="P243" s="33" t="str" cm="1">
        <f t="array" ref="P243">IFERROR(SUM(VALUE(_xlfn.TEXTSPLIT(O243, ";"))), "")</f>
        <v/>
      </c>
      <c r="DO243" t="str">
        <f t="shared" si="6"/>
        <v/>
      </c>
      <c r="EG243" s="33" t="str">
        <f>IF(NOT(ISBLANK($B243)),VLOOKUP($B243,AssetCategories!$A:$E,5,0),"")</f>
        <v/>
      </c>
      <c r="EH243" t="str">
        <f>IF(NOT(ISBLANK($B243)),VLOOKUP($B243,AssetCategories!$A:$E,4,0),"")</f>
        <v/>
      </c>
      <c r="EM243" t="str">
        <f>IF(NOT(ISBLANK($B243)),VLOOKUP($B243,AssetCategories!$A:$E,2,0),"")</f>
        <v/>
      </c>
      <c r="EN243" t="str">
        <f>IF(NOT(ISBLANK($B243)),VLOOKUP($B243,AssetCategories!$A:$E,3,0),"")</f>
        <v/>
      </c>
      <c r="EP243" s="33" t="str">
        <f t="shared" si="7"/>
        <v/>
      </c>
    </row>
    <row r="244" spans="16:146" x14ac:dyDescent="0.25">
      <c r="P244" s="33" t="str" cm="1">
        <f t="array" ref="P244">IFERROR(SUM(VALUE(_xlfn.TEXTSPLIT(O244, ";"))), "")</f>
        <v/>
      </c>
      <c r="DO244" t="str">
        <f t="shared" si="6"/>
        <v/>
      </c>
      <c r="EG244" s="33" t="str">
        <f>IF(NOT(ISBLANK($B244)),VLOOKUP($B244,AssetCategories!$A:$E,5,0),"")</f>
        <v/>
      </c>
      <c r="EH244" t="str">
        <f>IF(NOT(ISBLANK($B244)),VLOOKUP($B244,AssetCategories!$A:$E,4,0),"")</f>
        <v/>
      </c>
      <c r="EM244" t="str">
        <f>IF(NOT(ISBLANK($B244)),VLOOKUP($B244,AssetCategories!$A:$E,2,0),"")</f>
        <v/>
      </c>
      <c r="EN244" t="str">
        <f>IF(NOT(ISBLANK($B244)),VLOOKUP($B244,AssetCategories!$A:$E,3,0),"")</f>
        <v/>
      </c>
      <c r="EP244" s="33" t="str">
        <f t="shared" si="7"/>
        <v/>
      </c>
    </row>
    <row r="245" spans="16:146" x14ac:dyDescent="0.25">
      <c r="P245" s="33" t="str" cm="1">
        <f t="array" ref="P245">IFERROR(SUM(VALUE(_xlfn.TEXTSPLIT(O245, ";"))), "")</f>
        <v/>
      </c>
      <c r="DO245" t="str">
        <f t="shared" si="6"/>
        <v/>
      </c>
      <c r="EG245" s="33" t="str">
        <f>IF(NOT(ISBLANK($B245)),VLOOKUP($B245,AssetCategories!$A:$E,5,0),"")</f>
        <v/>
      </c>
      <c r="EH245" t="str">
        <f>IF(NOT(ISBLANK($B245)),VLOOKUP($B245,AssetCategories!$A:$E,4,0),"")</f>
        <v/>
      </c>
      <c r="EM245" t="str">
        <f>IF(NOT(ISBLANK($B245)),VLOOKUP($B245,AssetCategories!$A:$E,2,0),"")</f>
        <v/>
      </c>
      <c r="EN245" t="str">
        <f>IF(NOT(ISBLANK($B245)),VLOOKUP($B245,AssetCategories!$A:$E,3,0),"")</f>
        <v/>
      </c>
      <c r="EP245" s="33" t="str">
        <f t="shared" si="7"/>
        <v/>
      </c>
    </row>
    <row r="246" spans="16:146" x14ac:dyDescent="0.25">
      <c r="P246" s="33" t="str" cm="1">
        <f t="array" ref="P246">IFERROR(SUM(VALUE(_xlfn.TEXTSPLIT(O246, ";"))), "")</f>
        <v/>
      </c>
      <c r="DO246" t="str">
        <f t="shared" si="6"/>
        <v/>
      </c>
      <c r="EG246" s="33" t="str">
        <f>IF(NOT(ISBLANK($B246)),VLOOKUP($B246,AssetCategories!$A:$E,5,0),"")</f>
        <v/>
      </c>
      <c r="EH246" t="str">
        <f>IF(NOT(ISBLANK($B246)),VLOOKUP($B246,AssetCategories!$A:$E,4,0),"")</f>
        <v/>
      </c>
      <c r="EM246" t="str">
        <f>IF(NOT(ISBLANK($B246)),VLOOKUP($B246,AssetCategories!$A:$E,2,0),"")</f>
        <v/>
      </c>
      <c r="EN246" t="str">
        <f>IF(NOT(ISBLANK($B246)),VLOOKUP($B246,AssetCategories!$A:$E,3,0),"")</f>
        <v/>
      </c>
      <c r="EP246" s="33" t="str">
        <f t="shared" si="7"/>
        <v/>
      </c>
    </row>
    <row r="247" spans="16:146" x14ac:dyDescent="0.25">
      <c r="P247" s="33" t="str" cm="1">
        <f t="array" ref="P247">IFERROR(SUM(VALUE(_xlfn.TEXTSPLIT(O247, ";"))), "")</f>
        <v/>
      </c>
      <c r="DO247" t="str">
        <f t="shared" si="6"/>
        <v/>
      </c>
      <c r="EG247" s="33" t="str">
        <f>IF(NOT(ISBLANK($B247)),VLOOKUP($B247,AssetCategories!$A:$E,5,0),"")</f>
        <v/>
      </c>
      <c r="EH247" t="str">
        <f>IF(NOT(ISBLANK($B247)),VLOOKUP($B247,AssetCategories!$A:$E,4,0),"")</f>
        <v/>
      </c>
      <c r="EM247" t="str">
        <f>IF(NOT(ISBLANK($B247)),VLOOKUP($B247,AssetCategories!$A:$E,2,0),"")</f>
        <v/>
      </c>
      <c r="EN247" t="str">
        <f>IF(NOT(ISBLANK($B247)),VLOOKUP($B247,AssetCategories!$A:$E,3,0),"")</f>
        <v/>
      </c>
      <c r="EP247" s="33" t="str">
        <f t="shared" si="7"/>
        <v/>
      </c>
    </row>
    <row r="248" spans="16:146" x14ac:dyDescent="0.25">
      <c r="P248" s="33" t="str" cm="1">
        <f t="array" ref="P248">IFERROR(SUM(VALUE(_xlfn.TEXTSPLIT(O248, ";"))), "")</f>
        <v/>
      </c>
      <c r="DO248" t="str">
        <f t="shared" si="6"/>
        <v/>
      </c>
      <c r="EG248" s="33" t="str">
        <f>IF(NOT(ISBLANK($B248)),VLOOKUP($B248,AssetCategories!$A:$E,5,0),"")</f>
        <v/>
      </c>
      <c r="EH248" t="str">
        <f>IF(NOT(ISBLANK($B248)),VLOOKUP($B248,AssetCategories!$A:$E,4,0),"")</f>
        <v/>
      </c>
      <c r="EM248" t="str">
        <f>IF(NOT(ISBLANK($B248)),VLOOKUP($B248,AssetCategories!$A:$E,2,0),"")</f>
        <v/>
      </c>
      <c r="EN248" t="str">
        <f>IF(NOT(ISBLANK($B248)),VLOOKUP($B248,AssetCategories!$A:$E,3,0),"")</f>
        <v/>
      </c>
      <c r="EP248" s="33" t="str">
        <f t="shared" si="7"/>
        <v/>
      </c>
    </row>
    <row r="249" spans="16:146" x14ac:dyDescent="0.25">
      <c r="P249" s="33" t="str" cm="1">
        <f t="array" ref="P249">IFERROR(SUM(VALUE(_xlfn.TEXTSPLIT(O249, ";"))), "")</f>
        <v/>
      </c>
      <c r="DO249" t="str">
        <f t="shared" si="6"/>
        <v/>
      </c>
      <c r="EG249" s="33" t="str">
        <f>IF(NOT(ISBLANK($B249)),VLOOKUP($B249,AssetCategories!$A:$E,5,0),"")</f>
        <v/>
      </c>
      <c r="EH249" t="str">
        <f>IF(NOT(ISBLANK($B249)),VLOOKUP($B249,AssetCategories!$A:$E,4,0),"")</f>
        <v/>
      </c>
      <c r="EM249" t="str">
        <f>IF(NOT(ISBLANK($B249)),VLOOKUP($B249,AssetCategories!$A:$E,2,0),"")</f>
        <v/>
      </c>
      <c r="EN249" t="str">
        <f>IF(NOT(ISBLANK($B249)),VLOOKUP($B249,AssetCategories!$A:$E,3,0),"")</f>
        <v/>
      </c>
      <c r="EP249" s="33" t="str">
        <f t="shared" si="7"/>
        <v/>
      </c>
    </row>
    <row r="250" spans="16:146" x14ac:dyDescent="0.25">
      <c r="P250" s="33" t="str" cm="1">
        <f t="array" ref="P250">IFERROR(SUM(VALUE(_xlfn.TEXTSPLIT(O250, ";"))), "")</f>
        <v/>
      </c>
      <c r="DO250" t="str">
        <f t="shared" si="6"/>
        <v/>
      </c>
      <c r="EG250" s="33" t="str">
        <f>IF(NOT(ISBLANK($B250)),VLOOKUP($B250,AssetCategories!$A:$E,5,0),"")</f>
        <v/>
      </c>
      <c r="EH250" t="str">
        <f>IF(NOT(ISBLANK($B250)),VLOOKUP($B250,AssetCategories!$A:$E,4,0),"")</f>
        <v/>
      </c>
      <c r="EM250" t="str">
        <f>IF(NOT(ISBLANK($B250)),VLOOKUP($B250,AssetCategories!$A:$E,2,0),"")</f>
        <v/>
      </c>
      <c r="EN250" t="str">
        <f>IF(NOT(ISBLANK($B250)),VLOOKUP($B250,AssetCategories!$A:$E,3,0),"")</f>
        <v/>
      </c>
      <c r="EP250" s="33" t="str">
        <f t="shared" si="7"/>
        <v/>
      </c>
    </row>
    <row r="251" spans="16:146" x14ac:dyDescent="0.25">
      <c r="P251" s="33" t="str" cm="1">
        <f t="array" ref="P251">IFERROR(SUM(VALUE(_xlfn.TEXTSPLIT(O251, ";"))), "")</f>
        <v/>
      </c>
      <c r="DO251" t="str">
        <f t="shared" si="6"/>
        <v/>
      </c>
      <c r="EG251" s="33" t="str">
        <f>IF(NOT(ISBLANK($B251)),VLOOKUP($B251,AssetCategories!$A:$E,5,0),"")</f>
        <v/>
      </c>
      <c r="EH251" t="str">
        <f>IF(NOT(ISBLANK($B251)),VLOOKUP($B251,AssetCategories!$A:$E,4,0),"")</f>
        <v/>
      </c>
      <c r="EM251" t="str">
        <f>IF(NOT(ISBLANK($B251)),VLOOKUP($B251,AssetCategories!$A:$E,2,0),"")</f>
        <v/>
      </c>
      <c r="EN251" t="str">
        <f>IF(NOT(ISBLANK($B251)),VLOOKUP($B251,AssetCategories!$A:$E,3,0),"")</f>
        <v/>
      </c>
      <c r="EP251" s="33" t="str">
        <f t="shared" si="7"/>
        <v/>
      </c>
    </row>
    <row r="252" spans="16:146" x14ac:dyDescent="0.25">
      <c r="P252" s="33" t="str" cm="1">
        <f t="array" ref="P252">IFERROR(SUM(VALUE(_xlfn.TEXTSPLIT(O252, ";"))), "")</f>
        <v/>
      </c>
      <c r="DO252" t="str">
        <f t="shared" si="6"/>
        <v/>
      </c>
      <c r="EG252" s="33" t="str">
        <f>IF(NOT(ISBLANK($B252)),VLOOKUP($B252,AssetCategories!$A:$E,5,0),"")</f>
        <v/>
      </c>
      <c r="EH252" t="str">
        <f>IF(NOT(ISBLANK($B252)),VLOOKUP($B252,AssetCategories!$A:$E,4,0),"")</f>
        <v/>
      </c>
      <c r="EM252" t="str">
        <f>IF(NOT(ISBLANK($B252)),VLOOKUP($B252,AssetCategories!$A:$E,2,0),"")</f>
        <v/>
      </c>
      <c r="EN252" t="str">
        <f>IF(NOT(ISBLANK($B252)),VLOOKUP($B252,AssetCategories!$A:$E,3,0),"")</f>
        <v/>
      </c>
      <c r="EP252" s="33" t="str">
        <f t="shared" si="7"/>
        <v/>
      </c>
    </row>
    <row r="253" spans="16:146" x14ac:dyDescent="0.25">
      <c r="P253" s="33" t="str" cm="1">
        <f t="array" ref="P253">IFERROR(SUM(VALUE(_xlfn.TEXTSPLIT(O253, ";"))), "")</f>
        <v/>
      </c>
      <c r="DO253" t="str">
        <f t="shared" si="6"/>
        <v/>
      </c>
      <c r="EG253" s="33" t="str">
        <f>IF(NOT(ISBLANK($B253)),VLOOKUP($B253,AssetCategories!$A:$E,5,0),"")</f>
        <v/>
      </c>
      <c r="EH253" t="str">
        <f>IF(NOT(ISBLANK($B253)),VLOOKUP($B253,AssetCategories!$A:$E,4,0),"")</f>
        <v/>
      </c>
      <c r="EM253" t="str">
        <f>IF(NOT(ISBLANK($B253)),VLOOKUP($B253,AssetCategories!$A:$E,2,0),"")</f>
        <v/>
      </c>
      <c r="EN253" t="str">
        <f>IF(NOT(ISBLANK($B253)),VLOOKUP($B253,AssetCategories!$A:$E,3,0),"")</f>
        <v/>
      </c>
      <c r="EP253" s="33" t="str">
        <f t="shared" si="7"/>
        <v/>
      </c>
    </row>
    <row r="254" spans="16:146" x14ac:dyDescent="0.25">
      <c r="P254" s="33" t="str" cm="1">
        <f t="array" ref="P254">IFERROR(SUM(VALUE(_xlfn.TEXTSPLIT(O254, ";"))), "")</f>
        <v/>
      </c>
      <c r="DO254" t="str">
        <f t="shared" si="6"/>
        <v/>
      </c>
      <c r="EG254" s="33" t="str">
        <f>IF(NOT(ISBLANK($B254)),VLOOKUP($B254,AssetCategories!$A:$E,5,0),"")</f>
        <v/>
      </c>
      <c r="EH254" t="str">
        <f>IF(NOT(ISBLANK($B254)),VLOOKUP($B254,AssetCategories!$A:$E,4,0),"")</f>
        <v/>
      </c>
      <c r="EM254" t="str">
        <f>IF(NOT(ISBLANK($B254)),VLOOKUP($B254,AssetCategories!$A:$E,2,0),"")</f>
        <v/>
      </c>
      <c r="EN254" t="str">
        <f>IF(NOT(ISBLANK($B254)),VLOOKUP($B254,AssetCategories!$A:$E,3,0),"")</f>
        <v/>
      </c>
      <c r="EP254" s="33" t="str">
        <f t="shared" si="7"/>
        <v/>
      </c>
    </row>
    <row r="255" spans="16:146" x14ac:dyDescent="0.25">
      <c r="P255" s="33" t="str" cm="1">
        <f t="array" ref="P255">IFERROR(SUM(VALUE(_xlfn.TEXTSPLIT(O255, ";"))), "")</f>
        <v/>
      </c>
      <c r="DO255" t="str">
        <f t="shared" si="6"/>
        <v/>
      </c>
      <c r="EG255" s="33" t="str">
        <f>IF(NOT(ISBLANK($B255)),VLOOKUP($B255,AssetCategories!$A:$E,5,0),"")</f>
        <v/>
      </c>
      <c r="EH255" t="str">
        <f>IF(NOT(ISBLANK($B255)),VLOOKUP($B255,AssetCategories!$A:$E,4,0),"")</f>
        <v/>
      </c>
      <c r="EM255" t="str">
        <f>IF(NOT(ISBLANK($B255)),VLOOKUP($B255,AssetCategories!$A:$E,2,0),"")</f>
        <v/>
      </c>
      <c r="EN255" t="str">
        <f>IF(NOT(ISBLANK($B255)),VLOOKUP($B255,AssetCategories!$A:$E,3,0),"")</f>
        <v/>
      </c>
      <c r="EP255" s="33" t="str">
        <f t="shared" si="7"/>
        <v/>
      </c>
    </row>
    <row r="256" spans="16:146" x14ac:dyDescent="0.25">
      <c r="P256" s="33" t="str" cm="1">
        <f t="array" ref="P256">IFERROR(SUM(VALUE(_xlfn.TEXTSPLIT(O256, ";"))), "")</f>
        <v/>
      </c>
      <c r="DO256" t="str">
        <f t="shared" si="6"/>
        <v/>
      </c>
      <c r="EG256" s="33" t="str">
        <f>IF(NOT(ISBLANK($B256)),VLOOKUP($B256,AssetCategories!$A:$E,5,0),"")</f>
        <v/>
      </c>
      <c r="EH256" t="str">
        <f>IF(NOT(ISBLANK($B256)),VLOOKUP($B256,AssetCategories!$A:$E,4,0),"")</f>
        <v/>
      </c>
      <c r="EM256" t="str">
        <f>IF(NOT(ISBLANK($B256)),VLOOKUP($B256,AssetCategories!$A:$E,2,0),"")</f>
        <v/>
      </c>
      <c r="EN256" t="str">
        <f>IF(NOT(ISBLANK($B256)),VLOOKUP($B256,AssetCategories!$A:$E,3,0),"")</f>
        <v/>
      </c>
      <c r="EP256" s="33" t="str">
        <f t="shared" si="7"/>
        <v/>
      </c>
    </row>
    <row r="257" spans="16:146" x14ac:dyDescent="0.25">
      <c r="P257" s="33" t="str" cm="1">
        <f t="array" ref="P257">IFERROR(SUM(VALUE(_xlfn.TEXTSPLIT(O257, ";"))), "")</f>
        <v/>
      </c>
      <c r="DO257" t="str">
        <f t="shared" si="6"/>
        <v/>
      </c>
      <c r="EG257" s="33" t="str">
        <f>IF(NOT(ISBLANK($B257)),VLOOKUP($B257,AssetCategories!$A:$E,5,0),"")</f>
        <v/>
      </c>
      <c r="EH257" t="str">
        <f>IF(NOT(ISBLANK($B257)),VLOOKUP($B257,AssetCategories!$A:$E,4,0),"")</f>
        <v/>
      </c>
      <c r="EM257" t="str">
        <f>IF(NOT(ISBLANK($B257)),VLOOKUP($B257,AssetCategories!$A:$E,2,0),"")</f>
        <v/>
      </c>
      <c r="EN257" t="str">
        <f>IF(NOT(ISBLANK($B257)),VLOOKUP($B257,AssetCategories!$A:$E,3,0),"")</f>
        <v/>
      </c>
      <c r="EP257" s="33" t="str">
        <f t="shared" si="7"/>
        <v/>
      </c>
    </row>
    <row r="258" spans="16:146" x14ac:dyDescent="0.25">
      <c r="P258" s="33" t="str" cm="1">
        <f t="array" ref="P258">IFERROR(SUM(VALUE(_xlfn.TEXTSPLIT(O258, ";"))), "")</f>
        <v/>
      </c>
      <c r="DO258" t="str">
        <f t="shared" si="6"/>
        <v/>
      </c>
      <c r="EG258" s="33" t="str">
        <f>IF(NOT(ISBLANK($B258)),VLOOKUP($B258,AssetCategories!$A:$E,5,0),"")</f>
        <v/>
      </c>
      <c r="EH258" t="str">
        <f>IF(NOT(ISBLANK($B258)),VLOOKUP($B258,AssetCategories!$A:$E,4,0),"")</f>
        <v/>
      </c>
      <c r="EM258" t="str">
        <f>IF(NOT(ISBLANK($B258)),VLOOKUP($B258,AssetCategories!$A:$E,2,0),"")</f>
        <v/>
      </c>
      <c r="EN258" t="str">
        <f>IF(NOT(ISBLANK($B258)),VLOOKUP($B258,AssetCategories!$A:$E,3,0),"")</f>
        <v/>
      </c>
      <c r="EP258" s="33" t="str">
        <f t="shared" si="7"/>
        <v/>
      </c>
    </row>
    <row r="259" spans="16:146" x14ac:dyDescent="0.25">
      <c r="P259" s="33" t="str" cm="1">
        <f t="array" ref="P259">IFERROR(SUM(VALUE(_xlfn.TEXTSPLIT(O259, ";"))), "")</f>
        <v/>
      </c>
      <c r="DO259" t="str">
        <f t="shared" si="6"/>
        <v/>
      </c>
      <c r="EG259" s="33" t="str">
        <f>IF(NOT(ISBLANK($B259)),VLOOKUP($B259,AssetCategories!$A:$E,5,0),"")</f>
        <v/>
      </c>
      <c r="EH259" t="str">
        <f>IF(NOT(ISBLANK($B259)),VLOOKUP($B259,AssetCategories!$A:$E,4,0),"")</f>
        <v/>
      </c>
      <c r="EM259" t="str">
        <f>IF(NOT(ISBLANK($B259)),VLOOKUP($B259,AssetCategories!$A:$E,2,0),"")</f>
        <v/>
      </c>
      <c r="EN259" t="str">
        <f>IF(NOT(ISBLANK($B259)),VLOOKUP($B259,AssetCategories!$A:$E,3,0),"")</f>
        <v/>
      </c>
      <c r="EP259" s="33" t="str">
        <f t="shared" si="7"/>
        <v/>
      </c>
    </row>
    <row r="260" spans="16:146" x14ac:dyDescent="0.25">
      <c r="P260" s="33" t="str" cm="1">
        <f t="array" ref="P260">IFERROR(SUM(VALUE(_xlfn.TEXTSPLIT(O260, ";"))), "")</f>
        <v/>
      </c>
      <c r="DO260" t="str">
        <f t="shared" si="6"/>
        <v/>
      </c>
      <c r="EG260" s="33" t="str">
        <f>IF(NOT(ISBLANK($B260)),VLOOKUP($B260,AssetCategories!$A:$E,5,0),"")</f>
        <v/>
      </c>
      <c r="EH260" t="str">
        <f>IF(NOT(ISBLANK($B260)),VLOOKUP($B260,AssetCategories!$A:$E,4,0),"")</f>
        <v/>
      </c>
      <c r="EM260" t="str">
        <f>IF(NOT(ISBLANK($B260)),VLOOKUP($B260,AssetCategories!$A:$E,2,0),"")</f>
        <v/>
      </c>
      <c r="EN260" t="str">
        <f>IF(NOT(ISBLANK($B260)),VLOOKUP($B260,AssetCategories!$A:$E,3,0),"")</f>
        <v/>
      </c>
      <c r="EP260" s="33" t="str">
        <f t="shared" si="7"/>
        <v/>
      </c>
    </row>
    <row r="261" spans="16:146" x14ac:dyDescent="0.25">
      <c r="P261" s="33" t="str" cm="1">
        <f t="array" ref="P261">IFERROR(SUM(VALUE(_xlfn.TEXTSPLIT(O261, ";"))), "")</f>
        <v/>
      </c>
      <c r="DO261" t="str">
        <f t="shared" ref="DO261:DO324" si="8">IF(SUM(DE261:DN261)=0, "", SUM(DE261:DN261))</f>
        <v/>
      </c>
      <c r="EG261" s="33" t="str">
        <f>IF(NOT(ISBLANK($B261)),VLOOKUP($B261,AssetCategories!$A:$E,5,0),"")</f>
        <v/>
      </c>
      <c r="EH261" t="str">
        <f>IF(NOT(ISBLANK($B261)),VLOOKUP($B261,AssetCategories!$A:$E,4,0),"")</f>
        <v/>
      </c>
      <c r="EM261" t="str">
        <f>IF(NOT(ISBLANK($B261)),VLOOKUP($B261,AssetCategories!$A:$E,2,0),"")</f>
        <v/>
      </c>
      <c r="EN261" t="str">
        <f>IF(NOT(ISBLANK($B261)),VLOOKUP($B261,AssetCategories!$A:$E,3,0),"")</f>
        <v/>
      </c>
      <c r="EP261" s="33" t="str">
        <f t="shared" ref="EP261:EP324" si="9">IFERROR(P261-EO261, "")</f>
        <v/>
      </c>
    </row>
    <row r="262" spans="16:146" x14ac:dyDescent="0.25">
      <c r="P262" s="33" t="str" cm="1">
        <f t="array" ref="P262">IFERROR(SUM(VALUE(_xlfn.TEXTSPLIT(O262, ";"))), "")</f>
        <v/>
      </c>
      <c r="DO262" t="str">
        <f t="shared" si="8"/>
        <v/>
      </c>
      <c r="EG262" s="33" t="str">
        <f>IF(NOT(ISBLANK($B262)),VLOOKUP($B262,AssetCategories!$A:$E,5,0),"")</f>
        <v/>
      </c>
      <c r="EH262" t="str">
        <f>IF(NOT(ISBLANK($B262)),VLOOKUP($B262,AssetCategories!$A:$E,4,0),"")</f>
        <v/>
      </c>
      <c r="EM262" t="str">
        <f>IF(NOT(ISBLANK($B262)),VLOOKUP($B262,AssetCategories!$A:$E,2,0),"")</f>
        <v/>
      </c>
      <c r="EN262" t="str">
        <f>IF(NOT(ISBLANK($B262)),VLOOKUP($B262,AssetCategories!$A:$E,3,0),"")</f>
        <v/>
      </c>
      <c r="EP262" s="33" t="str">
        <f t="shared" si="9"/>
        <v/>
      </c>
    </row>
    <row r="263" spans="16:146" x14ac:dyDescent="0.25">
      <c r="P263" s="33" t="str" cm="1">
        <f t="array" ref="P263">IFERROR(SUM(VALUE(_xlfn.TEXTSPLIT(O263, ";"))), "")</f>
        <v/>
      </c>
      <c r="DO263" t="str">
        <f t="shared" si="8"/>
        <v/>
      </c>
      <c r="EG263" s="33" t="str">
        <f>IF(NOT(ISBLANK($B263)),VLOOKUP($B263,AssetCategories!$A:$E,5,0),"")</f>
        <v/>
      </c>
      <c r="EH263" t="str">
        <f>IF(NOT(ISBLANK($B263)),VLOOKUP($B263,AssetCategories!$A:$E,4,0),"")</f>
        <v/>
      </c>
      <c r="EM263" t="str">
        <f>IF(NOT(ISBLANK($B263)),VLOOKUP($B263,AssetCategories!$A:$E,2,0),"")</f>
        <v/>
      </c>
      <c r="EN263" t="str">
        <f>IF(NOT(ISBLANK($B263)),VLOOKUP($B263,AssetCategories!$A:$E,3,0),"")</f>
        <v/>
      </c>
      <c r="EP263" s="33" t="str">
        <f t="shared" si="9"/>
        <v/>
      </c>
    </row>
    <row r="264" spans="16:146" x14ac:dyDescent="0.25">
      <c r="P264" s="33" t="str" cm="1">
        <f t="array" ref="P264">IFERROR(SUM(VALUE(_xlfn.TEXTSPLIT(O264, ";"))), "")</f>
        <v/>
      </c>
      <c r="DO264" t="str">
        <f t="shared" si="8"/>
        <v/>
      </c>
      <c r="EG264" s="33" t="str">
        <f>IF(NOT(ISBLANK($B264)),VLOOKUP($B264,AssetCategories!$A:$E,5,0),"")</f>
        <v/>
      </c>
      <c r="EH264" t="str">
        <f>IF(NOT(ISBLANK($B264)),VLOOKUP($B264,AssetCategories!$A:$E,4,0),"")</f>
        <v/>
      </c>
      <c r="EM264" t="str">
        <f>IF(NOT(ISBLANK($B264)),VLOOKUP($B264,AssetCategories!$A:$E,2,0),"")</f>
        <v/>
      </c>
      <c r="EN264" t="str">
        <f>IF(NOT(ISBLANK($B264)),VLOOKUP($B264,AssetCategories!$A:$E,3,0),"")</f>
        <v/>
      </c>
      <c r="EP264" s="33" t="str">
        <f t="shared" si="9"/>
        <v/>
      </c>
    </row>
    <row r="265" spans="16:146" x14ac:dyDescent="0.25">
      <c r="P265" s="33" t="str" cm="1">
        <f t="array" ref="P265">IFERROR(SUM(VALUE(_xlfn.TEXTSPLIT(O265, ";"))), "")</f>
        <v/>
      </c>
      <c r="DO265" t="str">
        <f t="shared" si="8"/>
        <v/>
      </c>
      <c r="EG265" s="33" t="str">
        <f>IF(NOT(ISBLANK($B265)),VLOOKUP($B265,AssetCategories!$A:$E,5,0),"")</f>
        <v/>
      </c>
      <c r="EH265" t="str">
        <f>IF(NOT(ISBLANK($B265)),VLOOKUP($B265,AssetCategories!$A:$E,4,0),"")</f>
        <v/>
      </c>
      <c r="EM265" t="str">
        <f>IF(NOT(ISBLANK($B265)),VLOOKUP($B265,AssetCategories!$A:$E,2,0),"")</f>
        <v/>
      </c>
      <c r="EN265" t="str">
        <f>IF(NOT(ISBLANK($B265)),VLOOKUP($B265,AssetCategories!$A:$E,3,0),"")</f>
        <v/>
      </c>
      <c r="EP265" s="33" t="str">
        <f t="shared" si="9"/>
        <v/>
      </c>
    </row>
    <row r="266" spans="16:146" x14ac:dyDescent="0.25">
      <c r="P266" s="33" t="str" cm="1">
        <f t="array" ref="P266">IFERROR(SUM(VALUE(_xlfn.TEXTSPLIT(O266, ";"))), "")</f>
        <v/>
      </c>
      <c r="DO266" t="str">
        <f t="shared" si="8"/>
        <v/>
      </c>
      <c r="EG266" s="33" t="str">
        <f>IF(NOT(ISBLANK($B266)),VLOOKUP($B266,AssetCategories!$A:$E,5,0),"")</f>
        <v/>
      </c>
      <c r="EH266" t="str">
        <f>IF(NOT(ISBLANK($B266)),VLOOKUP($B266,AssetCategories!$A:$E,4,0),"")</f>
        <v/>
      </c>
      <c r="EM266" t="str">
        <f>IF(NOT(ISBLANK($B266)),VLOOKUP($B266,AssetCategories!$A:$E,2,0),"")</f>
        <v/>
      </c>
      <c r="EN266" t="str">
        <f>IF(NOT(ISBLANK($B266)),VLOOKUP($B266,AssetCategories!$A:$E,3,0),"")</f>
        <v/>
      </c>
      <c r="EP266" s="33" t="str">
        <f t="shared" si="9"/>
        <v/>
      </c>
    </row>
    <row r="267" spans="16:146" x14ac:dyDescent="0.25">
      <c r="P267" s="33" t="str" cm="1">
        <f t="array" ref="P267">IFERROR(SUM(VALUE(_xlfn.TEXTSPLIT(O267, ";"))), "")</f>
        <v/>
      </c>
      <c r="DO267" t="str">
        <f t="shared" si="8"/>
        <v/>
      </c>
      <c r="EG267" s="33" t="str">
        <f>IF(NOT(ISBLANK($B267)),VLOOKUP($B267,AssetCategories!$A:$E,5,0),"")</f>
        <v/>
      </c>
      <c r="EH267" t="str">
        <f>IF(NOT(ISBLANK($B267)),VLOOKUP($B267,AssetCategories!$A:$E,4,0),"")</f>
        <v/>
      </c>
      <c r="EM267" t="str">
        <f>IF(NOT(ISBLANK($B267)),VLOOKUP($B267,AssetCategories!$A:$E,2,0),"")</f>
        <v/>
      </c>
      <c r="EN267" t="str">
        <f>IF(NOT(ISBLANK($B267)),VLOOKUP($B267,AssetCategories!$A:$E,3,0),"")</f>
        <v/>
      </c>
      <c r="EP267" s="33" t="str">
        <f t="shared" si="9"/>
        <v/>
      </c>
    </row>
    <row r="268" spans="16:146" x14ac:dyDescent="0.25">
      <c r="P268" s="33" t="str" cm="1">
        <f t="array" ref="P268">IFERROR(SUM(VALUE(_xlfn.TEXTSPLIT(O268, ";"))), "")</f>
        <v/>
      </c>
      <c r="DO268" t="str">
        <f t="shared" si="8"/>
        <v/>
      </c>
      <c r="EG268" s="33" t="str">
        <f>IF(NOT(ISBLANK($B268)),VLOOKUP($B268,AssetCategories!$A:$E,5,0),"")</f>
        <v/>
      </c>
      <c r="EH268" t="str">
        <f>IF(NOT(ISBLANK($B268)),VLOOKUP($B268,AssetCategories!$A:$E,4,0),"")</f>
        <v/>
      </c>
      <c r="EM268" t="str">
        <f>IF(NOT(ISBLANK($B268)),VLOOKUP($B268,AssetCategories!$A:$E,2,0),"")</f>
        <v/>
      </c>
      <c r="EN268" t="str">
        <f>IF(NOT(ISBLANK($B268)),VLOOKUP($B268,AssetCategories!$A:$E,3,0),"")</f>
        <v/>
      </c>
      <c r="EP268" s="33" t="str">
        <f t="shared" si="9"/>
        <v/>
      </c>
    </row>
    <row r="269" spans="16:146" x14ac:dyDescent="0.25">
      <c r="P269" s="33" t="str" cm="1">
        <f t="array" ref="P269">IFERROR(SUM(VALUE(_xlfn.TEXTSPLIT(O269, ";"))), "")</f>
        <v/>
      </c>
      <c r="DO269" t="str">
        <f t="shared" si="8"/>
        <v/>
      </c>
      <c r="EG269" s="33" t="str">
        <f>IF(NOT(ISBLANK($B269)),VLOOKUP($B269,AssetCategories!$A:$E,5,0),"")</f>
        <v/>
      </c>
      <c r="EH269" t="str">
        <f>IF(NOT(ISBLANK($B269)),VLOOKUP($B269,AssetCategories!$A:$E,4,0),"")</f>
        <v/>
      </c>
      <c r="EM269" t="str">
        <f>IF(NOT(ISBLANK($B269)),VLOOKUP($B269,AssetCategories!$A:$E,2,0),"")</f>
        <v/>
      </c>
      <c r="EN269" t="str">
        <f>IF(NOT(ISBLANK($B269)),VLOOKUP($B269,AssetCategories!$A:$E,3,0),"")</f>
        <v/>
      </c>
      <c r="EP269" s="33" t="str">
        <f t="shared" si="9"/>
        <v/>
      </c>
    </row>
    <row r="270" spans="16:146" x14ac:dyDescent="0.25">
      <c r="P270" s="33" t="str" cm="1">
        <f t="array" ref="P270">IFERROR(SUM(VALUE(_xlfn.TEXTSPLIT(O270, ";"))), "")</f>
        <v/>
      </c>
      <c r="DO270" t="str">
        <f t="shared" si="8"/>
        <v/>
      </c>
      <c r="EG270" s="33" t="str">
        <f>IF(NOT(ISBLANK($B270)),VLOOKUP($B270,AssetCategories!$A:$E,5,0),"")</f>
        <v/>
      </c>
      <c r="EH270" t="str">
        <f>IF(NOT(ISBLANK($B270)),VLOOKUP($B270,AssetCategories!$A:$E,4,0),"")</f>
        <v/>
      </c>
      <c r="EM270" t="str">
        <f>IF(NOT(ISBLANK($B270)),VLOOKUP($B270,AssetCategories!$A:$E,2,0),"")</f>
        <v/>
      </c>
      <c r="EN270" t="str">
        <f>IF(NOT(ISBLANK($B270)),VLOOKUP($B270,AssetCategories!$A:$E,3,0),"")</f>
        <v/>
      </c>
      <c r="EP270" s="33" t="str">
        <f t="shared" si="9"/>
        <v/>
      </c>
    </row>
    <row r="271" spans="16:146" x14ac:dyDescent="0.25">
      <c r="P271" s="33" t="str" cm="1">
        <f t="array" ref="P271">IFERROR(SUM(VALUE(_xlfn.TEXTSPLIT(O271, ";"))), "")</f>
        <v/>
      </c>
      <c r="DO271" t="str">
        <f t="shared" si="8"/>
        <v/>
      </c>
      <c r="EG271" s="33" t="str">
        <f>IF(NOT(ISBLANK($B271)),VLOOKUP($B271,AssetCategories!$A:$E,5,0),"")</f>
        <v/>
      </c>
      <c r="EH271" t="str">
        <f>IF(NOT(ISBLANK($B271)),VLOOKUP($B271,AssetCategories!$A:$E,4,0),"")</f>
        <v/>
      </c>
      <c r="EM271" t="str">
        <f>IF(NOT(ISBLANK($B271)),VLOOKUP($B271,AssetCategories!$A:$E,2,0),"")</f>
        <v/>
      </c>
      <c r="EN271" t="str">
        <f>IF(NOT(ISBLANK($B271)),VLOOKUP($B271,AssetCategories!$A:$E,3,0),"")</f>
        <v/>
      </c>
      <c r="EP271" s="33" t="str">
        <f t="shared" si="9"/>
        <v/>
      </c>
    </row>
    <row r="272" spans="16:146" x14ac:dyDescent="0.25">
      <c r="P272" s="33" t="str" cm="1">
        <f t="array" ref="P272">IFERROR(SUM(VALUE(_xlfn.TEXTSPLIT(O272, ";"))), "")</f>
        <v/>
      </c>
      <c r="DO272" t="str">
        <f t="shared" si="8"/>
        <v/>
      </c>
      <c r="EG272" s="33" t="str">
        <f>IF(NOT(ISBLANK($B272)),VLOOKUP($B272,AssetCategories!$A:$E,5,0),"")</f>
        <v/>
      </c>
      <c r="EH272" t="str">
        <f>IF(NOT(ISBLANK($B272)),VLOOKUP($B272,AssetCategories!$A:$E,4,0),"")</f>
        <v/>
      </c>
      <c r="EM272" t="str">
        <f>IF(NOT(ISBLANK($B272)),VLOOKUP($B272,AssetCategories!$A:$E,2,0),"")</f>
        <v/>
      </c>
      <c r="EN272" t="str">
        <f>IF(NOT(ISBLANK($B272)),VLOOKUP($B272,AssetCategories!$A:$E,3,0),"")</f>
        <v/>
      </c>
      <c r="EP272" s="33" t="str">
        <f t="shared" si="9"/>
        <v/>
      </c>
    </row>
    <row r="273" spans="16:146" x14ac:dyDescent="0.25">
      <c r="P273" s="33" t="str" cm="1">
        <f t="array" ref="P273">IFERROR(SUM(VALUE(_xlfn.TEXTSPLIT(O273, ";"))), "")</f>
        <v/>
      </c>
      <c r="DO273" t="str">
        <f t="shared" si="8"/>
        <v/>
      </c>
      <c r="EG273" s="33" t="str">
        <f>IF(NOT(ISBLANK($B273)),VLOOKUP($B273,AssetCategories!$A:$E,5,0),"")</f>
        <v/>
      </c>
      <c r="EH273" t="str">
        <f>IF(NOT(ISBLANK($B273)),VLOOKUP($B273,AssetCategories!$A:$E,4,0),"")</f>
        <v/>
      </c>
      <c r="EM273" t="str">
        <f>IF(NOT(ISBLANK($B273)),VLOOKUP($B273,AssetCategories!$A:$E,2,0),"")</f>
        <v/>
      </c>
      <c r="EN273" t="str">
        <f>IF(NOT(ISBLANK($B273)),VLOOKUP($B273,AssetCategories!$A:$E,3,0),"")</f>
        <v/>
      </c>
      <c r="EP273" s="33" t="str">
        <f t="shared" si="9"/>
        <v/>
      </c>
    </row>
    <row r="274" spans="16:146" x14ac:dyDescent="0.25">
      <c r="P274" s="33" t="str" cm="1">
        <f t="array" ref="P274">IFERROR(SUM(VALUE(_xlfn.TEXTSPLIT(O274, ";"))), "")</f>
        <v/>
      </c>
      <c r="DO274" t="str">
        <f t="shared" si="8"/>
        <v/>
      </c>
      <c r="EG274" s="33" t="str">
        <f>IF(NOT(ISBLANK($B274)),VLOOKUP($B274,AssetCategories!$A:$E,5,0),"")</f>
        <v/>
      </c>
      <c r="EH274" t="str">
        <f>IF(NOT(ISBLANK($B274)),VLOOKUP($B274,AssetCategories!$A:$E,4,0),"")</f>
        <v/>
      </c>
      <c r="EM274" t="str">
        <f>IF(NOT(ISBLANK($B274)),VLOOKUP($B274,AssetCategories!$A:$E,2,0),"")</f>
        <v/>
      </c>
      <c r="EN274" t="str">
        <f>IF(NOT(ISBLANK($B274)),VLOOKUP($B274,AssetCategories!$A:$E,3,0),"")</f>
        <v/>
      </c>
      <c r="EP274" s="33" t="str">
        <f t="shared" si="9"/>
        <v/>
      </c>
    </row>
    <row r="275" spans="16:146" x14ac:dyDescent="0.25">
      <c r="P275" s="33" t="str" cm="1">
        <f t="array" ref="P275">IFERROR(SUM(VALUE(_xlfn.TEXTSPLIT(O275, ";"))), "")</f>
        <v/>
      </c>
      <c r="DO275" t="str">
        <f t="shared" si="8"/>
        <v/>
      </c>
      <c r="EG275" s="33" t="str">
        <f>IF(NOT(ISBLANK($B275)),VLOOKUP($B275,AssetCategories!$A:$E,5,0),"")</f>
        <v/>
      </c>
      <c r="EH275" t="str">
        <f>IF(NOT(ISBLANK($B275)),VLOOKUP($B275,AssetCategories!$A:$E,4,0),"")</f>
        <v/>
      </c>
      <c r="EM275" t="str">
        <f>IF(NOT(ISBLANK($B275)),VLOOKUP($B275,AssetCategories!$A:$E,2,0),"")</f>
        <v/>
      </c>
      <c r="EN275" t="str">
        <f>IF(NOT(ISBLANK($B275)),VLOOKUP($B275,AssetCategories!$A:$E,3,0),"")</f>
        <v/>
      </c>
      <c r="EP275" s="33" t="str">
        <f t="shared" si="9"/>
        <v/>
      </c>
    </row>
    <row r="276" spans="16:146" x14ac:dyDescent="0.25">
      <c r="P276" s="33" t="str" cm="1">
        <f t="array" ref="P276">IFERROR(SUM(VALUE(_xlfn.TEXTSPLIT(O276, ";"))), "")</f>
        <v/>
      </c>
      <c r="DO276" t="str">
        <f t="shared" si="8"/>
        <v/>
      </c>
      <c r="EG276" s="33" t="str">
        <f>IF(NOT(ISBLANK($B276)),VLOOKUP($B276,AssetCategories!$A:$E,5,0),"")</f>
        <v/>
      </c>
      <c r="EH276" t="str">
        <f>IF(NOT(ISBLANK($B276)),VLOOKUP($B276,AssetCategories!$A:$E,4,0),"")</f>
        <v/>
      </c>
      <c r="EM276" t="str">
        <f>IF(NOT(ISBLANK($B276)),VLOOKUP($B276,AssetCategories!$A:$E,2,0),"")</f>
        <v/>
      </c>
      <c r="EN276" t="str">
        <f>IF(NOT(ISBLANK($B276)),VLOOKUP($B276,AssetCategories!$A:$E,3,0),"")</f>
        <v/>
      </c>
      <c r="EP276" s="33" t="str">
        <f t="shared" si="9"/>
        <v/>
      </c>
    </row>
    <row r="277" spans="16:146" x14ac:dyDescent="0.25">
      <c r="P277" s="33" t="str" cm="1">
        <f t="array" ref="P277">IFERROR(SUM(VALUE(_xlfn.TEXTSPLIT(O277, ";"))), "")</f>
        <v/>
      </c>
      <c r="DO277" t="str">
        <f t="shared" si="8"/>
        <v/>
      </c>
      <c r="EG277" s="33" t="str">
        <f>IF(NOT(ISBLANK($B277)),VLOOKUP($B277,AssetCategories!$A:$E,5,0),"")</f>
        <v/>
      </c>
      <c r="EH277" t="str">
        <f>IF(NOT(ISBLANK($B277)),VLOOKUP($B277,AssetCategories!$A:$E,4,0),"")</f>
        <v/>
      </c>
      <c r="EM277" t="str">
        <f>IF(NOT(ISBLANK($B277)),VLOOKUP($B277,AssetCategories!$A:$E,2,0),"")</f>
        <v/>
      </c>
      <c r="EN277" t="str">
        <f>IF(NOT(ISBLANK($B277)),VLOOKUP($B277,AssetCategories!$A:$E,3,0),"")</f>
        <v/>
      </c>
      <c r="EP277" s="33" t="str">
        <f t="shared" si="9"/>
        <v/>
      </c>
    </row>
    <row r="278" spans="16:146" x14ac:dyDescent="0.25">
      <c r="P278" s="33" t="str" cm="1">
        <f t="array" ref="P278">IFERROR(SUM(VALUE(_xlfn.TEXTSPLIT(O278, ";"))), "")</f>
        <v/>
      </c>
      <c r="DO278" t="str">
        <f t="shared" si="8"/>
        <v/>
      </c>
      <c r="EG278" s="33" t="str">
        <f>IF(NOT(ISBLANK($B278)),VLOOKUP($B278,AssetCategories!$A:$E,5,0),"")</f>
        <v/>
      </c>
      <c r="EH278" t="str">
        <f>IF(NOT(ISBLANK($B278)),VLOOKUP($B278,AssetCategories!$A:$E,4,0),"")</f>
        <v/>
      </c>
      <c r="EM278" t="str">
        <f>IF(NOT(ISBLANK($B278)),VLOOKUP($B278,AssetCategories!$A:$E,2,0),"")</f>
        <v/>
      </c>
      <c r="EN278" t="str">
        <f>IF(NOT(ISBLANK($B278)),VLOOKUP($B278,AssetCategories!$A:$E,3,0),"")</f>
        <v/>
      </c>
      <c r="EP278" s="33" t="str">
        <f t="shared" si="9"/>
        <v/>
      </c>
    </row>
    <row r="279" spans="16:146" x14ac:dyDescent="0.25">
      <c r="P279" s="33" t="str" cm="1">
        <f t="array" ref="P279">IFERROR(SUM(VALUE(_xlfn.TEXTSPLIT(O279, ";"))), "")</f>
        <v/>
      </c>
      <c r="DO279" t="str">
        <f t="shared" si="8"/>
        <v/>
      </c>
      <c r="EG279" s="33" t="str">
        <f>IF(NOT(ISBLANK($B279)),VLOOKUP($B279,AssetCategories!$A:$E,5,0),"")</f>
        <v/>
      </c>
      <c r="EH279" t="str">
        <f>IF(NOT(ISBLANK($B279)),VLOOKUP($B279,AssetCategories!$A:$E,4,0),"")</f>
        <v/>
      </c>
      <c r="EM279" t="str">
        <f>IF(NOT(ISBLANK($B279)),VLOOKUP($B279,AssetCategories!$A:$E,2,0),"")</f>
        <v/>
      </c>
      <c r="EN279" t="str">
        <f>IF(NOT(ISBLANK($B279)),VLOOKUP($B279,AssetCategories!$A:$E,3,0),"")</f>
        <v/>
      </c>
      <c r="EP279" s="33" t="str">
        <f t="shared" si="9"/>
        <v/>
      </c>
    </row>
    <row r="280" spans="16:146" x14ac:dyDescent="0.25">
      <c r="P280" s="33" t="str" cm="1">
        <f t="array" ref="P280">IFERROR(SUM(VALUE(_xlfn.TEXTSPLIT(O280, ";"))), "")</f>
        <v/>
      </c>
      <c r="DO280" t="str">
        <f t="shared" si="8"/>
        <v/>
      </c>
      <c r="EG280" s="33" t="str">
        <f>IF(NOT(ISBLANK($B280)),VLOOKUP($B280,AssetCategories!$A:$E,5,0),"")</f>
        <v/>
      </c>
      <c r="EH280" t="str">
        <f>IF(NOT(ISBLANK($B280)),VLOOKUP($B280,AssetCategories!$A:$E,4,0),"")</f>
        <v/>
      </c>
      <c r="EM280" t="str">
        <f>IF(NOT(ISBLANK($B280)),VLOOKUP($B280,AssetCategories!$A:$E,2,0),"")</f>
        <v/>
      </c>
      <c r="EN280" t="str">
        <f>IF(NOT(ISBLANK($B280)),VLOOKUP($B280,AssetCategories!$A:$E,3,0),"")</f>
        <v/>
      </c>
      <c r="EP280" s="33" t="str">
        <f t="shared" si="9"/>
        <v/>
      </c>
    </row>
    <row r="281" spans="16:146" x14ac:dyDescent="0.25">
      <c r="P281" s="33" t="str" cm="1">
        <f t="array" ref="P281">IFERROR(SUM(VALUE(_xlfn.TEXTSPLIT(O281, ";"))), "")</f>
        <v/>
      </c>
      <c r="DO281" t="str">
        <f t="shared" si="8"/>
        <v/>
      </c>
      <c r="EG281" s="33" t="str">
        <f>IF(NOT(ISBLANK($B281)),VLOOKUP($B281,AssetCategories!$A:$E,5,0),"")</f>
        <v/>
      </c>
      <c r="EH281" t="str">
        <f>IF(NOT(ISBLANK($B281)),VLOOKUP($B281,AssetCategories!$A:$E,4,0),"")</f>
        <v/>
      </c>
      <c r="EM281" t="str">
        <f>IF(NOT(ISBLANK($B281)),VLOOKUP($B281,AssetCategories!$A:$E,2,0),"")</f>
        <v/>
      </c>
      <c r="EN281" t="str">
        <f>IF(NOT(ISBLANK($B281)),VLOOKUP($B281,AssetCategories!$A:$E,3,0),"")</f>
        <v/>
      </c>
      <c r="EP281" s="33" t="str">
        <f t="shared" si="9"/>
        <v/>
      </c>
    </row>
    <row r="282" spans="16:146" x14ac:dyDescent="0.25">
      <c r="P282" s="33" t="str" cm="1">
        <f t="array" ref="P282">IFERROR(SUM(VALUE(_xlfn.TEXTSPLIT(O282, ";"))), "")</f>
        <v/>
      </c>
      <c r="DO282" t="str">
        <f t="shared" si="8"/>
        <v/>
      </c>
      <c r="EG282" s="33" t="str">
        <f>IF(NOT(ISBLANK($B282)),VLOOKUP($B282,AssetCategories!$A:$E,5,0),"")</f>
        <v/>
      </c>
      <c r="EH282" t="str">
        <f>IF(NOT(ISBLANK($B282)),VLOOKUP($B282,AssetCategories!$A:$E,4,0),"")</f>
        <v/>
      </c>
      <c r="EM282" t="str">
        <f>IF(NOT(ISBLANK($B282)),VLOOKUP($B282,AssetCategories!$A:$E,2,0),"")</f>
        <v/>
      </c>
      <c r="EN282" t="str">
        <f>IF(NOT(ISBLANK($B282)),VLOOKUP($B282,AssetCategories!$A:$E,3,0),"")</f>
        <v/>
      </c>
      <c r="EP282" s="33" t="str">
        <f t="shared" si="9"/>
        <v/>
      </c>
    </row>
    <row r="283" spans="16:146" x14ac:dyDescent="0.25">
      <c r="P283" s="33" t="str" cm="1">
        <f t="array" ref="P283">IFERROR(SUM(VALUE(_xlfn.TEXTSPLIT(O283, ";"))), "")</f>
        <v/>
      </c>
      <c r="DO283" t="str">
        <f t="shared" si="8"/>
        <v/>
      </c>
      <c r="EG283" s="33" t="str">
        <f>IF(NOT(ISBLANK($B283)),VLOOKUP($B283,AssetCategories!$A:$E,5,0),"")</f>
        <v/>
      </c>
      <c r="EH283" t="str">
        <f>IF(NOT(ISBLANK($B283)),VLOOKUP($B283,AssetCategories!$A:$E,4,0),"")</f>
        <v/>
      </c>
      <c r="EM283" t="str">
        <f>IF(NOT(ISBLANK($B283)),VLOOKUP($B283,AssetCategories!$A:$E,2,0),"")</f>
        <v/>
      </c>
      <c r="EN283" t="str">
        <f>IF(NOT(ISBLANK($B283)),VLOOKUP($B283,AssetCategories!$A:$E,3,0),"")</f>
        <v/>
      </c>
      <c r="EP283" s="33" t="str">
        <f t="shared" si="9"/>
        <v/>
      </c>
    </row>
    <row r="284" spans="16:146" x14ac:dyDescent="0.25">
      <c r="P284" s="33" t="str" cm="1">
        <f t="array" ref="P284">IFERROR(SUM(VALUE(_xlfn.TEXTSPLIT(O284, ";"))), "")</f>
        <v/>
      </c>
      <c r="DO284" t="str">
        <f t="shared" si="8"/>
        <v/>
      </c>
      <c r="EG284" s="33" t="str">
        <f>IF(NOT(ISBLANK($B284)),VLOOKUP($B284,AssetCategories!$A:$E,5,0),"")</f>
        <v/>
      </c>
      <c r="EH284" t="str">
        <f>IF(NOT(ISBLANK($B284)),VLOOKUP($B284,AssetCategories!$A:$E,4,0),"")</f>
        <v/>
      </c>
      <c r="EM284" t="str">
        <f>IF(NOT(ISBLANK($B284)),VLOOKUP($B284,AssetCategories!$A:$E,2,0),"")</f>
        <v/>
      </c>
      <c r="EN284" t="str">
        <f>IF(NOT(ISBLANK($B284)),VLOOKUP($B284,AssetCategories!$A:$E,3,0),"")</f>
        <v/>
      </c>
      <c r="EP284" s="33" t="str">
        <f t="shared" si="9"/>
        <v/>
      </c>
    </row>
    <row r="285" spans="16:146" x14ac:dyDescent="0.25">
      <c r="P285" s="33" t="str" cm="1">
        <f t="array" ref="P285">IFERROR(SUM(VALUE(_xlfn.TEXTSPLIT(O285, ";"))), "")</f>
        <v/>
      </c>
      <c r="DO285" t="str">
        <f t="shared" si="8"/>
        <v/>
      </c>
      <c r="EG285" s="33" t="str">
        <f>IF(NOT(ISBLANK($B285)),VLOOKUP($B285,AssetCategories!$A:$E,5,0),"")</f>
        <v/>
      </c>
      <c r="EH285" t="str">
        <f>IF(NOT(ISBLANK($B285)),VLOOKUP($B285,AssetCategories!$A:$E,4,0),"")</f>
        <v/>
      </c>
      <c r="EM285" t="str">
        <f>IF(NOT(ISBLANK($B285)),VLOOKUP($B285,AssetCategories!$A:$E,2,0),"")</f>
        <v/>
      </c>
      <c r="EN285" t="str">
        <f>IF(NOT(ISBLANK($B285)),VLOOKUP($B285,AssetCategories!$A:$E,3,0),"")</f>
        <v/>
      </c>
      <c r="EP285" s="33" t="str">
        <f t="shared" si="9"/>
        <v/>
      </c>
    </row>
    <row r="286" spans="16:146" x14ac:dyDescent="0.25">
      <c r="P286" s="33" t="str" cm="1">
        <f t="array" ref="P286">IFERROR(SUM(VALUE(_xlfn.TEXTSPLIT(O286, ";"))), "")</f>
        <v/>
      </c>
      <c r="DO286" t="str">
        <f t="shared" si="8"/>
        <v/>
      </c>
      <c r="EG286" s="33" t="str">
        <f>IF(NOT(ISBLANK($B286)),VLOOKUP($B286,AssetCategories!$A:$E,5,0),"")</f>
        <v/>
      </c>
      <c r="EH286" t="str">
        <f>IF(NOT(ISBLANK($B286)),VLOOKUP($B286,AssetCategories!$A:$E,4,0),"")</f>
        <v/>
      </c>
      <c r="EM286" t="str">
        <f>IF(NOT(ISBLANK($B286)),VLOOKUP($B286,AssetCategories!$A:$E,2,0),"")</f>
        <v/>
      </c>
      <c r="EN286" t="str">
        <f>IF(NOT(ISBLANK($B286)),VLOOKUP($B286,AssetCategories!$A:$E,3,0),"")</f>
        <v/>
      </c>
      <c r="EP286" s="33" t="str">
        <f t="shared" si="9"/>
        <v/>
      </c>
    </row>
    <row r="287" spans="16:146" x14ac:dyDescent="0.25">
      <c r="P287" s="33" t="str" cm="1">
        <f t="array" ref="P287">IFERROR(SUM(VALUE(_xlfn.TEXTSPLIT(O287, ";"))), "")</f>
        <v/>
      </c>
      <c r="DO287" t="str">
        <f t="shared" si="8"/>
        <v/>
      </c>
      <c r="EG287" s="33" t="str">
        <f>IF(NOT(ISBLANK($B287)),VLOOKUP($B287,AssetCategories!$A:$E,5,0),"")</f>
        <v/>
      </c>
      <c r="EH287" t="str">
        <f>IF(NOT(ISBLANK($B287)),VLOOKUP($B287,AssetCategories!$A:$E,4,0),"")</f>
        <v/>
      </c>
      <c r="EM287" t="str">
        <f>IF(NOT(ISBLANK($B287)),VLOOKUP($B287,AssetCategories!$A:$E,2,0),"")</f>
        <v/>
      </c>
      <c r="EN287" t="str">
        <f>IF(NOT(ISBLANK($B287)),VLOOKUP($B287,AssetCategories!$A:$E,3,0),"")</f>
        <v/>
      </c>
      <c r="EP287" s="33" t="str">
        <f t="shared" si="9"/>
        <v/>
      </c>
    </row>
    <row r="288" spans="16:146" x14ac:dyDescent="0.25">
      <c r="P288" s="33" t="str" cm="1">
        <f t="array" ref="P288">IFERROR(SUM(VALUE(_xlfn.TEXTSPLIT(O288, ";"))), "")</f>
        <v/>
      </c>
      <c r="DO288" t="str">
        <f t="shared" si="8"/>
        <v/>
      </c>
      <c r="EG288" s="33" t="str">
        <f>IF(NOT(ISBLANK($B288)),VLOOKUP($B288,AssetCategories!$A:$E,5,0),"")</f>
        <v/>
      </c>
      <c r="EH288" t="str">
        <f>IF(NOT(ISBLANK($B288)),VLOOKUP($B288,AssetCategories!$A:$E,4,0),"")</f>
        <v/>
      </c>
      <c r="EM288" t="str">
        <f>IF(NOT(ISBLANK($B288)),VLOOKUP($B288,AssetCategories!$A:$E,2,0),"")</f>
        <v/>
      </c>
      <c r="EN288" t="str">
        <f>IF(NOT(ISBLANK($B288)),VLOOKUP($B288,AssetCategories!$A:$E,3,0),"")</f>
        <v/>
      </c>
      <c r="EP288" s="33" t="str">
        <f t="shared" si="9"/>
        <v/>
      </c>
    </row>
    <row r="289" spans="16:146" x14ac:dyDescent="0.25">
      <c r="P289" s="33" t="str" cm="1">
        <f t="array" ref="P289">IFERROR(SUM(VALUE(_xlfn.TEXTSPLIT(O289, ";"))), "")</f>
        <v/>
      </c>
      <c r="DO289" t="str">
        <f t="shared" si="8"/>
        <v/>
      </c>
      <c r="EG289" s="33" t="str">
        <f>IF(NOT(ISBLANK($B289)),VLOOKUP($B289,AssetCategories!$A:$E,5,0),"")</f>
        <v/>
      </c>
      <c r="EH289" t="str">
        <f>IF(NOT(ISBLANK($B289)),VLOOKUP($B289,AssetCategories!$A:$E,4,0),"")</f>
        <v/>
      </c>
      <c r="EM289" t="str">
        <f>IF(NOT(ISBLANK($B289)),VLOOKUP($B289,AssetCategories!$A:$E,2,0),"")</f>
        <v/>
      </c>
      <c r="EN289" t="str">
        <f>IF(NOT(ISBLANK($B289)),VLOOKUP($B289,AssetCategories!$A:$E,3,0),"")</f>
        <v/>
      </c>
      <c r="EP289" s="33" t="str">
        <f t="shared" si="9"/>
        <v/>
      </c>
    </row>
    <row r="290" spans="16:146" x14ac:dyDescent="0.25">
      <c r="P290" s="33" t="str" cm="1">
        <f t="array" ref="P290">IFERROR(SUM(VALUE(_xlfn.TEXTSPLIT(O290, ";"))), "")</f>
        <v/>
      </c>
      <c r="DO290" t="str">
        <f t="shared" si="8"/>
        <v/>
      </c>
      <c r="EG290" s="33" t="str">
        <f>IF(NOT(ISBLANK($B290)),VLOOKUP($B290,AssetCategories!$A:$E,5,0),"")</f>
        <v/>
      </c>
      <c r="EH290" t="str">
        <f>IF(NOT(ISBLANK($B290)),VLOOKUP($B290,AssetCategories!$A:$E,4,0),"")</f>
        <v/>
      </c>
      <c r="EM290" t="str">
        <f>IF(NOT(ISBLANK($B290)),VLOOKUP($B290,AssetCategories!$A:$E,2,0),"")</f>
        <v/>
      </c>
      <c r="EN290" t="str">
        <f>IF(NOT(ISBLANK($B290)),VLOOKUP($B290,AssetCategories!$A:$E,3,0),"")</f>
        <v/>
      </c>
      <c r="EP290" s="33" t="str">
        <f t="shared" si="9"/>
        <v/>
      </c>
    </row>
    <row r="291" spans="16:146" x14ac:dyDescent="0.25">
      <c r="P291" s="33" t="str" cm="1">
        <f t="array" ref="P291">IFERROR(SUM(VALUE(_xlfn.TEXTSPLIT(O291, ";"))), "")</f>
        <v/>
      </c>
      <c r="DO291" t="str">
        <f t="shared" si="8"/>
        <v/>
      </c>
      <c r="EG291" s="33" t="str">
        <f>IF(NOT(ISBLANK($B291)),VLOOKUP($B291,AssetCategories!$A:$E,5,0),"")</f>
        <v/>
      </c>
      <c r="EH291" t="str">
        <f>IF(NOT(ISBLANK($B291)),VLOOKUP($B291,AssetCategories!$A:$E,4,0),"")</f>
        <v/>
      </c>
      <c r="EM291" t="str">
        <f>IF(NOT(ISBLANK($B291)),VLOOKUP($B291,AssetCategories!$A:$E,2,0),"")</f>
        <v/>
      </c>
      <c r="EN291" t="str">
        <f>IF(NOT(ISBLANK($B291)),VLOOKUP($B291,AssetCategories!$A:$E,3,0),"")</f>
        <v/>
      </c>
      <c r="EP291" s="33" t="str">
        <f t="shared" si="9"/>
        <v/>
      </c>
    </row>
    <row r="292" spans="16:146" x14ac:dyDescent="0.25">
      <c r="P292" s="33" t="str" cm="1">
        <f t="array" ref="P292">IFERROR(SUM(VALUE(_xlfn.TEXTSPLIT(O292, ";"))), "")</f>
        <v/>
      </c>
      <c r="DO292" t="str">
        <f t="shared" si="8"/>
        <v/>
      </c>
      <c r="EG292" s="33" t="str">
        <f>IF(NOT(ISBLANK($B292)),VLOOKUP($B292,AssetCategories!$A:$E,5,0),"")</f>
        <v/>
      </c>
      <c r="EH292" t="str">
        <f>IF(NOT(ISBLANK($B292)),VLOOKUP($B292,AssetCategories!$A:$E,4,0),"")</f>
        <v/>
      </c>
      <c r="EM292" t="str">
        <f>IF(NOT(ISBLANK($B292)),VLOOKUP($B292,AssetCategories!$A:$E,2,0),"")</f>
        <v/>
      </c>
      <c r="EN292" t="str">
        <f>IF(NOT(ISBLANK($B292)),VLOOKUP($B292,AssetCategories!$A:$E,3,0),"")</f>
        <v/>
      </c>
      <c r="EP292" s="33" t="str">
        <f t="shared" si="9"/>
        <v/>
      </c>
    </row>
    <row r="293" spans="16:146" x14ac:dyDescent="0.25">
      <c r="P293" s="33" t="str" cm="1">
        <f t="array" ref="P293">IFERROR(SUM(VALUE(_xlfn.TEXTSPLIT(O293, ";"))), "")</f>
        <v/>
      </c>
      <c r="DO293" t="str">
        <f t="shared" si="8"/>
        <v/>
      </c>
      <c r="EG293" s="33" t="str">
        <f>IF(NOT(ISBLANK($B293)),VLOOKUP($B293,AssetCategories!$A:$E,5,0),"")</f>
        <v/>
      </c>
      <c r="EH293" t="str">
        <f>IF(NOT(ISBLANK($B293)),VLOOKUP($B293,AssetCategories!$A:$E,4,0),"")</f>
        <v/>
      </c>
      <c r="EM293" t="str">
        <f>IF(NOT(ISBLANK($B293)),VLOOKUP($B293,AssetCategories!$A:$E,2,0),"")</f>
        <v/>
      </c>
      <c r="EN293" t="str">
        <f>IF(NOT(ISBLANK($B293)),VLOOKUP($B293,AssetCategories!$A:$E,3,0),"")</f>
        <v/>
      </c>
      <c r="EP293" s="33" t="str">
        <f t="shared" si="9"/>
        <v/>
      </c>
    </row>
    <row r="294" spans="16:146" x14ac:dyDescent="0.25">
      <c r="P294" s="33" t="str" cm="1">
        <f t="array" ref="P294">IFERROR(SUM(VALUE(_xlfn.TEXTSPLIT(O294, ";"))), "")</f>
        <v/>
      </c>
      <c r="DO294" t="str">
        <f t="shared" si="8"/>
        <v/>
      </c>
      <c r="EG294" s="33" t="str">
        <f>IF(NOT(ISBLANK($B294)),VLOOKUP($B294,AssetCategories!$A:$E,5,0),"")</f>
        <v/>
      </c>
      <c r="EH294" t="str">
        <f>IF(NOT(ISBLANK($B294)),VLOOKUP($B294,AssetCategories!$A:$E,4,0),"")</f>
        <v/>
      </c>
      <c r="EM294" t="str">
        <f>IF(NOT(ISBLANK($B294)),VLOOKUP($B294,AssetCategories!$A:$E,2,0),"")</f>
        <v/>
      </c>
      <c r="EN294" t="str">
        <f>IF(NOT(ISBLANK($B294)),VLOOKUP($B294,AssetCategories!$A:$E,3,0),"")</f>
        <v/>
      </c>
      <c r="EP294" s="33" t="str">
        <f t="shared" si="9"/>
        <v/>
      </c>
    </row>
    <row r="295" spans="16:146" x14ac:dyDescent="0.25">
      <c r="P295" s="33" t="str" cm="1">
        <f t="array" ref="P295">IFERROR(SUM(VALUE(_xlfn.TEXTSPLIT(O295, ";"))), "")</f>
        <v/>
      </c>
      <c r="DO295" t="str">
        <f t="shared" si="8"/>
        <v/>
      </c>
      <c r="EG295" s="33" t="str">
        <f>IF(NOT(ISBLANK($B295)),VLOOKUP($B295,AssetCategories!$A:$E,5,0),"")</f>
        <v/>
      </c>
      <c r="EH295" t="str">
        <f>IF(NOT(ISBLANK($B295)),VLOOKUP($B295,AssetCategories!$A:$E,4,0),"")</f>
        <v/>
      </c>
      <c r="EM295" t="str">
        <f>IF(NOT(ISBLANK($B295)),VLOOKUP($B295,AssetCategories!$A:$E,2,0),"")</f>
        <v/>
      </c>
      <c r="EN295" t="str">
        <f>IF(NOT(ISBLANK($B295)),VLOOKUP($B295,AssetCategories!$A:$E,3,0),"")</f>
        <v/>
      </c>
      <c r="EP295" s="33" t="str">
        <f t="shared" si="9"/>
        <v/>
      </c>
    </row>
    <row r="296" spans="16:146" x14ac:dyDescent="0.25">
      <c r="P296" s="33" t="str" cm="1">
        <f t="array" ref="P296">IFERROR(SUM(VALUE(_xlfn.TEXTSPLIT(O296, ";"))), "")</f>
        <v/>
      </c>
      <c r="DO296" t="str">
        <f t="shared" si="8"/>
        <v/>
      </c>
      <c r="EG296" s="33" t="str">
        <f>IF(NOT(ISBLANK($B296)),VLOOKUP($B296,AssetCategories!$A:$E,5,0),"")</f>
        <v/>
      </c>
      <c r="EH296" t="str">
        <f>IF(NOT(ISBLANK($B296)),VLOOKUP($B296,AssetCategories!$A:$E,4,0),"")</f>
        <v/>
      </c>
      <c r="EM296" t="str">
        <f>IF(NOT(ISBLANK($B296)),VLOOKUP($B296,AssetCategories!$A:$E,2,0),"")</f>
        <v/>
      </c>
      <c r="EN296" t="str">
        <f>IF(NOT(ISBLANK($B296)),VLOOKUP($B296,AssetCategories!$A:$E,3,0),"")</f>
        <v/>
      </c>
      <c r="EP296" s="33" t="str">
        <f t="shared" si="9"/>
        <v/>
      </c>
    </row>
    <row r="297" spans="16:146" x14ac:dyDescent="0.25">
      <c r="P297" s="33" t="str" cm="1">
        <f t="array" ref="P297">IFERROR(SUM(VALUE(_xlfn.TEXTSPLIT(O297, ";"))), "")</f>
        <v/>
      </c>
      <c r="DO297" t="str">
        <f t="shared" si="8"/>
        <v/>
      </c>
      <c r="EG297" s="33" t="str">
        <f>IF(NOT(ISBLANK($B297)),VLOOKUP($B297,AssetCategories!$A:$E,5,0),"")</f>
        <v/>
      </c>
      <c r="EH297" t="str">
        <f>IF(NOT(ISBLANK($B297)),VLOOKUP($B297,AssetCategories!$A:$E,4,0),"")</f>
        <v/>
      </c>
      <c r="EM297" t="str">
        <f>IF(NOT(ISBLANK($B297)),VLOOKUP($B297,AssetCategories!$A:$E,2,0),"")</f>
        <v/>
      </c>
      <c r="EN297" t="str">
        <f>IF(NOT(ISBLANK($B297)),VLOOKUP($B297,AssetCategories!$A:$E,3,0),"")</f>
        <v/>
      </c>
      <c r="EP297" s="33" t="str">
        <f t="shared" si="9"/>
        <v/>
      </c>
    </row>
    <row r="298" spans="16:146" x14ac:dyDescent="0.25">
      <c r="P298" s="33" t="str" cm="1">
        <f t="array" ref="P298">IFERROR(SUM(VALUE(_xlfn.TEXTSPLIT(O298, ";"))), "")</f>
        <v/>
      </c>
      <c r="DO298" t="str">
        <f t="shared" si="8"/>
        <v/>
      </c>
      <c r="EG298" s="33" t="str">
        <f>IF(NOT(ISBLANK($B298)),VLOOKUP($B298,AssetCategories!$A:$E,5,0),"")</f>
        <v/>
      </c>
      <c r="EH298" t="str">
        <f>IF(NOT(ISBLANK($B298)),VLOOKUP($B298,AssetCategories!$A:$E,4,0),"")</f>
        <v/>
      </c>
      <c r="EM298" t="str">
        <f>IF(NOT(ISBLANK($B298)),VLOOKUP($B298,AssetCategories!$A:$E,2,0),"")</f>
        <v/>
      </c>
      <c r="EN298" t="str">
        <f>IF(NOT(ISBLANK($B298)),VLOOKUP($B298,AssetCategories!$A:$E,3,0),"")</f>
        <v/>
      </c>
      <c r="EP298" s="33" t="str">
        <f t="shared" si="9"/>
        <v/>
      </c>
    </row>
    <row r="299" spans="16:146" x14ac:dyDescent="0.25">
      <c r="P299" s="33" t="str" cm="1">
        <f t="array" ref="P299">IFERROR(SUM(VALUE(_xlfn.TEXTSPLIT(O299, ";"))), "")</f>
        <v/>
      </c>
      <c r="DO299" t="str">
        <f t="shared" si="8"/>
        <v/>
      </c>
      <c r="EG299" s="33" t="str">
        <f>IF(NOT(ISBLANK($B299)),VLOOKUP($B299,AssetCategories!$A:$E,5,0),"")</f>
        <v/>
      </c>
      <c r="EH299" t="str">
        <f>IF(NOT(ISBLANK($B299)),VLOOKUP($B299,AssetCategories!$A:$E,4,0),"")</f>
        <v/>
      </c>
      <c r="EM299" t="str">
        <f>IF(NOT(ISBLANK($B299)),VLOOKUP($B299,AssetCategories!$A:$E,2,0),"")</f>
        <v/>
      </c>
      <c r="EN299" t="str">
        <f>IF(NOT(ISBLANK($B299)),VLOOKUP($B299,AssetCategories!$A:$E,3,0),"")</f>
        <v/>
      </c>
      <c r="EP299" s="33" t="str">
        <f t="shared" si="9"/>
        <v/>
      </c>
    </row>
    <row r="300" spans="16:146" x14ac:dyDescent="0.25">
      <c r="P300" s="33" t="str" cm="1">
        <f t="array" ref="P300">IFERROR(SUM(VALUE(_xlfn.TEXTSPLIT(O300, ";"))), "")</f>
        <v/>
      </c>
      <c r="DO300" t="str">
        <f t="shared" si="8"/>
        <v/>
      </c>
      <c r="EG300" s="33" t="str">
        <f>IF(NOT(ISBLANK($B300)),VLOOKUP($B300,AssetCategories!$A:$E,5,0),"")</f>
        <v/>
      </c>
      <c r="EH300" t="str">
        <f>IF(NOT(ISBLANK($B300)),VLOOKUP($B300,AssetCategories!$A:$E,4,0),"")</f>
        <v/>
      </c>
      <c r="EM300" t="str">
        <f>IF(NOT(ISBLANK($B300)),VLOOKUP($B300,AssetCategories!$A:$E,2,0),"")</f>
        <v/>
      </c>
      <c r="EN300" t="str">
        <f>IF(NOT(ISBLANK($B300)),VLOOKUP($B300,AssetCategories!$A:$E,3,0),"")</f>
        <v/>
      </c>
      <c r="EP300" s="33" t="str">
        <f t="shared" si="9"/>
        <v/>
      </c>
    </row>
    <row r="301" spans="16:146" x14ac:dyDescent="0.25">
      <c r="P301" s="33" t="str" cm="1">
        <f t="array" ref="P301">IFERROR(SUM(VALUE(_xlfn.TEXTSPLIT(O301, ";"))), "")</f>
        <v/>
      </c>
      <c r="DO301" t="str">
        <f t="shared" si="8"/>
        <v/>
      </c>
      <c r="EG301" s="33" t="str">
        <f>IF(NOT(ISBLANK($B301)),VLOOKUP($B301,AssetCategories!$A:$E,5,0),"")</f>
        <v/>
      </c>
      <c r="EH301" t="str">
        <f>IF(NOT(ISBLANK($B301)),VLOOKUP($B301,AssetCategories!$A:$E,4,0),"")</f>
        <v/>
      </c>
      <c r="EM301" t="str">
        <f>IF(NOT(ISBLANK($B301)),VLOOKUP($B301,AssetCategories!$A:$E,2,0),"")</f>
        <v/>
      </c>
      <c r="EN301" t="str">
        <f>IF(NOT(ISBLANK($B301)),VLOOKUP($B301,AssetCategories!$A:$E,3,0),"")</f>
        <v/>
      </c>
      <c r="EP301" s="33" t="str">
        <f t="shared" si="9"/>
        <v/>
      </c>
    </row>
    <row r="302" spans="16:146" x14ac:dyDescent="0.25">
      <c r="P302" s="33" t="str" cm="1">
        <f t="array" ref="P302">IFERROR(SUM(VALUE(_xlfn.TEXTSPLIT(O302, ";"))), "")</f>
        <v/>
      </c>
      <c r="DO302" t="str">
        <f t="shared" si="8"/>
        <v/>
      </c>
      <c r="EG302" s="33" t="str">
        <f>IF(NOT(ISBLANK($B302)),VLOOKUP($B302,AssetCategories!$A:$E,5,0),"")</f>
        <v/>
      </c>
      <c r="EH302" t="str">
        <f>IF(NOT(ISBLANK($B302)),VLOOKUP($B302,AssetCategories!$A:$E,4,0),"")</f>
        <v/>
      </c>
      <c r="EM302" t="str">
        <f>IF(NOT(ISBLANK($B302)),VLOOKUP($B302,AssetCategories!$A:$E,2,0),"")</f>
        <v/>
      </c>
      <c r="EN302" t="str">
        <f>IF(NOT(ISBLANK($B302)),VLOOKUP($B302,AssetCategories!$A:$E,3,0),"")</f>
        <v/>
      </c>
      <c r="EP302" s="33" t="str">
        <f t="shared" si="9"/>
        <v/>
      </c>
    </row>
    <row r="303" spans="16:146" x14ac:dyDescent="0.25">
      <c r="P303" s="33" t="str" cm="1">
        <f t="array" ref="P303">IFERROR(SUM(VALUE(_xlfn.TEXTSPLIT(O303, ";"))), "")</f>
        <v/>
      </c>
      <c r="DO303" t="str">
        <f t="shared" si="8"/>
        <v/>
      </c>
      <c r="EG303" s="33" t="str">
        <f>IF(NOT(ISBLANK($B303)),VLOOKUP($B303,AssetCategories!$A:$E,5,0),"")</f>
        <v/>
      </c>
      <c r="EH303" t="str">
        <f>IF(NOT(ISBLANK($B303)),VLOOKUP($B303,AssetCategories!$A:$E,4,0),"")</f>
        <v/>
      </c>
      <c r="EM303" t="str">
        <f>IF(NOT(ISBLANK($B303)),VLOOKUP($B303,AssetCategories!$A:$E,2,0),"")</f>
        <v/>
      </c>
      <c r="EN303" t="str">
        <f>IF(NOT(ISBLANK($B303)),VLOOKUP($B303,AssetCategories!$A:$E,3,0),"")</f>
        <v/>
      </c>
      <c r="EP303" s="33" t="str">
        <f t="shared" si="9"/>
        <v/>
      </c>
    </row>
    <row r="304" spans="16:146" x14ac:dyDescent="0.25">
      <c r="P304" s="33" t="str" cm="1">
        <f t="array" ref="P304">IFERROR(SUM(VALUE(_xlfn.TEXTSPLIT(O304, ";"))), "")</f>
        <v/>
      </c>
      <c r="DO304" t="str">
        <f t="shared" si="8"/>
        <v/>
      </c>
      <c r="EG304" s="33" t="str">
        <f>IF(NOT(ISBLANK($B304)),VLOOKUP($B304,AssetCategories!$A:$E,5,0),"")</f>
        <v/>
      </c>
      <c r="EH304" t="str">
        <f>IF(NOT(ISBLANK($B304)),VLOOKUP($B304,AssetCategories!$A:$E,4,0),"")</f>
        <v/>
      </c>
      <c r="EM304" t="str">
        <f>IF(NOT(ISBLANK($B304)),VLOOKUP($B304,AssetCategories!$A:$E,2,0),"")</f>
        <v/>
      </c>
      <c r="EN304" t="str">
        <f>IF(NOT(ISBLANK($B304)),VLOOKUP($B304,AssetCategories!$A:$E,3,0),"")</f>
        <v/>
      </c>
      <c r="EP304" s="33" t="str">
        <f t="shared" si="9"/>
        <v/>
      </c>
    </row>
    <row r="305" spans="16:146" x14ac:dyDescent="0.25">
      <c r="P305" s="33" t="str" cm="1">
        <f t="array" ref="P305">IFERROR(SUM(VALUE(_xlfn.TEXTSPLIT(O305, ";"))), "")</f>
        <v/>
      </c>
      <c r="DO305" t="str">
        <f t="shared" si="8"/>
        <v/>
      </c>
      <c r="EG305" s="33" t="str">
        <f>IF(NOT(ISBLANK($B305)),VLOOKUP($B305,AssetCategories!$A:$E,5,0),"")</f>
        <v/>
      </c>
      <c r="EH305" t="str">
        <f>IF(NOT(ISBLANK($B305)),VLOOKUP($B305,AssetCategories!$A:$E,4,0),"")</f>
        <v/>
      </c>
      <c r="EM305" t="str">
        <f>IF(NOT(ISBLANK($B305)),VLOOKUP($B305,AssetCategories!$A:$E,2,0),"")</f>
        <v/>
      </c>
      <c r="EN305" t="str">
        <f>IF(NOT(ISBLANK($B305)),VLOOKUP($B305,AssetCategories!$A:$E,3,0),"")</f>
        <v/>
      </c>
      <c r="EP305" s="33" t="str">
        <f t="shared" si="9"/>
        <v/>
      </c>
    </row>
    <row r="306" spans="16:146" x14ac:dyDescent="0.25">
      <c r="P306" s="33" t="str" cm="1">
        <f t="array" ref="P306">IFERROR(SUM(VALUE(_xlfn.TEXTSPLIT(O306, ";"))), "")</f>
        <v/>
      </c>
      <c r="DO306" t="str">
        <f t="shared" si="8"/>
        <v/>
      </c>
      <c r="EG306" s="33" t="str">
        <f>IF(NOT(ISBLANK($B306)),VLOOKUP($B306,AssetCategories!$A:$E,5,0),"")</f>
        <v/>
      </c>
      <c r="EH306" t="str">
        <f>IF(NOT(ISBLANK($B306)),VLOOKUP($B306,AssetCategories!$A:$E,4,0),"")</f>
        <v/>
      </c>
      <c r="EM306" t="str">
        <f>IF(NOT(ISBLANK($B306)),VLOOKUP($B306,AssetCategories!$A:$E,2,0),"")</f>
        <v/>
      </c>
      <c r="EN306" t="str">
        <f>IF(NOT(ISBLANK($B306)),VLOOKUP($B306,AssetCategories!$A:$E,3,0),"")</f>
        <v/>
      </c>
      <c r="EP306" s="33" t="str">
        <f t="shared" si="9"/>
        <v/>
      </c>
    </row>
    <row r="307" spans="16:146" x14ac:dyDescent="0.25">
      <c r="P307" s="33" t="str" cm="1">
        <f t="array" ref="P307">IFERROR(SUM(VALUE(_xlfn.TEXTSPLIT(O307, ";"))), "")</f>
        <v/>
      </c>
      <c r="DO307" t="str">
        <f t="shared" si="8"/>
        <v/>
      </c>
      <c r="EG307" s="33" t="str">
        <f>IF(NOT(ISBLANK($B307)),VLOOKUP($B307,AssetCategories!$A:$E,5,0),"")</f>
        <v/>
      </c>
      <c r="EH307" t="str">
        <f>IF(NOT(ISBLANK($B307)),VLOOKUP($B307,AssetCategories!$A:$E,4,0),"")</f>
        <v/>
      </c>
      <c r="EM307" t="str">
        <f>IF(NOT(ISBLANK($B307)),VLOOKUP($B307,AssetCategories!$A:$E,2,0),"")</f>
        <v/>
      </c>
      <c r="EN307" t="str">
        <f>IF(NOT(ISBLANK($B307)),VLOOKUP($B307,AssetCategories!$A:$E,3,0),"")</f>
        <v/>
      </c>
      <c r="EP307" s="33" t="str">
        <f t="shared" si="9"/>
        <v/>
      </c>
    </row>
    <row r="308" spans="16:146" x14ac:dyDescent="0.25">
      <c r="P308" s="33" t="str" cm="1">
        <f t="array" ref="P308">IFERROR(SUM(VALUE(_xlfn.TEXTSPLIT(O308, ";"))), "")</f>
        <v/>
      </c>
      <c r="DO308" t="str">
        <f t="shared" si="8"/>
        <v/>
      </c>
      <c r="EG308" s="33" t="str">
        <f>IF(NOT(ISBLANK($B308)),VLOOKUP($B308,AssetCategories!$A:$E,5,0),"")</f>
        <v/>
      </c>
      <c r="EH308" t="str">
        <f>IF(NOT(ISBLANK($B308)),VLOOKUP($B308,AssetCategories!$A:$E,4,0),"")</f>
        <v/>
      </c>
      <c r="EM308" t="str">
        <f>IF(NOT(ISBLANK($B308)),VLOOKUP($B308,AssetCategories!$A:$E,2,0),"")</f>
        <v/>
      </c>
      <c r="EN308" t="str">
        <f>IF(NOT(ISBLANK($B308)),VLOOKUP($B308,AssetCategories!$A:$E,3,0),"")</f>
        <v/>
      </c>
      <c r="EP308" s="33" t="str">
        <f t="shared" si="9"/>
        <v/>
      </c>
    </row>
    <row r="309" spans="16:146" x14ac:dyDescent="0.25">
      <c r="P309" s="33" t="str" cm="1">
        <f t="array" ref="P309">IFERROR(SUM(VALUE(_xlfn.TEXTSPLIT(O309, ";"))), "")</f>
        <v/>
      </c>
      <c r="DO309" t="str">
        <f t="shared" si="8"/>
        <v/>
      </c>
      <c r="EG309" s="33" t="str">
        <f>IF(NOT(ISBLANK($B309)),VLOOKUP($B309,AssetCategories!$A:$E,5,0),"")</f>
        <v/>
      </c>
      <c r="EH309" t="str">
        <f>IF(NOT(ISBLANK($B309)),VLOOKUP($B309,AssetCategories!$A:$E,4,0),"")</f>
        <v/>
      </c>
      <c r="EM309" t="str">
        <f>IF(NOT(ISBLANK($B309)),VLOOKUP($B309,AssetCategories!$A:$E,2,0),"")</f>
        <v/>
      </c>
      <c r="EN309" t="str">
        <f>IF(NOT(ISBLANK($B309)),VLOOKUP($B309,AssetCategories!$A:$E,3,0),"")</f>
        <v/>
      </c>
      <c r="EP309" s="33" t="str">
        <f t="shared" si="9"/>
        <v/>
      </c>
    </row>
    <row r="310" spans="16:146" x14ac:dyDescent="0.25">
      <c r="P310" s="33" t="str" cm="1">
        <f t="array" ref="P310">IFERROR(SUM(VALUE(_xlfn.TEXTSPLIT(O310, ";"))), "")</f>
        <v/>
      </c>
      <c r="DO310" t="str">
        <f t="shared" si="8"/>
        <v/>
      </c>
      <c r="EG310" s="33" t="str">
        <f>IF(NOT(ISBLANK($B310)),VLOOKUP($B310,AssetCategories!$A:$E,5,0),"")</f>
        <v/>
      </c>
      <c r="EH310" t="str">
        <f>IF(NOT(ISBLANK($B310)),VLOOKUP($B310,AssetCategories!$A:$E,4,0),"")</f>
        <v/>
      </c>
      <c r="EM310" t="str">
        <f>IF(NOT(ISBLANK($B310)),VLOOKUP($B310,AssetCategories!$A:$E,2,0),"")</f>
        <v/>
      </c>
      <c r="EN310" t="str">
        <f>IF(NOT(ISBLANK($B310)),VLOOKUP($B310,AssetCategories!$A:$E,3,0),"")</f>
        <v/>
      </c>
      <c r="EP310" s="33" t="str">
        <f t="shared" si="9"/>
        <v/>
      </c>
    </row>
    <row r="311" spans="16:146" x14ac:dyDescent="0.25">
      <c r="P311" s="33" t="str" cm="1">
        <f t="array" ref="P311">IFERROR(SUM(VALUE(_xlfn.TEXTSPLIT(O311, ";"))), "")</f>
        <v/>
      </c>
      <c r="DO311" t="str">
        <f t="shared" si="8"/>
        <v/>
      </c>
      <c r="EG311" s="33" t="str">
        <f>IF(NOT(ISBLANK($B311)),VLOOKUP($B311,AssetCategories!$A:$E,5,0),"")</f>
        <v/>
      </c>
      <c r="EH311" t="str">
        <f>IF(NOT(ISBLANK($B311)),VLOOKUP($B311,AssetCategories!$A:$E,4,0),"")</f>
        <v/>
      </c>
      <c r="EM311" t="str">
        <f>IF(NOT(ISBLANK($B311)),VLOOKUP($B311,AssetCategories!$A:$E,2,0),"")</f>
        <v/>
      </c>
      <c r="EN311" t="str">
        <f>IF(NOT(ISBLANK($B311)),VLOOKUP($B311,AssetCategories!$A:$E,3,0),"")</f>
        <v/>
      </c>
      <c r="EP311" s="33" t="str">
        <f t="shared" si="9"/>
        <v/>
      </c>
    </row>
    <row r="312" spans="16:146" x14ac:dyDescent="0.25">
      <c r="P312" s="33" t="str" cm="1">
        <f t="array" ref="P312">IFERROR(SUM(VALUE(_xlfn.TEXTSPLIT(O312, ";"))), "")</f>
        <v/>
      </c>
      <c r="DO312" t="str">
        <f t="shared" si="8"/>
        <v/>
      </c>
      <c r="EG312" s="33" t="str">
        <f>IF(NOT(ISBLANK($B312)),VLOOKUP($B312,AssetCategories!$A:$E,5,0),"")</f>
        <v/>
      </c>
      <c r="EH312" t="str">
        <f>IF(NOT(ISBLANK($B312)),VLOOKUP($B312,AssetCategories!$A:$E,4,0),"")</f>
        <v/>
      </c>
      <c r="EM312" t="str">
        <f>IF(NOT(ISBLANK($B312)),VLOOKUP($B312,AssetCategories!$A:$E,2,0),"")</f>
        <v/>
      </c>
      <c r="EN312" t="str">
        <f>IF(NOT(ISBLANK($B312)),VLOOKUP($B312,AssetCategories!$A:$E,3,0),"")</f>
        <v/>
      </c>
      <c r="EP312" s="33" t="str">
        <f t="shared" si="9"/>
        <v/>
      </c>
    </row>
    <row r="313" spans="16:146" x14ac:dyDescent="0.25">
      <c r="P313" s="33" t="str" cm="1">
        <f t="array" ref="P313">IFERROR(SUM(VALUE(_xlfn.TEXTSPLIT(O313, ";"))), "")</f>
        <v/>
      </c>
      <c r="DO313" t="str">
        <f t="shared" si="8"/>
        <v/>
      </c>
      <c r="EG313" s="33" t="str">
        <f>IF(NOT(ISBLANK($B313)),VLOOKUP($B313,AssetCategories!$A:$E,5,0),"")</f>
        <v/>
      </c>
      <c r="EH313" t="str">
        <f>IF(NOT(ISBLANK($B313)),VLOOKUP($B313,AssetCategories!$A:$E,4,0),"")</f>
        <v/>
      </c>
      <c r="EM313" t="str">
        <f>IF(NOT(ISBLANK($B313)),VLOOKUP($B313,AssetCategories!$A:$E,2,0),"")</f>
        <v/>
      </c>
      <c r="EN313" t="str">
        <f>IF(NOT(ISBLANK($B313)),VLOOKUP($B313,AssetCategories!$A:$E,3,0),"")</f>
        <v/>
      </c>
      <c r="EP313" s="33" t="str">
        <f t="shared" si="9"/>
        <v/>
      </c>
    </row>
    <row r="314" spans="16:146" x14ac:dyDescent="0.25">
      <c r="P314" s="33" t="str" cm="1">
        <f t="array" ref="P314">IFERROR(SUM(VALUE(_xlfn.TEXTSPLIT(O314, ";"))), "")</f>
        <v/>
      </c>
      <c r="DO314" t="str">
        <f t="shared" si="8"/>
        <v/>
      </c>
      <c r="EG314" s="33" t="str">
        <f>IF(NOT(ISBLANK($B314)),VLOOKUP($B314,AssetCategories!$A:$E,5,0),"")</f>
        <v/>
      </c>
      <c r="EH314" t="str">
        <f>IF(NOT(ISBLANK($B314)),VLOOKUP($B314,AssetCategories!$A:$E,4,0),"")</f>
        <v/>
      </c>
      <c r="EM314" t="str">
        <f>IF(NOT(ISBLANK($B314)),VLOOKUP($B314,AssetCategories!$A:$E,2,0),"")</f>
        <v/>
      </c>
      <c r="EN314" t="str">
        <f>IF(NOT(ISBLANK($B314)),VLOOKUP($B314,AssetCategories!$A:$E,3,0),"")</f>
        <v/>
      </c>
      <c r="EP314" s="33" t="str">
        <f t="shared" si="9"/>
        <v/>
      </c>
    </row>
    <row r="315" spans="16:146" x14ac:dyDescent="0.25">
      <c r="P315" s="33" t="str" cm="1">
        <f t="array" ref="P315">IFERROR(SUM(VALUE(_xlfn.TEXTSPLIT(O315, ";"))), "")</f>
        <v/>
      </c>
      <c r="DO315" t="str">
        <f t="shared" si="8"/>
        <v/>
      </c>
      <c r="EG315" s="33" t="str">
        <f>IF(NOT(ISBLANK($B315)),VLOOKUP($B315,AssetCategories!$A:$E,5,0),"")</f>
        <v/>
      </c>
      <c r="EH315" t="str">
        <f>IF(NOT(ISBLANK($B315)),VLOOKUP($B315,AssetCategories!$A:$E,4,0),"")</f>
        <v/>
      </c>
      <c r="EM315" t="str">
        <f>IF(NOT(ISBLANK($B315)),VLOOKUP($B315,AssetCategories!$A:$E,2,0),"")</f>
        <v/>
      </c>
      <c r="EN315" t="str">
        <f>IF(NOT(ISBLANK($B315)),VLOOKUP($B315,AssetCategories!$A:$E,3,0),"")</f>
        <v/>
      </c>
      <c r="EP315" s="33" t="str">
        <f t="shared" si="9"/>
        <v/>
      </c>
    </row>
    <row r="316" spans="16:146" x14ac:dyDescent="0.25">
      <c r="P316" s="33" t="str" cm="1">
        <f t="array" ref="P316">IFERROR(SUM(VALUE(_xlfn.TEXTSPLIT(O316, ";"))), "")</f>
        <v/>
      </c>
      <c r="DO316" t="str">
        <f t="shared" si="8"/>
        <v/>
      </c>
      <c r="EG316" s="33" t="str">
        <f>IF(NOT(ISBLANK($B316)),VLOOKUP($B316,AssetCategories!$A:$E,5,0),"")</f>
        <v/>
      </c>
      <c r="EH316" t="str">
        <f>IF(NOT(ISBLANK($B316)),VLOOKUP($B316,AssetCategories!$A:$E,4,0),"")</f>
        <v/>
      </c>
      <c r="EM316" t="str">
        <f>IF(NOT(ISBLANK($B316)),VLOOKUP($B316,AssetCategories!$A:$E,2,0),"")</f>
        <v/>
      </c>
      <c r="EN316" t="str">
        <f>IF(NOT(ISBLANK($B316)),VLOOKUP($B316,AssetCategories!$A:$E,3,0),"")</f>
        <v/>
      </c>
      <c r="EP316" s="33" t="str">
        <f t="shared" si="9"/>
        <v/>
      </c>
    </row>
    <row r="317" spans="16:146" x14ac:dyDescent="0.25">
      <c r="P317" s="33" t="str" cm="1">
        <f t="array" ref="P317">IFERROR(SUM(VALUE(_xlfn.TEXTSPLIT(O317, ";"))), "")</f>
        <v/>
      </c>
      <c r="DO317" t="str">
        <f t="shared" si="8"/>
        <v/>
      </c>
      <c r="EG317" s="33" t="str">
        <f>IF(NOT(ISBLANK($B317)),VLOOKUP($B317,AssetCategories!$A:$E,5,0),"")</f>
        <v/>
      </c>
      <c r="EH317" t="str">
        <f>IF(NOT(ISBLANK($B317)),VLOOKUP($B317,AssetCategories!$A:$E,4,0),"")</f>
        <v/>
      </c>
      <c r="EM317" t="str">
        <f>IF(NOT(ISBLANK($B317)),VLOOKUP($B317,AssetCategories!$A:$E,2,0),"")</f>
        <v/>
      </c>
      <c r="EN317" t="str">
        <f>IF(NOT(ISBLANK($B317)),VLOOKUP($B317,AssetCategories!$A:$E,3,0),"")</f>
        <v/>
      </c>
      <c r="EP317" s="33" t="str">
        <f t="shared" si="9"/>
        <v/>
      </c>
    </row>
    <row r="318" spans="16:146" x14ac:dyDescent="0.25">
      <c r="P318" s="33" t="str" cm="1">
        <f t="array" ref="P318">IFERROR(SUM(VALUE(_xlfn.TEXTSPLIT(O318, ";"))), "")</f>
        <v/>
      </c>
      <c r="DO318" t="str">
        <f t="shared" si="8"/>
        <v/>
      </c>
      <c r="EG318" s="33" t="str">
        <f>IF(NOT(ISBLANK($B318)),VLOOKUP($B318,AssetCategories!$A:$E,5,0),"")</f>
        <v/>
      </c>
      <c r="EH318" t="str">
        <f>IF(NOT(ISBLANK($B318)),VLOOKUP($B318,AssetCategories!$A:$E,4,0),"")</f>
        <v/>
      </c>
      <c r="EM318" t="str">
        <f>IF(NOT(ISBLANK($B318)),VLOOKUP($B318,AssetCategories!$A:$E,2,0),"")</f>
        <v/>
      </c>
      <c r="EN318" t="str">
        <f>IF(NOT(ISBLANK($B318)),VLOOKUP($B318,AssetCategories!$A:$E,3,0),"")</f>
        <v/>
      </c>
      <c r="EP318" s="33" t="str">
        <f t="shared" si="9"/>
        <v/>
      </c>
    </row>
    <row r="319" spans="16:146" x14ac:dyDescent="0.25">
      <c r="P319" s="33" t="str" cm="1">
        <f t="array" ref="P319">IFERROR(SUM(VALUE(_xlfn.TEXTSPLIT(O319, ";"))), "")</f>
        <v/>
      </c>
      <c r="DO319" t="str">
        <f t="shared" si="8"/>
        <v/>
      </c>
      <c r="EG319" s="33" t="str">
        <f>IF(NOT(ISBLANK($B319)),VLOOKUP($B319,AssetCategories!$A:$E,5,0),"")</f>
        <v/>
      </c>
      <c r="EH319" t="str">
        <f>IF(NOT(ISBLANK($B319)),VLOOKUP($B319,AssetCategories!$A:$E,4,0),"")</f>
        <v/>
      </c>
      <c r="EM319" t="str">
        <f>IF(NOT(ISBLANK($B319)),VLOOKUP($B319,AssetCategories!$A:$E,2,0),"")</f>
        <v/>
      </c>
      <c r="EN319" t="str">
        <f>IF(NOT(ISBLANK($B319)),VLOOKUP($B319,AssetCategories!$A:$E,3,0),"")</f>
        <v/>
      </c>
      <c r="EP319" s="33" t="str">
        <f t="shared" si="9"/>
        <v/>
      </c>
    </row>
    <row r="320" spans="16:146" x14ac:dyDescent="0.25">
      <c r="P320" s="33" t="str" cm="1">
        <f t="array" ref="P320">IFERROR(SUM(VALUE(_xlfn.TEXTSPLIT(O320, ";"))), "")</f>
        <v/>
      </c>
      <c r="DO320" t="str">
        <f t="shared" si="8"/>
        <v/>
      </c>
      <c r="EG320" s="33" t="str">
        <f>IF(NOT(ISBLANK($B320)),VLOOKUP($B320,AssetCategories!$A:$E,5,0),"")</f>
        <v/>
      </c>
      <c r="EH320" t="str">
        <f>IF(NOT(ISBLANK($B320)),VLOOKUP($B320,AssetCategories!$A:$E,4,0),"")</f>
        <v/>
      </c>
      <c r="EM320" t="str">
        <f>IF(NOT(ISBLANK($B320)),VLOOKUP($B320,AssetCategories!$A:$E,2,0),"")</f>
        <v/>
      </c>
      <c r="EN320" t="str">
        <f>IF(NOT(ISBLANK($B320)),VLOOKUP($B320,AssetCategories!$A:$E,3,0),"")</f>
        <v/>
      </c>
      <c r="EP320" s="33" t="str">
        <f t="shared" si="9"/>
        <v/>
      </c>
    </row>
    <row r="321" spans="16:146" x14ac:dyDescent="0.25">
      <c r="P321" s="33" t="str" cm="1">
        <f t="array" ref="P321">IFERROR(SUM(VALUE(_xlfn.TEXTSPLIT(O321, ";"))), "")</f>
        <v/>
      </c>
      <c r="DO321" t="str">
        <f t="shared" si="8"/>
        <v/>
      </c>
      <c r="EG321" s="33" t="str">
        <f>IF(NOT(ISBLANK($B321)),VLOOKUP($B321,AssetCategories!$A:$E,5,0),"")</f>
        <v/>
      </c>
      <c r="EH321" t="str">
        <f>IF(NOT(ISBLANK($B321)),VLOOKUP($B321,AssetCategories!$A:$E,4,0),"")</f>
        <v/>
      </c>
      <c r="EM321" t="str">
        <f>IF(NOT(ISBLANK($B321)),VLOOKUP($B321,AssetCategories!$A:$E,2,0),"")</f>
        <v/>
      </c>
      <c r="EN321" t="str">
        <f>IF(NOT(ISBLANK($B321)),VLOOKUP($B321,AssetCategories!$A:$E,3,0),"")</f>
        <v/>
      </c>
      <c r="EP321" s="33" t="str">
        <f t="shared" si="9"/>
        <v/>
      </c>
    </row>
    <row r="322" spans="16:146" x14ac:dyDescent="0.25">
      <c r="P322" s="33" t="str" cm="1">
        <f t="array" ref="P322">IFERROR(SUM(VALUE(_xlfn.TEXTSPLIT(O322, ";"))), "")</f>
        <v/>
      </c>
      <c r="DO322" t="str">
        <f t="shared" si="8"/>
        <v/>
      </c>
      <c r="EG322" s="33" t="str">
        <f>IF(NOT(ISBLANK($B322)),VLOOKUP($B322,AssetCategories!$A:$E,5,0),"")</f>
        <v/>
      </c>
      <c r="EH322" t="str">
        <f>IF(NOT(ISBLANK($B322)),VLOOKUP($B322,AssetCategories!$A:$E,4,0),"")</f>
        <v/>
      </c>
      <c r="EM322" t="str">
        <f>IF(NOT(ISBLANK($B322)),VLOOKUP($B322,AssetCategories!$A:$E,2,0),"")</f>
        <v/>
      </c>
      <c r="EN322" t="str">
        <f>IF(NOT(ISBLANK($B322)),VLOOKUP($B322,AssetCategories!$A:$E,3,0),"")</f>
        <v/>
      </c>
      <c r="EP322" s="33" t="str">
        <f t="shared" si="9"/>
        <v/>
      </c>
    </row>
    <row r="323" spans="16:146" x14ac:dyDescent="0.25">
      <c r="P323" s="33" t="str" cm="1">
        <f t="array" ref="P323">IFERROR(SUM(VALUE(_xlfn.TEXTSPLIT(O323, ";"))), "")</f>
        <v/>
      </c>
      <c r="DO323" t="str">
        <f t="shared" si="8"/>
        <v/>
      </c>
      <c r="EG323" s="33" t="str">
        <f>IF(NOT(ISBLANK($B323)),VLOOKUP($B323,AssetCategories!$A:$E,5,0),"")</f>
        <v/>
      </c>
      <c r="EH323" t="str">
        <f>IF(NOT(ISBLANK($B323)),VLOOKUP($B323,AssetCategories!$A:$E,4,0),"")</f>
        <v/>
      </c>
      <c r="EM323" t="str">
        <f>IF(NOT(ISBLANK($B323)),VLOOKUP($B323,AssetCategories!$A:$E,2,0),"")</f>
        <v/>
      </c>
      <c r="EN323" t="str">
        <f>IF(NOT(ISBLANK($B323)),VLOOKUP($B323,AssetCategories!$A:$E,3,0),"")</f>
        <v/>
      </c>
      <c r="EP323" s="33" t="str">
        <f t="shared" si="9"/>
        <v/>
      </c>
    </row>
    <row r="324" spans="16:146" x14ac:dyDescent="0.25">
      <c r="P324" s="33" t="str" cm="1">
        <f t="array" ref="P324">IFERROR(SUM(VALUE(_xlfn.TEXTSPLIT(O324, ";"))), "")</f>
        <v/>
      </c>
      <c r="DO324" t="str">
        <f t="shared" si="8"/>
        <v/>
      </c>
      <c r="EG324" s="33" t="str">
        <f>IF(NOT(ISBLANK($B324)),VLOOKUP($B324,AssetCategories!$A:$E,5,0),"")</f>
        <v/>
      </c>
      <c r="EH324" t="str">
        <f>IF(NOT(ISBLANK($B324)),VLOOKUP($B324,AssetCategories!$A:$E,4,0),"")</f>
        <v/>
      </c>
      <c r="EM324" t="str">
        <f>IF(NOT(ISBLANK($B324)),VLOOKUP($B324,AssetCategories!$A:$E,2,0),"")</f>
        <v/>
      </c>
      <c r="EN324" t="str">
        <f>IF(NOT(ISBLANK($B324)),VLOOKUP($B324,AssetCategories!$A:$E,3,0),"")</f>
        <v/>
      </c>
      <c r="EP324" s="33" t="str">
        <f t="shared" si="9"/>
        <v/>
      </c>
    </row>
    <row r="325" spans="16:146" x14ac:dyDescent="0.25">
      <c r="P325" s="33" t="str" cm="1">
        <f t="array" ref="P325">IFERROR(SUM(VALUE(_xlfn.TEXTSPLIT(O325, ";"))), "")</f>
        <v/>
      </c>
      <c r="DO325" t="str">
        <f t="shared" ref="DO325:DO388" si="10">IF(SUM(DE325:DN325)=0, "", SUM(DE325:DN325))</f>
        <v/>
      </c>
      <c r="EG325" s="33" t="str">
        <f>IF(NOT(ISBLANK($B325)),VLOOKUP($B325,AssetCategories!$A:$E,5,0),"")</f>
        <v/>
      </c>
      <c r="EH325" t="str">
        <f>IF(NOT(ISBLANK($B325)),VLOOKUP($B325,AssetCategories!$A:$E,4,0),"")</f>
        <v/>
      </c>
      <c r="EM325" t="str">
        <f>IF(NOT(ISBLANK($B325)),VLOOKUP($B325,AssetCategories!$A:$E,2,0),"")</f>
        <v/>
      </c>
      <c r="EN325" t="str">
        <f>IF(NOT(ISBLANK($B325)),VLOOKUP($B325,AssetCategories!$A:$E,3,0),"")</f>
        <v/>
      </c>
      <c r="EP325" s="33" t="str">
        <f t="shared" ref="EP325:EP388" si="11">IFERROR(P325-EO325, "")</f>
        <v/>
      </c>
    </row>
    <row r="326" spans="16:146" x14ac:dyDescent="0.25">
      <c r="P326" s="33" t="str" cm="1">
        <f t="array" ref="P326">IFERROR(SUM(VALUE(_xlfn.TEXTSPLIT(O326, ";"))), "")</f>
        <v/>
      </c>
      <c r="DO326" t="str">
        <f t="shared" si="10"/>
        <v/>
      </c>
      <c r="EG326" s="33" t="str">
        <f>IF(NOT(ISBLANK($B326)),VLOOKUP($B326,AssetCategories!$A:$E,5,0),"")</f>
        <v/>
      </c>
      <c r="EH326" t="str">
        <f>IF(NOT(ISBLANK($B326)),VLOOKUP($B326,AssetCategories!$A:$E,4,0),"")</f>
        <v/>
      </c>
      <c r="EM326" t="str">
        <f>IF(NOT(ISBLANK($B326)),VLOOKUP($B326,AssetCategories!$A:$E,2,0),"")</f>
        <v/>
      </c>
      <c r="EN326" t="str">
        <f>IF(NOT(ISBLANK($B326)),VLOOKUP($B326,AssetCategories!$A:$E,3,0),"")</f>
        <v/>
      </c>
      <c r="EP326" s="33" t="str">
        <f t="shared" si="11"/>
        <v/>
      </c>
    </row>
    <row r="327" spans="16:146" x14ac:dyDescent="0.25">
      <c r="P327" s="33" t="str" cm="1">
        <f t="array" ref="P327">IFERROR(SUM(VALUE(_xlfn.TEXTSPLIT(O327, ";"))), "")</f>
        <v/>
      </c>
      <c r="DO327" t="str">
        <f t="shared" si="10"/>
        <v/>
      </c>
      <c r="EG327" s="33" t="str">
        <f>IF(NOT(ISBLANK($B327)),VLOOKUP($B327,AssetCategories!$A:$E,5,0),"")</f>
        <v/>
      </c>
      <c r="EH327" t="str">
        <f>IF(NOT(ISBLANK($B327)),VLOOKUP($B327,AssetCategories!$A:$E,4,0),"")</f>
        <v/>
      </c>
      <c r="EM327" t="str">
        <f>IF(NOT(ISBLANK($B327)),VLOOKUP($B327,AssetCategories!$A:$E,2,0),"")</f>
        <v/>
      </c>
      <c r="EN327" t="str">
        <f>IF(NOT(ISBLANK($B327)),VLOOKUP($B327,AssetCategories!$A:$E,3,0),"")</f>
        <v/>
      </c>
      <c r="EP327" s="33" t="str">
        <f t="shared" si="11"/>
        <v/>
      </c>
    </row>
    <row r="328" spans="16:146" x14ac:dyDescent="0.25">
      <c r="P328" s="33" t="str" cm="1">
        <f t="array" ref="P328">IFERROR(SUM(VALUE(_xlfn.TEXTSPLIT(O328, ";"))), "")</f>
        <v/>
      </c>
      <c r="DO328" t="str">
        <f t="shared" si="10"/>
        <v/>
      </c>
      <c r="EG328" s="33" t="str">
        <f>IF(NOT(ISBLANK($B328)),VLOOKUP($B328,AssetCategories!$A:$E,5,0),"")</f>
        <v/>
      </c>
      <c r="EH328" t="str">
        <f>IF(NOT(ISBLANK($B328)),VLOOKUP($B328,AssetCategories!$A:$E,4,0),"")</f>
        <v/>
      </c>
      <c r="EM328" t="str">
        <f>IF(NOT(ISBLANK($B328)),VLOOKUP($B328,AssetCategories!$A:$E,2,0),"")</f>
        <v/>
      </c>
      <c r="EN328" t="str">
        <f>IF(NOT(ISBLANK($B328)),VLOOKUP($B328,AssetCategories!$A:$E,3,0),"")</f>
        <v/>
      </c>
      <c r="EP328" s="33" t="str">
        <f t="shared" si="11"/>
        <v/>
      </c>
    </row>
    <row r="329" spans="16:146" x14ac:dyDescent="0.25">
      <c r="P329" s="33" t="str" cm="1">
        <f t="array" ref="P329">IFERROR(SUM(VALUE(_xlfn.TEXTSPLIT(O329, ";"))), "")</f>
        <v/>
      </c>
      <c r="DO329" t="str">
        <f t="shared" si="10"/>
        <v/>
      </c>
      <c r="EG329" s="33" t="str">
        <f>IF(NOT(ISBLANK($B329)),VLOOKUP($B329,AssetCategories!$A:$E,5,0),"")</f>
        <v/>
      </c>
      <c r="EH329" t="str">
        <f>IF(NOT(ISBLANK($B329)),VLOOKUP($B329,AssetCategories!$A:$E,4,0),"")</f>
        <v/>
      </c>
      <c r="EM329" t="str">
        <f>IF(NOT(ISBLANK($B329)),VLOOKUP($B329,AssetCategories!$A:$E,2,0),"")</f>
        <v/>
      </c>
      <c r="EN329" t="str">
        <f>IF(NOT(ISBLANK($B329)),VLOOKUP($B329,AssetCategories!$A:$E,3,0),"")</f>
        <v/>
      </c>
      <c r="EP329" s="33" t="str">
        <f t="shared" si="11"/>
        <v/>
      </c>
    </row>
    <row r="330" spans="16:146" x14ac:dyDescent="0.25">
      <c r="P330" s="33" t="str" cm="1">
        <f t="array" ref="P330">IFERROR(SUM(VALUE(_xlfn.TEXTSPLIT(O330, ";"))), "")</f>
        <v/>
      </c>
      <c r="DO330" t="str">
        <f t="shared" si="10"/>
        <v/>
      </c>
      <c r="EG330" s="33" t="str">
        <f>IF(NOT(ISBLANK($B330)),VLOOKUP($B330,AssetCategories!$A:$E,5,0),"")</f>
        <v/>
      </c>
      <c r="EH330" t="str">
        <f>IF(NOT(ISBLANK($B330)),VLOOKUP($B330,AssetCategories!$A:$E,4,0),"")</f>
        <v/>
      </c>
      <c r="EM330" t="str">
        <f>IF(NOT(ISBLANK($B330)),VLOOKUP($B330,AssetCategories!$A:$E,2,0),"")</f>
        <v/>
      </c>
      <c r="EN330" t="str">
        <f>IF(NOT(ISBLANK($B330)),VLOOKUP($B330,AssetCategories!$A:$E,3,0),"")</f>
        <v/>
      </c>
      <c r="EP330" s="33" t="str">
        <f t="shared" si="11"/>
        <v/>
      </c>
    </row>
    <row r="331" spans="16:146" x14ac:dyDescent="0.25">
      <c r="P331" s="33" t="str" cm="1">
        <f t="array" ref="P331">IFERROR(SUM(VALUE(_xlfn.TEXTSPLIT(O331, ";"))), "")</f>
        <v/>
      </c>
      <c r="DO331" t="str">
        <f t="shared" si="10"/>
        <v/>
      </c>
      <c r="EG331" s="33" t="str">
        <f>IF(NOT(ISBLANK($B331)),VLOOKUP($B331,AssetCategories!$A:$E,5,0),"")</f>
        <v/>
      </c>
      <c r="EH331" t="str">
        <f>IF(NOT(ISBLANK($B331)),VLOOKUP($B331,AssetCategories!$A:$E,4,0),"")</f>
        <v/>
      </c>
      <c r="EM331" t="str">
        <f>IF(NOT(ISBLANK($B331)),VLOOKUP($B331,AssetCategories!$A:$E,2,0),"")</f>
        <v/>
      </c>
      <c r="EN331" t="str">
        <f>IF(NOT(ISBLANK($B331)),VLOOKUP($B331,AssetCategories!$A:$E,3,0),"")</f>
        <v/>
      </c>
      <c r="EP331" s="33" t="str">
        <f t="shared" si="11"/>
        <v/>
      </c>
    </row>
    <row r="332" spans="16:146" x14ac:dyDescent="0.25">
      <c r="P332" s="33" t="str" cm="1">
        <f t="array" ref="P332">IFERROR(SUM(VALUE(_xlfn.TEXTSPLIT(O332, ";"))), "")</f>
        <v/>
      </c>
      <c r="DO332" t="str">
        <f t="shared" si="10"/>
        <v/>
      </c>
      <c r="EG332" s="33" t="str">
        <f>IF(NOT(ISBLANK($B332)),VLOOKUP($B332,AssetCategories!$A:$E,5,0),"")</f>
        <v/>
      </c>
      <c r="EH332" t="str">
        <f>IF(NOT(ISBLANK($B332)),VLOOKUP($B332,AssetCategories!$A:$E,4,0),"")</f>
        <v/>
      </c>
      <c r="EM332" t="str">
        <f>IF(NOT(ISBLANK($B332)),VLOOKUP($B332,AssetCategories!$A:$E,2,0),"")</f>
        <v/>
      </c>
      <c r="EN332" t="str">
        <f>IF(NOT(ISBLANK($B332)),VLOOKUP($B332,AssetCategories!$A:$E,3,0),"")</f>
        <v/>
      </c>
      <c r="EP332" s="33" t="str">
        <f t="shared" si="11"/>
        <v/>
      </c>
    </row>
    <row r="333" spans="16:146" x14ac:dyDescent="0.25">
      <c r="P333" s="33" t="str" cm="1">
        <f t="array" ref="P333">IFERROR(SUM(VALUE(_xlfn.TEXTSPLIT(O333, ";"))), "")</f>
        <v/>
      </c>
      <c r="DO333" t="str">
        <f t="shared" si="10"/>
        <v/>
      </c>
      <c r="EG333" s="33" t="str">
        <f>IF(NOT(ISBLANK($B333)),VLOOKUP($B333,AssetCategories!$A:$E,5,0),"")</f>
        <v/>
      </c>
      <c r="EH333" t="str">
        <f>IF(NOT(ISBLANK($B333)),VLOOKUP($B333,AssetCategories!$A:$E,4,0),"")</f>
        <v/>
      </c>
      <c r="EM333" t="str">
        <f>IF(NOT(ISBLANK($B333)),VLOOKUP($B333,AssetCategories!$A:$E,2,0),"")</f>
        <v/>
      </c>
      <c r="EN333" t="str">
        <f>IF(NOT(ISBLANK($B333)),VLOOKUP($B333,AssetCategories!$A:$E,3,0),"")</f>
        <v/>
      </c>
      <c r="EP333" s="33" t="str">
        <f t="shared" si="11"/>
        <v/>
      </c>
    </row>
    <row r="334" spans="16:146" x14ac:dyDescent="0.25">
      <c r="P334" s="33" t="str" cm="1">
        <f t="array" ref="P334">IFERROR(SUM(VALUE(_xlfn.TEXTSPLIT(O334, ";"))), "")</f>
        <v/>
      </c>
      <c r="DO334" t="str">
        <f t="shared" si="10"/>
        <v/>
      </c>
      <c r="EG334" s="33" t="str">
        <f>IF(NOT(ISBLANK($B334)),VLOOKUP($B334,AssetCategories!$A:$E,5,0),"")</f>
        <v/>
      </c>
      <c r="EH334" t="str">
        <f>IF(NOT(ISBLANK($B334)),VLOOKUP($B334,AssetCategories!$A:$E,4,0),"")</f>
        <v/>
      </c>
      <c r="EM334" t="str">
        <f>IF(NOT(ISBLANK($B334)),VLOOKUP($B334,AssetCategories!$A:$E,2,0),"")</f>
        <v/>
      </c>
      <c r="EN334" t="str">
        <f>IF(NOT(ISBLANK($B334)),VLOOKUP($B334,AssetCategories!$A:$E,3,0),"")</f>
        <v/>
      </c>
      <c r="EP334" s="33" t="str">
        <f t="shared" si="11"/>
        <v/>
      </c>
    </row>
    <row r="335" spans="16:146" x14ac:dyDescent="0.25">
      <c r="P335" s="33" t="str" cm="1">
        <f t="array" ref="P335">IFERROR(SUM(VALUE(_xlfn.TEXTSPLIT(O335, ";"))), "")</f>
        <v/>
      </c>
      <c r="DO335" t="str">
        <f t="shared" si="10"/>
        <v/>
      </c>
      <c r="EG335" s="33" t="str">
        <f>IF(NOT(ISBLANK($B335)),VLOOKUP($B335,AssetCategories!$A:$E,5,0),"")</f>
        <v/>
      </c>
      <c r="EH335" t="str">
        <f>IF(NOT(ISBLANK($B335)),VLOOKUP($B335,AssetCategories!$A:$E,4,0),"")</f>
        <v/>
      </c>
      <c r="EM335" t="str">
        <f>IF(NOT(ISBLANK($B335)),VLOOKUP($B335,AssetCategories!$A:$E,2,0),"")</f>
        <v/>
      </c>
      <c r="EN335" t="str">
        <f>IF(NOT(ISBLANK($B335)),VLOOKUP($B335,AssetCategories!$A:$E,3,0),"")</f>
        <v/>
      </c>
      <c r="EP335" s="33" t="str">
        <f t="shared" si="11"/>
        <v/>
      </c>
    </row>
    <row r="336" spans="16:146" x14ac:dyDescent="0.25">
      <c r="P336" s="33" t="str" cm="1">
        <f t="array" ref="P336">IFERROR(SUM(VALUE(_xlfn.TEXTSPLIT(O336, ";"))), "")</f>
        <v/>
      </c>
      <c r="DO336" t="str">
        <f t="shared" si="10"/>
        <v/>
      </c>
      <c r="EG336" s="33" t="str">
        <f>IF(NOT(ISBLANK($B336)),VLOOKUP($B336,AssetCategories!$A:$E,5,0),"")</f>
        <v/>
      </c>
      <c r="EH336" t="str">
        <f>IF(NOT(ISBLANK($B336)),VLOOKUP($B336,AssetCategories!$A:$E,4,0),"")</f>
        <v/>
      </c>
      <c r="EM336" t="str">
        <f>IF(NOT(ISBLANK($B336)),VLOOKUP($B336,AssetCategories!$A:$E,2,0),"")</f>
        <v/>
      </c>
      <c r="EN336" t="str">
        <f>IF(NOT(ISBLANK($B336)),VLOOKUP($B336,AssetCategories!$A:$E,3,0),"")</f>
        <v/>
      </c>
      <c r="EP336" s="33" t="str">
        <f t="shared" si="11"/>
        <v/>
      </c>
    </row>
    <row r="337" spans="16:146" x14ac:dyDescent="0.25">
      <c r="P337" s="33" t="str" cm="1">
        <f t="array" ref="P337">IFERROR(SUM(VALUE(_xlfn.TEXTSPLIT(O337, ";"))), "")</f>
        <v/>
      </c>
      <c r="DO337" t="str">
        <f t="shared" si="10"/>
        <v/>
      </c>
      <c r="EG337" s="33" t="str">
        <f>IF(NOT(ISBLANK($B337)),VLOOKUP($B337,AssetCategories!$A:$E,5,0),"")</f>
        <v/>
      </c>
      <c r="EH337" t="str">
        <f>IF(NOT(ISBLANK($B337)),VLOOKUP($B337,AssetCategories!$A:$E,4,0),"")</f>
        <v/>
      </c>
      <c r="EM337" t="str">
        <f>IF(NOT(ISBLANK($B337)),VLOOKUP($B337,AssetCategories!$A:$E,2,0),"")</f>
        <v/>
      </c>
      <c r="EN337" t="str">
        <f>IF(NOT(ISBLANK($B337)),VLOOKUP($B337,AssetCategories!$A:$E,3,0),"")</f>
        <v/>
      </c>
      <c r="EP337" s="33" t="str">
        <f t="shared" si="11"/>
        <v/>
      </c>
    </row>
    <row r="338" spans="16:146" x14ac:dyDescent="0.25">
      <c r="P338" s="33" t="str" cm="1">
        <f t="array" ref="P338">IFERROR(SUM(VALUE(_xlfn.TEXTSPLIT(O338, ";"))), "")</f>
        <v/>
      </c>
      <c r="DO338" t="str">
        <f t="shared" si="10"/>
        <v/>
      </c>
      <c r="EG338" s="33" t="str">
        <f>IF(NOT(ISBLANK($B338)),VLOOKUP($B338,AssetCategories!$A:$E,5,0),"")</f>
        <v/>
      </c>
      <c r="EH338" t="str">
        <f>IF(NOT(ISBLANK($B338)),VLOOKUP($B338,AssetCategories!$A:$E,4,0),"")</f>
        <v/>
      </c>
      <c r="EM338" t="str">
        <f>IF(NOT(ISBLANK($B338)),VLOOKUP($B338,AssetCategories!$A:$E,2,0),"")</f>
        <v/>
      </c>
      <c r="EN338" t="str">
        <f>IF(NOT(ISBLANK($B338)),VLOOKUP($B338,AssetCategories!$A:$E,3,0),"")</f>
        <v/>
      </c>
      <c r="EP338" s="33" t="str">
        <f t="shared" si="11"/>
        <v/>
      </c>
    </row>
    <row r="339" spans="16:146" x14ac:dyDescent="0.25">
      <c r="P339" s="33" t="str" cm="1">
        <f t="array" ref="P339">IFERROR(SUM(VALUE(_xlfn.TEXTSPLIT(O339, ";"))), "")</f>
        <v/>
      </c>
      <c r="DO339" t="str">
        <f t="shared" si="10"/>
        <v/>
      </c>
      <c r="EG339" s="33" t="str">
        <f>IF(NOT(ISBLANK($B339)),VLOOKUP($B339,AssetCategories!$A:$E,5,0),"")</f>
        <v/>
      </c>
      <c r="EH339" t="str">
        <f>IF(NOT(ISBLANK($B339)),VLOOKUP($B339,AssetCategories!$A:$E,4,0),"")</f>
        <v/>
      </c>
      <c r="EM339" t="str">
        <f>IF(NOT(ISBLANK($B339)),VLOOKUP($B339,AssetCategories!$A:$E,2,0),"")</f>
        <v/>
      </c>
      <c r="EN339" t="str">
        <f>IF(NOT(ISBLANK($B339)),VLOOKUP($B339,AssetCategories!$A:$E,3,0),"")</f>
        <v/>
      </c>
      <c r="EP339" s="33" t="str">
        <f t="shared" si="11"/>
        <v/>
      </c>
    </row>
    <row r="340" spans="16:146" x14ac:dyDescent="0.25">
      <c r="P340" s="33" t="str" cm="1">
        <f t="array" ref="P340">IFERROR(SUM(VALUE(_xlfn.TEXTSPLIT(O340, ";"))), "")</f>
        <v/>
      </c>
      <c r="DO340" t="str">
        <f t="shared" si="10"/>
        <v/>
      </c>
      <c r="EG340" s="33" t="str">
        <f>IF(NOT(ISBLANK($B340)),VLOOKUP($B340,AssetCategories!$A:$E,5,0),"")</f>
        <v/>
      </c>
      <c r="EH340" t="str">
        <f>IF(NOT(ISBLANK($B340)),VLOOKUP($B340,AssetCategories!$A:$E,4,0),"")</f>
        <v/>
      </c>
      <c r="EM340" t="str">
        <f>IF(NOT(ISBLANK($B340)),VLOOKUP($B340,AssetCategories!$A:$E,2,0),"")</f>
        <v/>
      </c>
      <c r="EN340" t="str">
        <f>IF(NOT(ISBLANK($B340)),VLOOKUP($B340,AssetCategories!$A:$E,3,0),"")</f>
        <v/>
      </c>
      <c r="EP340" s="33" t="str">
        <f t="shared" si="11"/>
        <v/>
      </c>
    </row>
    <row r="341" spans="16:146" x14ac:dyDescent="0.25">
      <c r="P341" s="33" t="str" cm="1">
        <f t="array" ref="P341">IFERROR(SUM(VALUE(_xlfn.TEXTSPLIT(O341, ";"))), "")</f>
        <v/>
      </c>
      <c r="DO341" t="str">
        <f t="shared" si="10"/>
        <v/>
      </c>
      <c r="EG341" s="33" t="str">
        <f>IF(NOT(ISBLANK($B341)),VLOOKUP($B341,AssetCategories!$A:$E,5,0),"")</f>
        <v/>
      </c>
      <c r="EH341" t="str">
        <f>IF(NOT(ISBLANK($B341)),VLOOKUP($B341,AssetCategories!$A:$E,4,0),"")</f>
        <v/>
      </c>
      <c r="EM341" t="str">
        <f>IF(NOT(ISBLANK($B341)),VLOOKUP($B341,AssetCategories!$A:$E,2,0),"")</f>
        <v/>
      </c>
      <c r="EN341" t="str">
        <f>IF(NOT(ISBLANK($B341)),VLOOKUP($B341,AssetCategories!$A:$E,3,0),"")</f>
        <v/>
      </c>
      <c r="EP341" s="33" t="str">
        <f t="shared" si="11"/>
        <v/>
      </c>
    </row>
    <row r="342" spans="16:146" x14ac:dyDescent="0.25">
      <c r="P342" s="33" t="str" cm="1">
        <f t="array" ref="P342">IFERROR(SUM(VALUE(_xlfn.TEXTSPLIT(O342, ";"))), "")</f>
        <v/>
      </c>
      <c r="DO342" t="str">
        <f t="shared" si="10"/>
        <v/>
      </c>
      <c r="EG342" s="33" t="str">
        <f>IF(NOT(ISBLANK($B342)),VLOOKUP($B342,AssetCategories!$A:$E,5,0),"")</f>
        <v/>
      </c>
      <c r="EH342" t="str">
        <f>IF(NOT(ISBLANK($B342)),VLOOKUP($B342,AssetCategories!$A:$E,4,0),"")</f>
        <v/>
      </c>
      <c r="EM342" t="str">
        <f>IF(NOT(ISBLANK($B342)),VLOOKUP($B342,AssetCategories!$A:$E,2,0),"")</f>
        <v/>
      </c>
      <c r="EN342" t="str">
        <f>IF(NOT(ISBLANK($B342)),VLOOKUP($B342,AssetCategories!$A:$E,3,0),"")</f>
        <v/>
      </c>
      <c r="EP342" s="33" t="str">
        <f t="shared" si="11"/>
        <v/>
      </c>
    </row>
    <row r="343" spans="16:146" x14ac:dyDescent="0.25">
      <c r="P343" s="33" t="str" cm="1">
        <f t="array" ref="P343">IFERROR(SUM(VALUE(_xlfn.TEXTSPLIT(O343, ";"))), "")</f>
        <v/>
      </c>
      <c r="DO343" t="str">
        <f t="shared" si="10"/>
        <v/>
      </c>
      <c r="EG343" s="33" t="str">
        <f>IF(NOT(ISBLANK($B343)),VLOOKUP($B343,AssetCategories!$A:$E,5,0),"")</f>
        <v/>
      </c>
      <c r="EH343" t="str">
        <f>IF(NOT(ISBLANK($B343)),VLOOKUP($B343,AssetCategories!$A:$E,4,0),"")</f>
        <v/>
      </c>
      <c r="EM343" t="str">
        <f>IF(NOT(ISBLANK($B343)),VLOOKUP($B343,AssetCategories!$A:$E,2,0),"")</f>
        <v/>
      </c>
      <c r="EN343" t="str">
        <f>IF(NOT(ISBLANK($B343)),VLOOKUP($B343,AssetCategories!$A:$E,3,0),"")</f>
        <v/>
      </c>
      <c r="EP343" s="33" t="str">
        <f t="shared" si="11"/>
        <v/>
      </c>
    </row>
    <row r="344" spans="16:146" x14ac:dyDescent="0.25">
      <c r="P344" s="33" t="str" cm="1">
        <f t="array" ref="P344">IFERROR(SUM(VALUE(_xlfn.TEXTSPLIT(O344, ";"))), "")</f>
        <v/>
      </c>
      <c r="DO344" t="str">
        <f t="shared" si="10"/>
        <v/>
      </c>
      <c r="EG344" s="33" t="str">
        <f>IF(NOT(ISBLANK($B344)),VLOOKUP($B344,AssetCategories!$A:$E,5,0),"")</f>
        <v/>
      </c>
      <c r="EH344" t="str">
        <f>IF(NOT(ISBLANK($B344)),VLOOKUP($B344,AssetCategories!$A:$E,4,0),"")</f>
        <v/>
      </c>
      <c r="EM344" t="str">
        <f>IF(NOT(ISBLANK($B344)),VLOOKUP($B344,AssetCategories!$A:$E,2,0),"")</f>
        <v/>
      </c>
      <c r="EN344" t="str">
        <f>IF(NOT(ISBLANK($B344)),VLOOKUP($B344,AssetCategories!$A:$E,3,0),"")</f>
        <v/>
      </c>
      <c r="EP344" s="33" t="str">
        <f t="shared" si="11"/>
        <v/>
      </c>
    </row>
    <row r="345" spans="16:146" x14ac:dyDescent="0.25">
      <c r="P345" s="33" t="str" cm="1">
        <f t="array" ref="P345">IFERROR(SUM(VALUE(_xlfn.TEXTSPLIT(O345, ";"))), "")</f>
        <v/>
      </c>
      <c r="DO345" t="str">
        <f t="shared" si="10"/>
        <v/>
      </c>
      <c r="EG345" s="33" t="str">
        <f>IF(NOT(ISBLANK($B345)),VLOOKUP($B345,AssetCategories!$A:$E,5,0),"")</f>
        <v/>
      </c>
      <c r="EH345" t="str">
        <f>IF(NOT(ISBLANK($B345)),VLOOKUP($B345,AssetCategories!$A:$E,4,0),"")</f>
        <v/>
      </c>
      <c r="EM345" t="str">
        <f>IF(NOT(ISBLANK($B345)),VLOOKUP($B345,AssetCategories!$A:$E,2,0),"")</f>
        <v/>
      </c>
      <c r="EN345" t="str">
        <f>IF(NOT(ISBLANK($B345)),VLOOKUP($B345,AssetCategories!$A:$E,3,0),"")</f>
        <v/>
      </c>
      <c r="EP345" s="33" t="str">
        <f t="shared" si="11"/>
        <v/>
      </c>
    </row>
    <row r="346" spans="16:146" x14ac:dyDescent="0.25">
      <c r="P346" s="33" t="str" cm="1">
        <f t="array" ref="P346">IFERROR(SUM(VALUE(_xlfn.TEXTSPLIT(O346, ";"))), "")</f>
        <v/>
      </c>
      <c r="DO346" t="str">
        <f t="shared" si="10"/>
        <v/>
      </c>
      <c r="EG346" s="33" t="str">
        <f>IF(NOT(ISBLANK($B346)),VLOOKUP($B346,AssetCategories!$A:$E,5,0),"")</f>
        <v/>
      </c>
      <c r="EH346" t="str">
        <f>IF(NOT(ISBLANK($B346)),VLOOKUP($B346,AssetCategories!$A:$E,4,0),"")</f>
        <v/>
      </c>
      <c r="EM346" t="str">
        <f>IF(NOT(ISBLANK($B346)),VLOOKUP($B346,AssetCategories!$A:$E,2,0),"")</f>
        <v/>
      </c>
      <c r="EN346" t="str">
        <f>IF(NOT(ISBLANK($B346)),VLOOKUP($B346,AssetCategories!$A:$E,3,0),"")</f>
        <v/>
      </c>
      <c r="EP346" s="33" t="str">
        <f t="shared" si="11"/>
        <v/>
      </c>
    </row>
    <row r="347" spans="16:146" x14ac:dyDescent="0.25">
      <c r="P347" s="33" t="str" cm="1">
        <f t="array" ref="P347">IFERROR(SUM(VALUE(_xlfn.TEXTSPLIT(O347, ";"))), "")</f>
        <v/>
      </c>
      <c r="DO347" t="str">
        <f t="shared" si="10"/>
        <v/>
      </c>
      <c r="EG347" s="33" t="str">
        <f>IF(NOT(ISBLANK($B347)),VLOOKUP($B347,AssetCategories!$A:$E,5,0),"")</f>
        <v/>
      </c>
      <c r="EH347" t="str">
        <f>IF(NOT(ISBLANK($B347)),VLOOKUP($B347,AssetCategories!$A:$E,4,0),"")</f>
        <v/>
      </c>
      <c r="EM347" t="str">
        <f>IF(NOT(ISBLANK($B347)),VLOOKUP($B347,AssetCategories!$A:$E,2,0),"")</f>
        <v/>
      </c>
      <c r="EN347" t="str">
        <f>IF(NOT(ISBLANK($B347)),VLOOKUP($B347,AssetCategories!$A:$E,3,0),"")</f>
        <v/>
      </c>
      <c r="EP347" s="33" t="str">
        <f t="shared" si="11"/>
        <v/>
      </c>
    </row>
    <row r="348" spans="16:146" x14ac:dyDescent="0.25">
      <c r="P348" s="33" t="str" cm="1">
        <f t="array" ref="P348">IFERROR(SUM(VALUE(_xlfn.TEXTSPLIT(O348, ";"))), "")</f>
        <v/>
      </c>
      <c r="DO348" t="str">
        <f t="shared" si="10"/>
        <v/>
      </c>
      <c r="EG348" s="33" t="str">
        <f>IF(NOT(ISBLANK($B348)),VLOOKUP($B348,AssetCategories!$A:$E,5,0),"")</f>
        <v/>
      </c>
      <c r="EH348" t="str">
        <f>IF(NOT(ISBLANK($B348)),VLOOKUP($B348,AssetCategories!$A:$E,4,0),"")</f>
        <v/>
      </c>
      <c r="EM348" t="str">
        <f>IF(NOT(ISBLANK($B348)),VLOOKUP($B348,AssetCategories!$A:$E,2,0),"")</f>
        <v/>
      </c>
      <c r="EN348" t="str">
        <f>IF(NOT(ISBLANK($B348)),VLOOKUP($B348,AssetCategories!$A:$E,3,0),"")</f>
        <v/>
      </c>
      <c r="EP348" s="33" t="str">
        <f t="shared" si="11"/>
        <v/>
      </c>
    </row>
    <row r="349" spans="16:146" x14ac:dyDescent="0.25">
      <c r="P349" s="33" t="str" cm="1">
        <f t="array" ref="P349">IFERROR(SUM(VALUE(_xlfn.TEXTSPLIT(O349, ";"))), "")</f>
        <v/>
      </c>
      <c r="DO349" t="str">
        <f t="shared" si="10"/>
        <v/>
      </c>
      <c r="EG349" s="33" t="str">
        <f>IF(NOT(ISBLANK($B349)),VLOOKUP($B349,AssetCategories!$A:$E,5,0),"")</f>
        <v/>
      </c>
      <c r="EH349" t="str">
        <f>IF(NOT(ISBLANK($B349)),VLOOKUP($B349,AssetCategories!$A:$E,4,0),"")</f>
        <v/>
      </c>
      <c r="EM349" t="str">
        <f>IF(NOT(ISBLANK($B349)),VLOOKUP($B349,AssetCategories!$A:$E,2,0),"")</f>
        <v/>
      </c>
      <c r="EN349" t="str">
        <f>IF(NOT(ISBLANK($B349)),VLOOKUP($B349,AssetCategories!$A:$E,3,0),"")</f>
        <v/>
      </c>
      <c r="EP349" s="33" t="str">
        <f t="shared" si="11"/>
        <v/>
      </c>
    </row>
    <row r="350" spans="16:146" x14ac:dyDescent="0.25">
      <c r="P350" s="33" t="str" cm="1">
        <f t="array" ref="P350">IFERROR(SUM(VALUE(_xlfn.TEXTSPLIT(O350, ";"))), "")</f>
        <v/>
      </c>
      <c r="DO350" t="str">
        <f t="shared" si="10"/>
        <v/>
      </c>
      <c r="EG350" s="33" t="str">
        <f>IF(NOT(ISBLANK($B350)),VLOOKUP($B350,AssetCategories!$A:$E,5,0),"")</f>
        <v/>
      </c>
      <c r="EH350" t="str">
        <f>IF(NOT(ISBLANK($B350)),VLOOKUP($B350,AssetCategories!$A:$E,4,0),"")</f>
        <v/>
      </c>
      <c r="EM350" t="str">
        <f>IF(NOT(ISBLANK($B350)),VLOOKUP($B350,AssetCategories!$A:$E,2,0),"")</f>
        <v/>
      </c>
      <c r="EN350" t="str">
        <f>IF(NOT(ISBLANK($B350)),VLOOKUP($B350,AssetCategories!$A:$E,3,0),"")</f>
        <v/>
      </c>
      <c r="EP350" s="33" t="str">
        <f t="shared" si="11"/>
        <v/>
      </c>
    </row>
    <row r="351" spans="16:146" x14ac:dyDescent="0.25">
      <c r="P351" s="33" t="str" cm="1">
        <f t="array" ref="P351">IFERROR(SUM(VALUE(_xlfn.TEXTSPLIT(O351, ";"))), "")</f>
        <v/>
      </c>
      <c r="DO351" t="str">
        <f t="shared" si="10"/>
        <v/>
      </c>
      <c r="EG351" s="33" t="str">
        <f>IF(NOT(ISBLANK($B351)),VLOOKUP($B351,AssetCategories!$A:$E,5,0),"")</f>
        <v/>
      </c>
      <c r="EH351" t="str">
        <f>IF(NOT(ISBLANK($B351)),VLOOKUP($B351,AssetCategories!$A:$E,4,0),"")</f>
        <v/>
      </c>
      <c r="EM351" t="str">
        <f>IF(NOT(ISBLANK($B351)),VLOOKUP($B351,AssetCategories!$A:$E,2,0),"")</f>
        <v/>
      </c>
      <c r="EN351" t="str">
        <f>IF(NOT(ISBLANK($B351)),VLOOKUP($B351,AssetCategories!$A:$E,3,0),"")</f>
        <v/>
      </c>
      <c r="EP351" s="33" t="str">
        <f t="shared" si="11"/>
        <v/>
      </c>
    </row>
    <row r="352" spans="16:146" x14ac:dyDescent="0.25">
      <c r="P352" s="33" t="str" cm="1">
        <f t="array" ref="P352">IFERROR(SUM(VALUE(_xlfn.TEXTSPLIT(O352, ";"))), "")</f>
        <v/>
      </c>
      <c r="DO352" t="str">
        <f t="shared" si="10"/>
        <v/>
      </c>
      <c r="EG352" s="33" t="str">
        <f>IF(NOT(ISBLANK($B352)),VLOOKUP($B352,AssetCategories!$A:$E,5,0),"")</f>
        <v/>
      </c>
      <c r="EH352" t="str">
        <f>IF(NOT(ISBLANK($B352)),VLOOKUP($B352,AssetCategories!$A:$E,4,0),"")</f>
        <v/>
      </c>
      <c r="EM352" t="str">
        <f>IF(NOT(ISBLANK($B352)),VLOOKUP($B352,AssetCategories!$A:$E,2,0),"")</f>
        <v/>
      </c>
      <c r="EN352" t="str">
        <f>IF(NOT(ISBLANK($B352)),VLOOKUP($B352,AssetCategories!$A:$E,3,0),"")</f>
        <v/>
      </c>
      <c r="EP352" s="33" t="str">
        <f t="shared" si="11"/>
        <v/>
      </c>
    </row>
    <row r="353" spans="16:146" x14ac:dyDescent="0.25">
      <c r="P353" s="33" t="str" cm="1">
        <f t="array" ref="P353">IFERROR(SUM(VALUE(_xlfn.TEXTSPLIT(O353, ";"))), "")</f>
        <v/>
      </c>
      <c r="DO353" t="str">
        <f t="shared" si="10"/>
        <v/>
      </c>
      <c r="EG353" s="33" t="str">
        <f>IF(NOT(ISBLANK($B353)),VLOOKUP($B353,AssetCategories!$A:$E,5,0),"")</f>
        <v/>
      </c>
      <c r="EH353" t="str">
        <f>IF(NOT(ISBLANK($B353)),VLOOKUP($B353,AssetCategories!$A:$E,4,0),"")</f>
        <v/>
      </c>
      <c r="EM353" t="str">
        <f>IF(NOT(ISBLANK($B353)),VLOOKUP($B353,AssetCategories!$A:$E,2,0),"")</f>
        <v/>
      </c>
      <c r="EN353" t="str">
        <f>IF(NOT(ISBLANK($B353)),VLOOKUP($B353,AssetCategories!$A:$E,3,0),"")</f>
        <v/>
      </c>
      <c r="EP353" s="33" t="str">
        <f t="shared" si="11"/>
        <v/>
      </c>
    </row>
    <row r="354" spans="16:146" x14ac:dyDescent="0.25">
      <c r="P354" s="33" t="str" cm="1">
        <f t="array" ref="P354">IFERROR(SUM(VALUE(_xlfn.TEXTSPLIT(O354, ";"))), "")</f>
        <v/>
      </c>
      <c r="DO354" t="str">
        <f t="shared" si="10"/>
        <v/>
      </c>
      <c r="EG354" s="33" t="str">
        <f>IF(NOT(ISBLANK($B354)),VLOOKUP($B354,AssetCategories!$A:$E,5,0),"")</f>
        <v/>
      </c>
      <c r="EH354" t="str">
        <f>IF(NOT(ISBLANK($B354)),VLOOKUP($B354,AssetCategories!$A:$E,4,0),"")</f>
        <v/>
      </c>
      <c r="EM354" t="str">
        <f>IF(NOT(ISBLANK($B354)),VLOOKUP($B354,AssetCategories!$A:$E,2,0),"")</f>
        <v/>
      </c>
      <c r="EN354" t="str">
        <f>IF(NOT(ISBLANK($B354)),VLOOKUP($B354,AssetCategories!$A:$E,3,0),"")</f>
        <v/>
      </c>
      <c r="EP354" s="33" t="str">
        <f t="shared" si="11"/>
        <v/>
      </c>
    </row>
    <row r="355" spans="16:146" x14ac:dyDescent="0.25">
      <c r="P355" s="33" t="str" cm="1">
        <f t="array" ref="P355">IFERROR(SUM(VALUE(_xlfn.TEXTSPLIT(O355, ";"))), "")</f>
        <v/>
      </c>
      <c r="DO355" t="str">
        <f t="shared" si="10"/>
        <v/>
      </c>
      <c r="EG355" s="33" t="str">
        <f>IF(NOT(ISBLANK($B355)),VLOOKUP($B355,AssetCategories!$A:$E,5,0),"")</f>
        <v/>
      </c>
      <c r="EH355" t="str">
        <f>IF(NOT(ISBLANK($B355)),VLOOKUP($B355,AssetCategories!$A:$E,4,0),"")</f>
        <v/>
      </c>
      <c r="EM355" t="str">
        <f>IF(NOT(ISBLANK($B355)),VLOOKUP($B355,AssetCategories!$A:$E,2,0),"")</f>
        <v/>
      </c>
      <c r="EN355" t="str">
        <f>IF(NOT(ISBLANK($B355)),VLOOKUP($B355,AssetCategories!$A:$E,3,0),"")</f>
        <v/>
      </c>
      <c r="EP355" s="33" t="str">
        <f t="shared" si="11"/>
        <v/>
      </c>
    </row>
    <row r="356" spans="16:146" x14ac:dyDescent="0.25">
      <c r="P356" s="33" t="str" cm="1">
        <f t="array" ref="P356">IFERROR(SUM(VALUE(_xlfn.TEXTSPLIT(O356, ";"))), "")</f>
        <v/>
      </c>
      <c r="DO356" t="str">
        <f t="shared" si="10"/>
        <v/>
      </c>
      <c r="EG356" s="33" t="str">
        <f>IF(NOT(ISBLANK($B356)),VLOOKUP($B356,AssetCategories!$A:$E,5,0),"")</f>
        <v/>
      </c>
      <c r="EH356" t="str">
        <f>IF(NOT(ISBLANK($B356)),VLOOKUP($B356,AssetCategories!$A:$E,4,0),"")</f>
        <v/>
      </c>
      <c r="EM356" t="str">
        <f>IF(NOT(ISBLANK($B356)),VLOOKUP($B356,AssetCategories!$A:$E,2,0),"")</f>
        <v/>
      </c>
      <c r="EN356" t="str">
        <f>IF(NOT(ISBLANK($B356)),VLOOKUP($B356,AssetCategories!$A:$E,3,0),"")</f>
        <v/>
      </c>
      <c r="EP356" s="33" t="str">
        <f t="shared" si="11"/>
        <v/>
      </c>
    </row>
    <row r="357" spans="16:146" x14ac:dyDescent="0.25">
      <c r="P357" s="33" t="str" cm="1">
        <f t="array" ref="P357">IFERROR(SUM(VALUE(_xlfn.TEXTSPLIT(O357, ";"))), "")</f>
        <v/>
      </c>
      <c r="DO357" t="str">
        <f t="shared" si="10"/>
        <v/>
      </c>
      <c r="EG357" s="33" t="str">
        <f>IF(NOT(ISBLANK($B357)),VLOOKUP($B357,AssetCategories!$A:$E,5,0),"")</f>
        <v/>
      </c>
      <c r="EH357" t="str">
        <f>IF(NOT(ISBLANK($B357)),VLOOKUP($B357,AssetCategories!$A:$E,4,0),"")</f>
        <v/>
      </c>
      <c r="EM357" t="str">
        <f>IF(NOT(ISBLANK($B357)),VLOOKUP($B357,AssetCategories!$A:$E,2,0),"")</f>
        <v/>
      </c>
      <c r="EN357" t="str">
        <f>IF(NOT(ISBLANK($B357)),VLOOKUP($B357,AssetCategories!$A:$E,3,0),"")</f>
        <v/>
      </c>
      <c r="EP357" s="33" t="str">
        <f t="shared" si="11"/>
        <v/>
      </c>
    </row>
    <row r="358" spans="16:146" x14ac:dyDescent="0.25">
      <c r="P358" s="33" t="str" cm="1">
        <f t="array" ref="P358">IFERROR(SUM(VALUE(_xlfn.TEXTSPLIT(O358, ";"))), "")</f>
        <v/>
      </c>
      <c r="DO358" t="str">
        <f t="shared" si="10"/>
        <v/>
      </c>
      <c r="EG358" s="33" t="str">
        <f>IF(NOT(ISBLANK($B358)),VLOOKUP($B358,AssetCategories!$A:$E,5,0),"")</f>
        <v/>
      </c>
      <c r="EH358" t="str">
        <f>IF(NOT(ISBLANK($B358)),VLOOKUP($B358,AssetCategories!$A:$E,4,0),"")</f>
        <v/>
      </c>
      <c r="EM358" t="str">
        <f>IF(NOT(ISBLANK($B358)),VLOOKUP($B358,AssetCategories!$A:$E,2,0),"")</f>
        <v/>
      </c>
      <c r="EN358" t="str">
        <f>IF(NOT(ISBLANK($B358)),VLOOKUP($B358,AssetCategories!$A:$E,3,0),"")</f>
        <v/>
      </c>
      <c r="EP358" s="33" t="str">
        <f t="shared" si="11"/>
        <v/>
      </c>
    </row>
    <row r="359" spans="16:146" x14ac:dyDescent="0.25">
      <c r="P359" s="33" t="str" cm="1">
        <f t="array" ref="P359">IFERROR(SUM(VALUE(_xlfn.TEXTSPLIT(O359, ";"))), "")</f>
        <v/>
      </c>
      <c r="DO359" t="str">
        <f t="shared" si="10"/>
        <v/>
      </c>
      <c r="EG359" s="33" t="str">
        <f>IF(NOT(ISBLANK($B359)),VLOOKUP($B359,AssetCategories!$A:$E,5,0),"")</f>
        <v/>
      </c>
      <c r="EH359" t="str">
        <f>IF(NOT(ISBLANK($B359)),VLOOKUP($B359,AssetCategories!$A:$E,4,0),"")</f>
        <v/>
      </c>
      <c r="EM359" t="str">
        <f>IF(NOT(ISBLANK($B359)),VLOOKUP($B359,AssetCategories!$A:$E,2,0),"")</f>
        <v/>
      </c>
      <c r="EN359" t="str">
        <f>IF(NOT(ISBLANK($B359)),VLOOKUP($B359,AssetCategories!$A:$E,3,0),"")</f>
        <v/>
      </c>
      <c r="EP359" s="33" t="str">
        <f t="shared" si="11"/>
        <v/>
      </c>
    </row>
    <row r="360" spans="16:146" x14ac:dyDescent="0.25">
      <c r="P360" s="33" t="str" cm="1">
        <f t="array" ref="P360">IFERROR(SUM(VALUE(_xlfn.TEXTSPLIT(O360, ";"))), "")</f>
        <v/>
      </c>
      <c r="DO360" t="str">
        <f t="shared" si="10"/>
        <v/>
      </c>
      <c r="EG360" s="33" t="str">
        <f>IF(NOT(ISBLANK($B360)),VLOOKUP($B360,AssetCategories!$A:$E,5,0),"")</f>
        <v/>
      </c>
      <c r="EH360" t="str">
        <f>IF(NOT(ISBLANK($B360)),VLOOKUP($B360,AssetCategories!$A:$E,4,0),"")</f>
        <v/>
      </c>
      <c r="EM360" t="str">
        <f>IF(NOT(ISBLANK($B360)),VLOOKUP($B360,AssetCategories!$A:$E,2,0),"")</f>
        <v/>
      </c>
      <c r="EN360" t="str">
        <f>IF(NOT(ISBLANK($B360)),VLOOKUP($B360,AssetCategories!$A:$E,3,0),"")</f>
        <v/>
      </c>
      <c r="EP360" s="33" t="str">
        <f t="shared" si="11"/>
        <v/>
      </c>
    </row>
    <row r="361" spans="16:146" x14ac:dyDescent="0.25">
      <c r="P361" s="33" t="str" cm="1">
        <f t="array" ref="P361">IFERROR(SUM(VALUE(_xlfn.TEXTSPLIT(O361, ";"))), "")</f>
        <v/>
      </c>
      <c r="DO361" t="str">
        <f t="shared" si="10"/>
        <v/>
      </c>
      <c r="EG361" s="33" t="str">
        <f>IF(NOT(ISBLANK($B361)),VLOOKUP($B361,AssetCategories!$A:$E,5,0),"")</f>
        <v/>
      </c>
      <c r="EH361" t="str">
        <f>IF(NOT(ISBLANK($B361)),VLOOKUP($B361,AssetCategories!$A:$E,4,0),"")</f>
        <v/>
      </c>
      <c r="EM361" t="str">
        <f>IF(NOT(ISBLANK($B361)),VLOOKUP($B361,AssetCategories!$A:$E,2,0),"")</f>
        <v/>
      </c>
      <c r="EN361" t="str">
        <f>IF(NOT(ISBLANK($B361)),VLOOKUP($B361,AssetCategories!$A:$E,3,0),"")</f>
        <v/>
      </c>
      <c r="EP361" s="33" t="str">
        <f t="shared" si="11"/>
        <v/>
      </c>
    </row>
    <row r="362" spans="16:146" x14ac:dyDescent="0.25">
      <c r="P362" s="33" t="str" cm="1">
        <f t="array" ref="P362">IFERROR(SUM(VALUE(_xlfn.TEXTSPLIT(O362, ";"))), "")</f>
        <v/>
      </c>
      <c r="DO362" t="str">
        <f t="shared" si="10"/>
        <v/>
      </c>
      <c r="EG362" s="33" t="str">
        <f>IF(NOT(ISBLANK($B362)),VLOOKUP($B362,AssetCategories!$A:$E,5,0),"")</f>
        <v/>
      </c>
      <c r="EH362" t="str">
        <f>IF(NOT(ISBLANK($B362)),VLOOKUP($B362,AssetCategories!$A:$E,4,0),"")</f>
        <v/>
      </c>
      <c r="EM362" t="str">
        <f>IF(NOT(ISBLANK($B362)),VLOOKUP($B362,AssetCategories!$A:$E,2,0),"")</f>
        <v/>
      </c>
      <c r="EN362" t="str">
        <f>IF(NOT(ISBLANK($B362)),VLOOKUP($B362,AssetCategories!$A:$E,3,0),"")</f>
        <v/>
      </c>
      <c r="EP362" s="33" t="str">
        <f t="shared" si="11"/>
        <v/>
      </c>
    </row>
    <row r="363" spans="16:146" x14ac:dyDescent="0.25">
      <c r="P363" s="33" t="str" cm="1">
        <f t="array" ref="P363">IFERROR(SUM(VALUE(_xlfn.TEXTSPLIT(O363, ";"))), "")</f>
        <v/>
      </c>
      <c r="DO363" t="str">
        <f t="shared" si="10"/>
        <v/>
      </c>
      <c r="EG363" s="33" t="str">
        <f>IF(NOT(ISBLANK($B363)),VLOOKUP($B363,AssetCategories!$A:$E,5,0),"")</f>
        <v/>
      </c>
      <c r="EH363" t="str">
        <f>IF(NOT(ISBLANK($B363)),VLOOKUP($B363,AssetCategories!$A:$E,4,0),"")</f>
        <v/>
      </c>
      <c r="EM363" t="str">
        <f>IF(NOT(ISBLANK($B363)),VLOOKUP($B363,AssetCategories!$A:$E,2,0),"")</f>
        <v/>
      </c>
      <c r="EN363" t="str">
        <f>IF(NOT(ISBLANK($B363)),VLOOKUP($B363,AssetCategories!$A:$E,3,0),"")</f>
        <v/>
      </c>
      <c r="EP363" s="33" t="str">
        <f t="shared" si="11"/>
        <v/>
      </c>
    </row>
    <row r="364" spans="16:146" x14ac:dyDescent="0.25">
      <c r="P364" s="33" t="str" cm="1">
        <f t="array" ref="P364">IFERROR(SUM(VALUE(_xlfn.TEXTSPLIT(O364, ";"))), "")</f>
        <v/>
      </c>
      <c r="DO364" t="str">
        <f t="shared" si="10"/>
        <v/>
      </c>
      <c r="EG364" s="33" t="str">
        <f>IF(NOT(ISBLANK($B364)),VLOOKUP($B364,AssetCategories!$A:$E,5,0),"")</f>
        <v/>
      </c>
      <c r="EH364" t="str">
        <f>IF(NOT(ISBLANK($B364)),VLOOKUP($B364,AssetCategories!$A:$E,4,0),"")</f>
        <v/>
      </c>
      <c r="EM364" t="str">
        <f>IF(NOT(ISBLANK($B364)),VLOOKUP($B364,AssetCategories!$A:$E,2,0),"")</f>
        <v/>
      </c>
      <c r="EN364" t="str">
        <f>IF(NOT(ISBLANK($B364)),VLOOKUP($B364,AssetCategories!$A:$E,3,0),"")</f>
        <v/>
      </c>
      <c r="EP364" s="33" t="str">
        <f t="shared" si="11"/>
        <v/>
      </c>
    </row>
    <row r="365" spans="16:146" x14ac:dyDescent="0.25">
      <c r="P365" s="33" t="str" cm="1">
        <f t="array" ref="P365">IFERROR(SUM(VALUE(_xlfn.TEXTSPLIT(O365, ";"))), "")</f>
        <v/>
      </c>
      <c r="DO365" t="str">
        <f t="shared" si="10"/>
        <v/>
      </c>
      <c r="EG365" s="33" t="str">
        <f>IF(NOT(ISBLANK($B365)),VLOOKUP($B365,AssetCategories!$A:$E,5,0),"")</f>
        <v/>
      </c>
      <c r="EH365" t="str">
        <f>IF(NOT(ISBLANK($B365)),VLOOKUP($B365,AssetCategories!$A:$E,4,0),"")</f>
        <v/>
      </c>
      <c r="EM365" t="str">
        <f>IF(NOT(ISBLANK($B365)),VLOOKUP($B365,AssetCategories!$A:$E,2,0),"")</f>
        <v/>
      </c>
      <c r="EN365" t="str">
        <f>IF(NOT(ISBLANK($B365)),VLOOKUP($B365,AssetCategories!$A:$E,3,0),"")</f>
        <v/>
      </c>
      <c r="EP365" s="33" t="str">
        <f t="shared" si="11"/>
        <v/>
      </c>
    </row>
    <row r="366" spans="16:146" x14ac:dyDescent="0.25">
      <c r="P366" s="33" t="str" cm="1">
        <f t="array" ref="P366">IFERROR(SUM(VALUE(_xlfn.TEXTSPLIT(O366, ";"))), "")</f>
        <v/>
      </c>
      <c r="DO366" t="str">
        <f t="shared" si="10"/>
        <v/>
      </c>
      <c r="EG366" s="33" t="str">
        <f>IF(NOT(ISBLANK($B366)),VLOOKUP($B366,AssetCategories!$A:$E,5,0),"")</f>
        <v/>
      </c>
      <c r="EH366" t="str">
        <f>IF(NOT(ISBLANK($B366)),VLOOKUP($B366,AssetCategories!$A:$E,4,0),"")</f>
        <v/>
      </c>
      <c r="EM366" t="str">
        <f>IF(NOT(ISBLANK($B366)),VLOOKUP($B366,AssetCategories!$A:$E,2,0),"")</f>
        <v/>
      </c>
      <c r="EN366" t="str">
        <f>IF(NOT(ISBLANK($B366)),VLOOKUP($B366,AssetCategories!$A:$E,3,0),"")</f>
        <v/>
      </c>
      <c r="EP366" s="33" t="str">
        <f t="shared" si="11"/>
        <v/>
      </c>
    </row>
    <row r="367" spans="16:146" x14ac:dyDescent="0.25">
      <c r="P367" s="33" t="str" cm="1">
        <f t="array" ref="P367">IFERROR(SUM(VALUE(_xlfn.TEXTSPLIT(O367, ";"))), "")</f>
        <v/>
      </c>
      <c r="DO367" t="str">
        <f t="shared" si="10"/>
        <v/>
      </c>
      <c r="EG367" s="33" t="str">
        <f>IF(NOT(ISBLANK($B367)),VLOOKUP($B367,AssetCategories!$A:$E,5,0),"")</f>
        <v/>
      </c>
      <c r="EH367" t="str">
        <f>IF(NOT(ISBLANK($B367)),VLOOKUP($B367,AssetCategories!$A:$E,4,0),"")</f>
        <v/>
      </c>
      <c r="EM367" t="str">
        <f>IF(NOT(ISBLANK($B367)),VLOOKUP($B367,AssetCategories!$A:$E,2,0),"")</f>
        <v/>
      </c>
      <c r="EN367" t="str">
        <f>IF(NOT(ISBLANK($B367)),VLOOKUP($B367,AssetCategories!$A:$E,3,0),"")</f>
        <v/>
      </c>
      <c r="EP367" s="33" t="str">
        <f t="shared" si="11"/>
        <v/>
      </c>
    </row>
    <row r="368" spans="16:146" x14ac:dyDescent="0.25">
      <c r="P368" s="33" t="str" cm="1">
        <f t="array" ref="P368">IFERROR(SUM(VALUE(_xlfn.TEXTSPLIT(O368, ";"))), "")</f>
        <v/>
      </c>
      <c r="DO368" t="str">
        <f t="shared" si="10"/>
        <v/>
      </c>
      <c r="EG368" s="33" t="str">
        <f>IF(NOT(ISBLANK($B368)),VLOOKUP($B368,AssetCategories!$A:$E,5,0),"")</f>
        <v/>
      </c>
      <c r="EH368" t="str">
        <f>IF(NOT(ISBLANK($B368)),VLOOKUP($B368,AssetCategories!$A:$E,4,0),"")</f>
        <v/>
      </c>
      <c r="EM368" t="str">
        <f>IF(NOT(ISBLANK($B368)),VLOOKUP($B368,AssetCategories!$A:$E,2,0),"")</f>
        <v/>
      </c>
      <c r="EN368" t="str">
        <f>IF(NOT(ISBLANK($B368)),VLOOKUP($B368,AssetCategories!$A:$E,3,0),"")</f>
        <v/>
      </c>
      <c r="EP368" s="33" t="str">
        <f t="shared" si="11"/>
        <v/>
      </c>
    </row>
    <row r="369" spans="16:146" x14ac:dyDescent="0.25">
      <c r="P369" s="33" t="str" cm="1">
        <f t="array" ref="P369">IFERROR(SUM(VALUE(_xlfn.TEXTSPLIT(O369, ";"))), "")</f>
        <v/>
      </c>
      <c r="DO369" t="str">
        <f t="shared" si="10"/>
        <v/>
      </c>
      <c r="EG369" s="33" t="str">
        <f>IF(NOT(ISBLANK($B369)),VLOOKUP($B369,AssetCategories!$A:$E,5,0),"")</f>
        <v/>
      </c>
      <c r="EH369" t="str">
        <f>IF(NOT(ISBLANK($B369)),VLOOKUP($B369,AssetCategories!$A:$E,4,0),"")</f>
        <v/>
      </c>
      <c r="EM369" t="str">
        <f>IF(NOT(ISBLANK($B369)),VLOOKUP($B369,AssetCategories!$A:$E,2,0),"")</f>
        <v/>
      </c>
      <c r="EN369" t="str">
        <f>IF(NOT(ISBLANK($B369)),VLOOKUP($B369,AssetCategories!$A:$E,3,0),"")</f>
        <v/>
      </c>
      <c r="EP369" s="33" t="str">
        <f t="shared" si="11"/>
        <v/>
      </c>
    </row>
    <row r="370" spans="16:146" x14ac:dyDescent="0.25">
      <c r="P370" s="33" t="str" cm="1">
        <f t="array" ref="P370">IFERROR(SUM(VALUE(_xlfn.TEXTSPLIT(O370, ";"))), "")</f>
        <v/>
      </c>
      <c r="DO370" t="str">
        <f t="shared" si="10"/>
        <v/>
      </c>
      <c r="EG370" s="33" t="str">
        <f>IF(NOT(ISBLANK($B370)),VLOOKUP($B370,AssetCategories!$A:$E,5,0),"")</f>
        <v/>
      </c>
      <c r="EH370" t="str">
        <f>IF(NOT(ISBLANK($B370)),VLOOKUP($B370,AssetCategories!$A:$E,4,0),"")</f>
        <v/>
      </c>
      <c r="EM370" t="str">
        <f>IF(NOT(ISBLANK($B370)),VLOOKUP($B370,AssetCategories!$A:$E,2,0),"")</f>
        <v/>
      </c>
      <c r="EN370" t="str">
        <f>IF(NOT(ISBLANK($B370)),VLOOKUP($B370,AssetCategories!$A:$E,3,0),"")</f>
        <v/>
      </c>
      <c r="EP370" s="33" t="str">
        <f t="shared" si="11"/>
        <v/>
      </c>
    </row>
    <row r="371" spans="16:146" x14ac:dyDescent="0.25">
      <c r="P371" s="33" t="str" cm="1">
        <f t="array" ref="P371">IFERROR(SUM(VALUE(_xlfn.TEXTSPLIT(O371, ";"))), "")</f>
        <v/>
      </c>
      <c r="DO371" t="str">
        <f t="shared" si="10"/>
        <v/>
      </c>
      <c r="EG371" s="33" t="str">
        <f>IF(NOT(ISBLANK($B371)),VLOOKUP($B371,AssetCategories!$A:$E,5,0),"")</f>
        <v/>
      </c>
      <c r="EH371" t="str">
        <f>IF(NOT(ISBLANK($B371)),VLOOKUP($B371,AssetCategories!$A:$E,4,0),"")</f>
        <v/>
      </c>
      <c r="EM371" t="str">
        <f>IF(NOT(ISBLANK($B371)),VLOOKUP($B371,AssetCategories!$A:$E,2,0),"")</f>
        <v/>
      </c>
      <c r="EN371" t="str">
        <f>IF(NOT(ISBLANK($B371)),VLOOKUP($B371,AssetCategories!$A:$E,3,0),"")</f>
        <v/>
      </c>
      <c r="EP371" s="33" t="str">
        <f t="shared" si="11"/>
        <v/>
      </c>
    </row>
    <row r="372" spans="16:146" x14ac:dyDescent="0.25">
      <c r="P372" s="33" t="str" cm="1">
        <f t="array" ref="P372">IFERROR(SUM(VALUE(_xlfn.TEXTSPLIT(O372, ";"))), "")</f>
        <v/>
      </c>
      <c r="DO372" t="str">
        <f t="shared" si="10"/>
        <v/>
      </c>
      <c r="EG372" s="33" t="str">
        <f>IF(NOT(ISBLANK($B372)),VLOOKUP($B372,AssetCategories!$A:$E,5,0),"")</f>
        <v/>
      </c>
      <c r="EH372" t="str">
        <f>IF(NOT(ISBLANK($B372)),VLOOKUP($B372,AssetCategories!$A:$E,4,0),"")</f>
        <v/>
      </c>
      <c r="EM372" t="str">
        <f>IF(NOT(ISBLANK($B372)),VLOOKUP($B372,AssetCategories!$A:$E,2,0),"")</f>
        <v/>
      </c>
      <c r="EN372" t="str">
        <f>IF(NOT(ISBLANK($B372)),VLOOKUP($B372,AssetCategories!$A:$E,3,0),"")</f>
        <v/>
      </c>
      <c r="EP372" s="33" t="str">
        <f t="shared" si="11"/>
        <v/>
      </c>
    </row>
    <row r="373" spans="16:146" x14ac:dyDescent="0.25">
      <c r="P373" s="33" t="str" cm="1">
        <f t="array" ref="P373">IFERROR(SUM(VALUE(_xlfn.TEXTSPLIT(O373, ";"))), "")</f>
        <v/>
      </c>
      <c r="DO373" t="str">
        <f t="shared" si="10"/>
        <v/>
      </c>
      <c r="EG373" s="33" t="str">
        <f>IF(NOT(ISBLANK($B373)),VLOOKUP($B373,AssetCategories!$A:$E,5,0),"")</f>
        <v/>
      </c>
      <c r="EH373" t="str">
        <f>IF(NOT(ISBLANK($B373)),VLOOKUP($B373,AssetCategories!$A:$E,4,0),"")</f>
        <v/>
      </c>
      <c r="EM373" t="str">
        <f>IF(NOT(ISBLANK($B373)),VLOOKUP($B373,AssetCategories!$A:$E,2,0),"")</f>
        <v/>
      </c>
      <c r="EN373" t="str">
        <f>IF(NOT(ISBLANK($B373)),VLOOKUP($B373,AssetCategories!$A:$E,3,0),"")</f>
        <v/>
      </c>
      <c r="EP373" s="33" t="str">
        <f t="shared" si="11"/>
        <v/>
      </c>
    </row>
    <row r="374" spans="16:146" x14ac:dyDescent="0.25">
      <c r="P374" s="33" t="str" cm="1">
        <f t="array" ref="P374">IFERROR(SUM(VALUE(_xlfn.TEXTSPLIT(O374, ";"))), "")</f>
        <v/>
      </c>
      <c r="DO374" t="str">
        <f t="shared" si="10"/>
        <v/>
      </c>
      <c r="EG374" s="33" t="str">
        <f>IF(NOT(ISBLANK($B374)),VLOOKUP($B374,AssetCategories!$A:$E,5,0),"")</f>
        <v/>
      </c>
      <c r="EH374" t="str">
        <f>IF(NOT(ISBLANK($B374)),VLOOKUP($B374,AssetCategories!$A:$E,4,0),"")</f>
        <v/>
      </c>
      <c r="EM374" t="str">
        <f>IF(NOT(ISBLANK($B374)),VLOOKUP($B374,AssetCategories!$A:$E,2,0),"")</f>
        <v/>
      </c>
      <c r="EN374" t="str">
        <f>IF(NOT(ISBLANK($B374)),VLOOKUP($B374,AssetCategories!$A:$E,3,0),"")</f>
        <v/>
      </c>
      <c r="EP374" s="33" t="str">
        <f t="shared" si="11"/>
        <v/>
      </c>
    </row>
    <row r="375" spans="16:146" x14ac:dyDescent="0.25">
      <c r="P375" s="33" t="str" cm="1">
        <f t="array" ref="P375">IFERROR(SUM(VALUE(_xlfn.TEXTSPLIT(O375, ";"))), "")</f>
        <v/>
      </c>
      <c r="DO375" t="str">
        <f t="shared" si="10"/>
        <v/>
      </c>
      <c r="EG375" s="33" t="str">
        <f>IF(NOT(ISBLANK($B375)),VLOOKUP($B375,AssetCategories!$A:$E,5,0),"")</f>
        <v/>
      </c>
      <c r="EH375" t="str">
        <f>IF(NOT(ISBLANK($B375)),VLOOKUP($B375,AssetCategories!$A:$E,4,0),"")</f>
        <v/>
      </c>
      <c r="EM375" t="str">
        <f>IF(NOT(ISBLANK($B375)),VLOOKUP($B375,AssetCategories!$A:$E,2,0),"")</f>
        <v/>
      </c>
      <c r="EN375" t="str">
        <f>IF(NOT(ISBLANK($B375)),VLOOKUP($B375,AssetCategories!$A:$E,3,0),"")</f>
        <v/>
      </c>
      <c r="EP375" s="33" t="str">
        <f t="shared" si="11"/>
        <v/>
      </c>
    </row>
    <row r="376" spans="16:146" x14ac:dyDescent="0.25">
      <c r="P376" s="33" t="str" cm="1">
        <f t="array" ref="P376">IFERROR(SUM(VALUE(_xlfn.TEXTSPLIT(O376, ";"))), "")</f>
        <v/>
      </c>
      <c r="DO376" t="str">
        <f t="shared" si="10"/>
        <v/>
      </c>
      <c r="EG376" s="33" t="str">
        <f>IF(NOT(ISBLANK($B376)),VLOOKUP($B376,AssetCategories!$A:$E,5,0),"")</f>
        <v/>
      </c>
      <c r="EH376" t="str">
        <f>IF(NOT(ISBLANK($B376)),VLOOKUP($B376,AssetCategories!$A:$E,4,0),"")</f>
        <v/>
      </c>
      <c r="EM376" t="str">
        <f>IF(NOT(ISBLANK($B376)),VLOOKUP($B376,AssetCategories!$A:$E,2,0),"")</f>
        <v/>
      </c>
      <c r="EN376" t="str">
        <f>IF(NOT(ISBLANK($B376)),VLOOKUP($B376,AssetCategories!$A:$E,3,0),"")</f>
        <v/>
      </c>
      <c r="EP376" s="33" t="str">
        <f t="shared" si="11"/>
        <v/>
      </c>
    </row>
    <row r="377" spans="16:146" x14ac:dyDescent="0.25">
      <c r="P377" s="33" t="str" cm="1">
        <f t="array" ref="P377">IFERROR(SUM(VALUE(_xlfn.TEXTSPLIT(O377, ";"))), "")</f>
        <v/>
      </c>
      <c r="DO377" t="str">
        <f t="shared" si="10"/>
        <v/>
      </c>
      <c r="EG377" s="33" t="str">
        <f>IF(NOT(ISBLANK($B377)),VLOOKUP($B377,AssetCategories!$A:$E,5,0),"")</f>
        <v/>
      </c>
      <c r="EH377" t="str">
        <f>IF(NOT(ISBLANK($B377)),VLOOKUP($B377,AssetCategories!$A:$E,4,0),"")</f>
        <v/>
      </c>
      <c r="EM377" t="str">
        <f>IF(NOT(ISBLANK($B377)),VLOOKUP($B377,AssetCategories!$A:$E,2,0),"")</f>
        <v/>
      </c>
      <c r="EN377" t="str">
        <f>IF(NOT(ISBLANK($B377)),VLOOKUP($B377,AssetCategories!$A:$E,3,0),"")</f>
        <v/>
      </c>
      <c r="EP377" s="33" t="str">
        <f t="shared" si="11"/>
        <v/>
      </c>
    </row>
    <row r="378" spans="16:146" x14ac:dyDescent="0.25">
      <c r="P378" s="33" t="str" cm="1">
        <f t="array" ref="P378">IFERROR(SUM(VALUE(_xlfn.TEXTSPLIT(O378, ";"))), "")</f>
        <v/>
      </c>
      <c r="DO378" t="str">
        <f t="shared" si="10"/>
        <v/>
      </c>
      <c r="EG378" s="33" t="str">
        <f>IF(NOT(ISBLANK($B378)),VLOOKUP($B378,AssetCategories!$A:$E,5,0),"")</f>
        <v/>
      </c>
      <c r="EH378" t="str">
        <f>IF(NOT(ISBLANK($B378)),VLOOKUP($B378,AssetCategories!$A:$E,4,0),"")</f>
        <v/>
      </c>
      <c r="EM378" t="str">
        <f>IF(NOT(ISBLANK($B378)),VLOOKUP($B378,AssetCategories!$A:$E,2,0),"")</f>
        <v/>
      </c>
      <c r="EN378" t="str">
        <f>IF(NOT(ISBLANK($B378)),VLOOKUP($B378,AssetCategories!$A:$E,3,0),"")</f>
        <v/>
      </c>
      <c r="EP378" s="33" t="str">
        <f t="shared" si="11"/>
        <v/>
      </c>
    </row>
    <row r="379" spans="16:146" x14ac:dyDescent="0.25">
      <c r="P379" s="33" t="str" cm="1">
        <f t="array" ref="P379">IFERROR(SUM(VALUE(_xlfn.TEXTSPLIT(O379, ";"))), "")</f>
        <v/>
      </c>
      <c r="DO379" t="str">
        <f t="shared" si="10"/>
        <v/>
      </c>
      <c r="EG379" s="33" t="str">
        <f>IF(NOT(ISBLANK($B379)),VLOOKUP($B379,AssetCategories!$A:$E,5,0),"")</f>
        <v/>
      </c>
      <c r="EH379" t="str">
        <f>IF(NOT(ISBLANK($B379)),VLOOKUP($B379,AssetCategories!$A:$E,4,0),"")</f>
        <v/>
      </c>
      <c r="EM379" t="str">
        <f>IF(NOT(ISBLANK($B379)),VLOOKUP($B379,AssetCategories!$A:$E,2,0),"")</f>
        <v/>
      </c>
      <c r="EN379" t="str">
        <f>IF(NOT(ISBLANK($B379)),VLOOKUP($B379,AssetCategories!$A:$E,3,0),"")</f>
        <v/>
      </c>
      <c r="EP379" s="33" t="str">
        <f t="shared" si="11"/>
        <v/>
      </c>
    </row>
    <row r="380" spans="16:146" x14ac:dyDescent="0.25">
      <c r="P380" s="33" t="str" cm="1">
        <f t="array" ref="P380">IFERROR(SUM(VALUE(_xlfn.TEXTSPLIT(O380, ";"))), "")</f>
        <v/>
      </c>
      <c r="DO380" t="str">
        <f t="shared" si="10"/>
        <v/>
      </c>
      <c r="EG380" s="33" t="str">
        <f>IF(NOT(ISBLANK($B380)),VLOOKUP($B380,AssetCategories!$A:$E,5,0),"")</f>
        <v/>
      </c>
      <c r="EH380" t="str">
        <f>IF(NOT(ISBLANK($B380)),VLOOKUP($B380,AssetCategories!$A:$E,4,0),"")</f>
        <v/>
      </c>
      <c r="EM380" t="str">
        <f>IF(NOT(ISBLANK($B380)),VLOOKUP($B380,AssetCategories!$A:$E,2,0),"")</f>
        <v/>
      </c>
      <c r="EN380" t="str">
        <f>IF(NOT(ISBLANK($B380)),VLOOKUP($B380,AssetCategories!$A:$E,3,0),"")</f>
        <v/>
      </c>
      <c r="EP380" s="33" t="str">
        <f t="shared" si="11"/>
        <v/>
      </c>
    </row>
    <row r="381" spans="16:146" x14ac:dyDescent="0.25">
      <c r="P381" s="33" t="str" cm="1">
        <f t="array" ref="P381">IFERROR(SUM(VALUE(_xlfn.TEXTSPLIT(O381, ";"))), "")</f>
        <v/>
      </c>
      <c r="DO381" t="str">
        <f t="shared" si="10"/>
        <v/>
      </c>
      <c r="EG381" s="33" t="str">
        <f>IF(NOT(ISBLANK($B381)),VLOOKUP($B381,AssetCategories!$A:$E,5,0),"")</f>
        <v/>
      </c>
      <c r="EH381" t="str">
        <f>IF(NOT(ISBLANK($B381)),VLOOKUP($B381,AssetCategories!$A:$E,4,0),"")</f>
        <v/>
      </c>
      <c r="EM381" t="str">
        <f>IF(NOT(ISBLANK($B381)),VLOOKUP($B381,AssetCategories!$A:$E,2,0),"")</f>
        <v/>
      </c>
      <c r="EN381" t="str">
        <f>IF(NOT(ISBLANK($B381)),VLOOKUP($B381,AssetCategories!$A:$E,3,0),"")</f>
        <v/>
      </c>
      <c r="EP381" s="33" t="str">
        <f t="shared" si="11"/>
        <v/>
      </c>
    </row>
    <row r="382" spans="16:146" x14ac:dyDescent="0.25">
      <c r="P382" s="33" t="str" cm="1">
        <f t="array" ref="P382">IFERROR(SUM(VALUE(_xlfn.TEXTSPLIT(O382, ";"))), "")</f>
        <v/>
      </c>
      <c r="DO382" t="str">
        <f t="shared" si="10"/>
        <v/>
      </c>
      <c r="EG382" s="33" t="str">
        <f>IF(NOT(ISBLANK($B382)),VLOOKUP($B382,AssetCategories!$A:$E,5,0),"")</f>
        <v/>
      </c>
      <c r="EH382" t="str">
        <f>IF(NOT(ISBLANK($B382)),VLOOKUP($B382,AssetCategories!$A:$E,4,0),"")</f>
        <v/>
      </c>
      <c r="EM382" t="str">
        <f>IF(NOT(ISBLANK($B382)),VLOOKUP($B382,AssetCategories!$A:$E,2,0),"")</f>
        <v/>
      </c>
      <c r="EN382" t="str">
        <f>IF(NOT(ISBLANK($B382)),VLOOKUP($B382,AssetCategories!$A:$E,3,0),"")</f>
        <v/>
      </c>
      <c r="EP382" s="33" t="str">
        <f t="shared" si="11"/>
        <v/>
      </c>
    </row>
    <row r="383" spans="16:146" x14ac:dyDescent="0.25">
      <c r="P383" s="33" t="str" cm="1">
        <f t="array" ref="P383">IFERROR(SUM(VALUE(_xlfn.TEXTSPLIT(O383, ";"))), "")</f>
        <v/>
      </c>
      <c r="DO383" t="str">
        <f t="shared" si="10"/>
        <v/>
      </c>
      <c r="EG383" s="33" t="str">
        <f>IF(NOT(ISBLANK($B383)),VLOOKUP($B383,AssetCategories!$A:$E,5,0),"")</f>
        <v/>
      </c>
      <c r="EH383" t="str">
        <f>IF(NOT(ISBLANK($B383)),VLOOKUP($B383,AssetCategories!$A:$E,4,0),"")</f>
        <v/>
      </c>
      <c r="EM383" t="str">
        <f>IF(NOT(ISBLANK($B383)),VLOOKUP($B383,AssetCategories!$A:$E,2,0),"")</f>
        <v/>
      </c>
      <c r="EN383" t="str">
        <f>IF(NOT(ISBLANK($B383)),VLOOKUP($B383,AssetCategories!$A:$E,3,0),"")</f>
        <v/>
      </c>
      <c r="EP383" s="33" t="str">
        <f t="shared" si="11"/>
        <v/>
      </c>
    </row>
    <row r="384" spans="16:146" x14ac:dyDescent="0.25">
      <c r="P384" s="33" t="str" cm="1">
        <f t="array" ref="P384">IFERROR(SUM(VALUE(_xlfn.TEXTSPLIT(O384, ";"))), "")</f>
        <v/>
      </c>
      <c r="DO384" t="str">
        <f t="shared" si="10"/>
        <v/>
      </c>
      <c r="EG384" s="33" t="str">
        <f>IF(NOT(ISBLANK($B384)),VLOOKUP($B384,AssetCategories!$A:$E,5,0),"")</f>
        <v/>
      </c>
      <c r="EH384" t="str">
        <f>IF(NOT(ISBLANK($B384)),VLOOKUP($B384,AssetCategories!$A:$E,4,0),"")</f>
        <v/>
      </c>
      <c r="EM384" t="str">
        <f>IF(NOT(ISBLANK($B384)),VLOOKUP($B384,AssetCategories!$A:$E,2,0),"")</f>
        <v/>
      </c>
      <c r="EN384" t="str">
        <f>IF(NOT(ISBLANK($B384)),VLOOKUP($B384,AssetCategories!$A:$E,3,0),"")</f>
        <v/>
      </c>
      <c r="EP384" s="33" t="str">
        <f t="shared" si="11"/>
        <v/>
      </c>
    </row>
    <row r="385" spans="16:146" x14ac:dyDescent="0.25">
      <c r="P385" s="33" t="str" cm="1">
        <f t="array" ref="P385">IFERROR(SUM(VALUE(_xlfn.TEXTSPLIT(O385, ";"))), "")</f>
        <v/>
      </c>
      <c r="DO385" t="str">
        <f t="shared" si="10"/>
        <v/>
      </c>
      <c r="EG385" s="33" t="str">
        <f>IF(NOT(ISBLANK($B385)),VLOOKUP($B385,AssetCategories!$A:$E,5,0),"")</f>
        <v/>
      </c>
      <c r="EH385" t="str">
        <f>IF(NOT(ISBLANK($B385)),VLOOKUP($B385,AssetCategories!$A:$E,4,0),"")</f>
        <v/>
      </c>
      <c r="EM385" t="str">
        <f>IF(NOT(ISBLANK($B385)),VLOOKUP($B385,AssetCategories!$A:$E,2,0),"")</f>
        <v/>
      </c>
      <c r="EN385" t="str">
        <f>IF(NOT(ISBLANK($B385)),VLOOKUP($B385,AssetCategories!$A:$E,3,0),"")</f>
        <v/>
      </c>
      <c r="EP385" s="33" t="str">
        <f t="shared" si="11"/>
        <v/>
      </c>
    </row>
    <row r="386" spans="16:146" x14ac:dyDescent="0.25">
      <c r="P386" s="33" t="str" cm="1">
        <f t="array" ref="P386">IFERROR(SUM(VALUE(_xlfn.TEXTSPLIT(O386, ";"))), "")</f>
        <v/>
      </c>
      <c r="DO386" t="str">
        <f t="shared" si="10"/>
        <v/>
      </c>
      <c r="EG386" s="33" t="str">
        <f>IF(NOT(ISBLANK($B386)),VLOOKUP($B386,AssetCategories!$A:$E,5,0),"")</f>
        <v/>
      </c>
      <c r="EH386" t="str">
        <f>IF(NOT(ISBLANK($B386)),VLOOKUP($B386,AssetCategories!$A:$E,4,0),"")</f>
        <v/>
      </c>
      <c r="EM386" t="str">
        <f>IF(NOT(ISBLANK($B386)),VLOOKUP($B386,AssetCategories!$A:$E,2,0),"")</f>
        <v/>
      </c>
      <c r="EN386" t="str">
        <f>IF(NOT(ISBLANK($B386)),VLOOKUP($B386,AssetCategories!$A:$E,3,0),"")</f>
        <v/>
      </c>
      <c r="EP386" s="33" t="str">
        <f t="shared" si="11"/>
        <v/>
      </c>
    </row>
    <row r="387" spans="16:146" x14ac:dyDescent="0.25">
      <c r="P387" s="33" t="str" cm="1">
        <f t="array" ref="P387">IFERROR(SUM(VALUE(_xlfn.TEXTSPLIT(O387, ";"))), "")</f>
        <v/>
      </c>
      <c r="DO387" t="str">
        <f t="shared" si="10"/>
        <v/>
      </c>
      <c r="EG387" s="33" t="str">
        <f>IF(NOT(ISBLANK($B387)),VLOOKUP($B387,AssetCategories!$A:$E,5,0),"")</f>
        <v/>
      </c>
      <c r="EH387" t="str">
        <f>IF(NOT(ISBLANK($B387)),VLOOKUP($B387,AssetCategories!$A:$E,4,0),"")</f>
        <v/>
      </c>
      <c r="EM387" t="str">
        <f>IF(NOT(ISBLANK($B387)),VLOOKUP($B387,AssetCategories!$A:$E,2,0),"")</f>
        <v/>
      </c>
      <c r="EN387" t="str">
        <f>IF(NOT(ISBLANK($B387)),VLOOKUP($B387,AssetCategories!$A:$E,3,0),"")</f>
        <v/>
      </c>
      <c r="EP387" s="33" t="str">
        <f t="shared" si="11"/>
        <v/>
      </c>
    </row>
    <row r="388" spans="16:146" x14ac:dyDescent="0.25">
      <c r="P388" s="33" t="str" cm="1">
        <f t="array" ref="P388">IFERROR(SUM(VALUE(_xlfn.TEXTSPLIT(O388, ";"))), "")</f>
        <v/>
      </c>
      <c r="DO388" t="str">
        <f t="shared" si="10"/>
        <v/>
      </c>
      <c r="EG388" s="33" t="str">
        <f>IF(NOT(ISBLANK($B388)),VLOOKUP($B388,AssetCategories!$A:$E,5,0),"")</f>
        <v/>
      </c>
      <c r="EH388" t="str">
        <f>IF(NOT(ISBLANK($B388)),VLOOKUP($B388,AssetCategories!$A:$E,4,0),"")</f>
        <v/>
      </c>
      <c r="EM388" t="str">
        <f>IF(NOT(ISBLANK($B388)),VLOOKUP($B388,AssetCategories!$A:$E,2,0),"")</f>
        <v/>
      </c>
      <c r="EN388" t="str">
        <f>IF(NOT(ISBLANK($B388)),VLOOKUP($B388,AssetCategories!$A:$E,3,0),"")</f>
        <v/>
      </c>
      <c r="EP388" s="33" t="str">
        <f t="shared" si="11"/>
        <v/>
      </c>
    </row>
    <row r="389" spans="16:146" x14ac:dyDescent="0.25">
      <c r="P389" s="33" t="str" cm="1">
        <f t="array" ref="P389">IFERROR(SUM(VALUE(_xlfn.TEXTSPLIT(O389, ";"))), "")</f>
        <v/>
      </c>
      <c r="DO389" t="str">
        <f t="shared" ref="DO389:DO452" si="12">IF(SUM(DE389:DN389)=0, "", SUM(DE389:DN389))</f>
        <v/>
      </c>
      <c r="EG389" s="33" t="str">
        <f>IF(NOT(ISBLANK($B389)),VLOOKUP($B389,AssetCategories!$A:$E,5,0),"")</f>
        <v/>
      </c>
      <c r="EH389" t="str">
        <f>IF(NOT(ISBLANK($B389)),VLOOKUP($B389,AssetCategories!$A:$E,4,0),"")</f>
        <v/>
      </c>
      <c r="EM389" t="str">
        <f>IF(NOT(ISBLANK($B389)),VLOOKUP($B389,AssetCategories!$A:$E,2,0),"")</f>
        <v/>
      </c>
      <c r="EN389" t="str">
        <f>IF(NOT(ISBLANK($B389)),VLOOKUP($B389,AssetCategories!$A:$E,3,0),"")</f>
        <v/>
      </c>
      <c r="EP389" s="33" t="str">
        <f t="shared" ref="EP389:EP452" si="13">IFERROR(P389-EO389, "")</f>
        <v/>
      </c>
    </row>
    <row r="390" spans="16:146" x14ac:dyDescent="0.25">
      <c r="P390" s="33" t="str" cm="1">
        <f t="array" ref="P390">IFERROR(SUM(VALUE(_xlfn.TEXTSPLIT(O390, ";"))), "")</f>
        <v/>
      </c>
      <c r="DO390" t="str">
        <f t="shared" si="12"/>
        <v/>
      </c>
      <c r="EG390" s="33" t="str">
        <f>IF(NOT(ISBLANK($B390)),VLOOKUP($B390,AssetCategories!$A:$E,5,0),"")</f>
        <v/>
      </c>
      <c r="EH390" t="str">
        <f>IF(NOT(ISBLANK($B390)),VLOOKUP($B390,AssetCategories!$A:$E,4,0),"")</f>
        <v/>
      </c>
      <c r="EM390" t="str">
        <f>IF(NOT(ISBLANK($B390)),VLOOKUP($B390,AssetCategories!$A:$E,2,0),"")</f>
        <v/>
      </c>
      <c r="EN390" t="str">
        <f>IF(NOT(ISBLANK($B390)),VLOOKUP($B390,AssetCategories!$A:$E,3,0),"")</f>
        <v/>
      </c>
      <c r="EP390" s="33" t="str">
        <f t="shared" si="13"/>
        <v/>
      </c>
    </row>
    <row r="391" spans="16:146" x14ac:dyDescent="0.25">
      <c r="P391" s="33" t="str" cm="1">
        <f t="array" ref="P391">IFERROR(SUM(VALUE(_xlfn.TEXTSPLIT(O391, ";"))), "")</f>
        <v/>
      </c>
      <c r="DO391" t="str">
        <f t="shared" si="12"/>
        <v/>
      </c>
      <c r="EG391" s="33" t="str">
        <f>IF(NOT(ISBLANK($B391)),VLOOKUP($B391,AssetCategories!$A:$E,5,0),"")</f>
        <v/>
      </c>
      <c r="EH391" t="str">
        <f>IF(NOT(ISBLANK($B391)),VLOOKUP($B391,AssetCategories!$A:$E,4,0),"")</f>
        <v/>
      </c>
      <c r="EM391" t="str">
        <f>IF(NOT(ISBLANK($B391)),VLOOKUP($B391,AssetCategories!$A:$E,2,0),"")</f>
        <v/>
      </c>
      <c r="EN391" t="str">
        <f>IF(NOT(ISBLANK($B391)),VLOOKUP($B391,AssetCategories!$A:$E,3,0),"")</f>
        <v/>
      </c>
      <c r="EP391" s="33" t="str">
        <f t="shared" si="13"/>
        <v/>
      </c>
    </row>
    <row r="392" spans="16:146" x14ac:dyDescent="0.25">
      <c r="P392" s="33" t="str" cm="1">
        <f t="array" ref="P392">IFERROR(SUM(VALUE(_xlfn.TEXTSPLIT(O392, ";"))), "")</f>
        <v/>
      </c>
      <c r="DO392" t="str">
        <f t="shared" si="12"/>
        <v/>
      </c>
      <c r="EG392" s="33" t="str">
        <f>IF(NOT(ISBLANK($B392)),VLOOKUP($B392,AssetCategories!$A:$E,5,0),"")</f>
        <v/>
      </c>
      <c r="EH392" t="str">
        <f>IF(NOT(ISBLANK($B392)),VLOOKUP($B392,AssetCategories!$A:$E,4,0),"")</f>
        <v/>
      </c>
      <c r="EM392" t="str">
        <f>IF(NOT(ISBLANK($B392)),VLOOKUP($B392,AssetCategories!$A:$E,2,0),"")</f>
        <v/>
      </c>
      <c r="EN392" t="str">
        <f>IF(NOT(ISBLANK($B392)),VLOOKUP($B392,AssetCategories!$A:$E,3,0),"")</f>
        <v/>
      </c>
      <c r="EP392" s="33" t="str">
        <f t="shared" si="13"/>
        <v/>
      </c>
    </row>
    <row r="393" spans="16:146" x14ac:dyDescent="0.25">
      <c r="P393" s="33" t="str" cm="1">
        <f t="array" ref="P393">IFERROR(SUM(VALUE(_xlfn.TEXTSPLIT(O393, ";"))), "")</f>
        <v/>
      </c>
      <c r="DO393" t="str">
        <f t="shared" si="12"/>
        <v/>
      </c>
      <c r="EG393" s="33" t="str">
        <f>IF(NOT(ISBLANK($B393)),VLOOKUP($B393,AssetCategories!$A:$E,5,0),"")</f>
        <v/>
      </c>
      <c r="EH393" t="str">
        <f>IF(NOT(ISBLANK($B393)),VLOOKUP($B393,AssetCategories!$A:$E,4,0),"")</f>
        <v/>
      </c>
      <c r="EM393" t="str">
        <f>IF(NOT(ISBLANK($B393)),VLOOKUP($B393,AssetCategories!$A:$E,2,0),"")</f>
        <v/>
      </c>
      <c r="EN393" t="str">
        <f>IF(NOT(ISBLANK($B393)),VLOOKUP($B393,AssetCategories!$A:$E,3,0),"")</f>
        <v/>
      </c>
      <c r="EP393" s="33" t="str">
        <f t="shared" si="13"/>
        <v/>
      </c>
    </row>
    <row r="394" spans="16:146" x14ac:dyDescent="0.25">
      <c r="P394" s="33" t="str" cm="1">
        <f t="array" ref="P394">IFERROR(SUM(VALUE(_xlfn.TEXTSPLIT(O394, ";"))), "")</f>
        <v/>
      </c>
      <c r="DO394" t="str">
        <f t="shared" si="12"/>
        <v/>
      </c>
      <c r="EG394" s="33" t="str">
        <f>IF(NOT(ISBLANK($B394)),VLOOKUP($B394,AssetCategories!$A:$E,5,0),"")</f>
        <v/>
      </c>
      <c r="EH394" t="str">
        <f>IF(NOT(ISBLANK($B394)),VLOOKUP($B394,AssetCategories!$A:$E,4,0),"")</f>
        <v/>
      </c>
      <c r="EM394" t="str">
        <f>IF(NOT(ISBLANK($B394)),VLOOKUP($B394,AssetCategories!$A:$E,2,0),"")</f>
        <v/>
      </c>
      <c r="EN394" t="str">
        <f>IF(NOT(ISBLANK($B394)),VLOOKUP($B394,AssetCategories!$A:$E,3,0),"")</f>
        <v/>
      </c>
      <c r="EP394" s="33" t="str">
        <f t="shared" si="13"/>
        <v/>
      </c>
    </row>
    <row r="395" spans="16:146" x14ac:dyDescent="0.25">
      <c r="P395" s="33" t="str" cm="1">
        <f t="array" ref="P395">IFERROR(SUM(VALUE(_xlfn.TEXTSPLIT(O395, ";"))), "")</f>
        <v/>
      </c>
      <c r="DO395" t="str">
        <f t="shared" si="12"/>
        <v/>
      </c>
      <c r="EG395" s="33" t="str">
        <f>IF(NOT(ISBLANK($B395)),VLOOKUP($B395,AssetCategories!$A:$E,5,0),"")</f>
        <v/>
      </c>
      <c r="EH395" t="str">
        <f>IF(NOT(ISBLANK($B395)),VLOOKUP($B395,AssetCategories!$A:$E,4,0),"")</f>
        <v/>
      </c>
      <c r="EM395" t="str">
        <f>IF(NOT(ISBLANK($B395)),VLOOKUP($B395,AssetCategories!$A:$E,2,0),"")</f>
        <v/>
      </c>
      <c r="EN395" t="str">
        <f>IF(NOT(ISBLANK($B395)),VLOOKUP($B395,AssetCategories!$A:$E,3,0),"")</f>
        <v/>
      </c>
      <c r="EP395" s="33" t="str">
        <f t="shared" si="13"/>
        <v/>
      </c>
    </row>
    <row r="396" spans="16:146" x14ac:dyDescent="0.25">
      <c r="P396" s="33" t="str" cm="1">
        <f t="array" ref="P396">IFERROR(SUM(VALUE(_xlfn.TEXTSPLIT(O396, ";"))), "")</f>
        <v/>
      </c>
      <c r="DO396" t="str">
        <f t="shared" si="12"/>
        <v/>
      </c>
      <c r="EG396" s="33" t="str">
        <f>IF(NOT(ISBLANK($B396)),VLOOKUP($B396,AssetCategories!$A:$E,5,0),"")</f>
        <v/>
      </c>
      <c r="EH396" t="str">
        <f>IF(NOT(ISBLANK($B396)),VLOOKUP($B396,AssetCategories!$A:$E,4,0),"")</f>
        <v/>
      </c>
      <c r="EM396" t="str">
        <f>IF(NOT(ISBLANK($B396)),VLOOKUP($B396,AssetCategories!$A:$E,2,0),"")</f>
        <v/>
      </c>
      <c r="EN396" t="str">
        <f>IF(NOT(ISBLANK($B396)),VLOOKUP($B396,AssetCategories!$A:$E,3,0),"")</f>
        <v/>
      </c>
      <c r="EP396" s="33" t="str">
        <f t="shared" si="13"/>
        <v/>
      </c>
    </row>
    <row r="397" spans="16:146" x14ac:dyDescent="0.25">
      <c r="P397" s="33" t="str" cm="1">
        <f t="array" ref="P397">IFERROR(SUM(VALUE(_xlfn.TEXTSPLIT(O397, ";"))), "")</f>
        <v/>
      </c>
      <c r="DO397" t="str">
        <f t="shared" si="12"/>
        <v/>
      </c>
      <c r="EG397" s="33" t="str">
        <f>IF(NOT(ISBLANK($B397)),VLOOKUP($B397,AssetCategories!$A:$E,5,0),"")</f>
        <v/>
      </c>
      <c r="EH397" t="str">
        <f>IF(NOT(ISBLANK($B397)),VLOOKUP($B397,AssetCategories!$A:$E,4,0),"")</f>
        <v/>
      </c>
      <c r="EM397" t="str">
        <f>IF(NOT(ISBLANK($B397)),VLOOKUP($B397,AssetCategories!$A:$E,2,0),"")</f>
        <v/>
      </c>
      <c r="EN397" t="str">
        <f>IF(NOT(ISBLANK($B397)),VLOOKUP($B397,AssetCategories!$A:$E,3,0),"")</f>
        <v/>
      </c>
      <c r="EP397" s="33" t="str">
        <f t="shared" si="13"/>
        <v/>
      </c>
    </row>
    <row r="398" spans="16:146" x14ac:dyDescent="0.25">
      <c r="P398" s="33" t="str" cm="1">
        <f t="array" ref="P398">IFERROR(SUM(VALUE(_xlfn.TEXTSPLIT(O398, ";"))), "")</f>
        <v/>
      </c>
      <c r="DO398" t="str">
        <f t="shared" si="12"/>
        <v/>
      </c>
      <c r="EG398" s="33" t="str">
        <f>IF(NOT(ISBLANK($B398)),VLOOKUP($B398,AssetCategories!$A:$E,5,0),"")</f>
        <v/>
      </c>
      <c r="EH398" t="str">
        <f>IF(NOT(ISBLANK($B398)),VLOOKUP($B398,AssetCategories!$A:$E,4,0),"")</f>
        <v/>
      </c>
      <c r="EM398" t="str">
        <f>IF(NOT(ISBLANK($B398)),VLOOKUP($B398,AssetCategories!$A:$E,2,0),"")</f>
        <v/>
      </c>
      <c r="EN398" t="str">
        <f>IF(NOT(ISBLANK($B398)),VLOOKUP($B398,AssetCategories!$A:$E,3,0),"")</f>
        <v/>
      </c>
      <c r="EP398" s="33" t="str">
        <f t="shared" si="13"/>
        <v/>
      </c>
    </row>
    <row r="399" spans="16:146" x14ac:dyDescent="0.25">
      <c r="P399" s="33" t="str" cm="1">
        <f t="array" ref="P399">IFERROR(SUM(VALUE(_xlfn.TEXTSPLIT(O399, ";"))), "")</f>
        <v/>
      </c>
      <c r="DO399" t="str">
        <f t="shared" si="12"/>
        <v/>
      </c>
      <c r="EG399" s="33" t="str">
        <f>IF(NOT(ISBLANK($B399)),VLOOKUP($B399,AssetCategories!$A:$E,5,0),"")</f>
        <v/>
      </c>
      <c r="EH399" t="str">
        <f>IF(NOT(ISBLANK($B399)),VLOOKUP($B399,AssetCategories!$A:$E,4,0),"")</f>
        <v/>
      </c>
      <c r="EM399" t="str">
        <f>IF(NOT(ISBLANK($B399)),VLOOKUP($B399,AssetCategories!$A:$E,2,0),"")</f>
        <v/>
      </c>
      <c r="EN399" t="str">
        <f>IF(NOT(ISBLANK($B399)),VLOOKUP($B399,AssetCategories!$A:$E,3,0),"")</f>
        <v/>
      </c>
      <c r="EP399" s="33" t="str">
        <f t="shared" si="13"/>
        <v/>
      </c>
    </row>
    <row r="400" spans="16:146" x14ac:dyDescent="0.25">
      <c r="P400" s="33" t="str" cm="1">
        <f t="array" ref="P400">IFERROR(SUM(VALUE(_xlfn.TEXTSPLIT(O400, ";"))), "")</f>
        <v/>
      </c>
      <c r="DO400" t="str">
        <f t="shared" si="12"/>
        <v/>
      </c>
      <c r="EG400" s="33" t="str">
        <f>IF(NOT(ISBLANK($B400)),VLOOKUP($B400,AssetCategories!$A:$E,5,0),"")</f>
        <v/>
      </c>
      <c r="EH400" t="str">
        <f>IF(NOT(ISBLANK($B400)),VLOOKUP($B400,AssetCategories!$A:$E,4,0),"")</f>
        <v/>
      </c>
      <c r="EM400" t="str">
        <f>IF(NOT(ISBLANK($B400)),VLOOKUP($B400,AssetCategories!$A:$E,2,0),"")</f>
        <v/>
      </c>
      <c r="EN400" t="str">
        <f>IF(NOT(ISBLANK($B400)),VLOOKUP($B400,AssetCategories!$A:$E,3,0),"")</f>
        <v/>
      </c>
      <c r="EP400" s="33" t="str">
        <f t="shared" si="13"/>
        <v/>
      </c>
    </row>
    <row r="401" spans="16:146" x14ac:dyDescent="0.25">
      <c r="P401" s="33" t="str" cm="1">
        <f t="array" ref="P401">IFERROR(SUM(VALUE(_xlfn.TEXTSPLIT(O401, ";"))), "")</f>
        <v/>
      </c>
      <c r="DO401" t="str">
        <f t="shared" si="12"/>
        <v/>
      </c>
      <c r="EG401" s="33" t="str">
        <f>IF(NOT(ISBLANK($B401)),VLOOKUP($B401,AssetCategories!$A:$E,5,0),"")</f>
        <v/>
      </c>
      <c r="EH401" t="str">
        <f>IF(NOT(ISBLANK($B401)),VLOOKUP($B401,AssetCategories!$A:$E,4,0),"")</f>
        <v/>
      </c>
      <c r="EM401" t="str">
        <f>IF(NOT(ISBLANK($B401)),VLOOKUP($B401,AssetCategories!$A:$E,2,0),"")</f>
        <v/>
      </c>
      <c r="EN401" t="str">
        <f>IF(NOT(ISBLANK($B401)),VLOOKUP($B401,AssetCategories!$A:$E,3,0),"")</f>
        <v/>
      </c>
      <c r="EP401" s="33" t="str">
        <f t="shared" si="13"/>
        <v/>
      </c>
    </row>
    <row r="402" spans="16:146" x14ac:dyDescent="0.25">
      <c r="P402" s="33" t="str" cm="1">
        <f t="array" ref="P402">IFERROR(SUM(VALUE(_xlfn.TEXTSPLIT(O402, ";"))), "")</f>
        <v/>
      </c>
      <c r="DO402" t="str">
        <f t="shared" si="12"/>
        <v/>
      </c>
      <c r="EG402" s="33" t="str">
        <f>IF(NOT(ISBLANK($B402)),VLOOKUP($B402,AssetCategories!$A:$E,5,0),"")</f>
        <v/>
      </c>
      <c r="EH402" t="str">
        <f>IF(NOT(ISBLANK($B402)),VLOOKUP($B402,AssetCategories!$A:$E,4,0),"")</f>
        <v/>
      </c>
      <c r="EM402" t="str">
        <f>IF(NOT(ISBLANK($B402)),VLOOKUP($B402,AssetCategories!$A:$E,2,0),"")</f>
        <v/>
      </c>
      <c r="EN402" t="str">
        <f>IF(NOT(ISBLANK($B402)),VLOOKUP($B402,AssetCategories!$A:$E,3,0),"")</f>
        <v/>
      </c>
      <c r="EP402" s="33" t="str">
        <f t="shared" si="13"/>
        <v/>
      </c>
    </row>
    <row r="403" spans="16:146" x14ac:dyDescent="0.25">
      <c r="P403" s="33" t="str" cm="1">
        <f t="array" ref="P403">IFERROR(SUM(VALUE(_xlfn.TEXTSPLIT(O403, ";"))), "")</f>
        <v/>
      </c>
      <c r="DO403" t="str">
        <f t="shared" si="12"/>
        <v/>
      </c>
      <c r="EG403" s="33" t="str">
        <f>IF(NOT(ISBLANK($B403)),VLOOKUP($B403,AssetCategories!$A:$E,5,0),"")</f>
        <v/>
      </c>
      <c r="EH403" t="str">
        <f>IF(NOT(ISBLANK($B403)),VLOOKUP($B403,AssetCategories!$A:$E,4,0),"")</f>
        <v/>
      </c>
      <c r="EM403" t="str">
        <f>IF(NOT(ISBLANK($B403)),VLOOKUP($B403,AssetCategories!$A:$E,2,0),"")</f>
        <v/>
      </c>
      <c r="EN403" t="str">
        <f>IF(NOT(ISBLANK($B403)),VLOOKUP($B403,AssetCategories!$A:$E,3,0),"")</f>
        <v/>
      </c>
      <c r="EP403" s="33" t="str">
        <f t="shared" si="13"/>
        <v/>
      </c>
    </row>
    <row r="404" spans="16:146" x14ac:dyDescent="0.25">
      <c r="P404" s="33" t="str" cm="1">
        <f t="array" ref="P404">IFERROR(SUM(VALUE(_xlfn.TEXTSPLIT(O404, ";"))), "")</f>
        <v/>
      </c>
      <c r="DO404" t="str">
        <f t="shared" si="12"/>
        <v/>
      </c>
      <c r="EG404" s="33" t="str">
        <f>IF(NOT(ISBLANK($B404)),VLOOKUP($B404,AssetCategories!$A:$E,5,0),"")</f>
        <v/>
      </c>
      <c r="EH404" t="str">
        <f>IF(NOT(ISBLANK($B404)),VLOOKUP($B404,AssetCategories!$A:$E,4,0),"")</f>
        <v/>
      </c>
      <c r="EM404" t="str">
        <f>IF(NOT(ISBLANK($B404)),VLOOKUP($B404,AssetCategories!$A:$E,2,0),"")</f>
        <v/>
      </c>
      <c r="EN404" t="str">
        <f>IF(NOT(ISBLANK($B404)),VLOOKUP($B404,AssetCategories!$A:$E,3,0),"")</f>
        <v/>
      </c>
      <c r="EP404" s="33" t="str">
        <f t="shared" si="13"/>
        <v/>
      </c>
    </row>
    <row r="405" spans="16:146" x14ac:dyDescent="0.25">
      <c r="P405" s="33" t="str" cm="1">
        <f t="array" ref="P405">IFERROR(SUM(VALUE(_xlfn.TEXTSPLIT(O405, ";"))), "")</f>
        <v/>
      </c>
      <c r="DO405" t="str">
        <f t="shared" si="12"/>
        <v/>
      </c>
      <c r="EG405" s="33" t="str">
        <f>IF(NOT(ISBLANK($B405)),VLOOKUP($B405,AssetCategories!$A:$E,5,0),"")</f>
        <v/>
      </c>
      <c r="EH405" t="str">
        <f>IF(NOT(ISBLANK($B405)),VLOOKUP($B405,AssetCategories!$A:$E,4,0),"")</f>
        <v/>
      </c>
      <c r="EM405" t="str">
        <f>IF(NOT(ISBLANK($B405)),VLOOKUP($B405,AssetCategories!$A:$E,2,0),"")</f>
        <v/>
      </c>
      <c r="EN405" t="str">
        <f>IF(NOT(ISBLANK($B405)),VLOOKUP($B405,AssetCategories!$A:$E,3,0),"")</f>
        <v/>
      </c>
      <c r="EP405" s="33" t="str">
        <f t="shared" si="13"/>
        <v/>
      </c>
    </row>
    <row r="406" spans="16:146" x14ac:dyDescent="0.25">
      <c r="P406" s="33" t="str" cm="1">
        <f t="array" ref="P406">IFERROR(SUM(VALUE(_xlfn.TEXTSPLIT(O406, ";"))), "")</f>
        <v/>
      </c>
      <c r="DO406" t="str">
        <f t="shared" si="12"/>
        <v/>
      </c>
      <c r="EG406" s="33" t="str">
        <f>IF(NOT(ISBLANK($B406)),VLOOKUP($B406,AssetCategories!$A:$E,5,0),"")</f>
        <v/>
      </c>
      <c r="EH406" t="str">
        <f>IF(NOT(ISBLANK($B406)),VLOOKUP($B406,AssetCategories!$A:$E,4,0),"")</f>
        <v/>
      </c>
      <c r="EM406" t="str">
        <f>IF(NOT(ISBLANK($B406)),VLOOKUP($B406,AssetCategories!$A:$E,2,0),"")</f>
        <v/>
      </c>
      <c r="EN406" t="str">
        <f>IF(NOT(ISBLANK($B406)),VLOOKUP($B406,AssetCategories!$A:$E,3,0),"")</f>
        <v/>
      </c>
      <c r="EP406" s="33" t="str">
        <f t="shared" si="13"/>
        <v/>
      </c>
    </row>
    <row r="407" spans="16:146" x14ac:dyDescent="0.25">
      <c r="P407" s="33" t="str" cm="1">
        <f t="array" ref="P407">IFERROR(SUM(VALUE(_xlfn.TEXTSPLIT(O407, ";"))), "")</f>
        <v/>
      </c>
      <c r="DO407" t="str">
        <f t="shared" si="12"/>
        <v/>
      </c>
      <c r="EG407" s="33" t="str">
        <f>IF(NOT(ISBLANK($B407)),VLOOKUP($B407,AssetCategories!$A:$E,5,0),"")</f>
        <v/>
      </c>
      <c r="EH407" t="str">
        <f>IF(NOT(ISBLANK($B407)),VLOOKUP($B407,AssetCategories!$A:$E,4,0),"")</f>
        <v/>
      </c>
      <c r="EM407" t="str">
        <f>IF(NOT(ISBLANK($B407)),VLOOKUP($B407,AssetCategories!$A:$E,2,0),"")</f>
        <v/>
      </c>
      <c r="EN407" t="str">
        <f>IF(NOT(ISBLANK($B407)),VLOOKUP($B407,AssetCategories!$A:$E,3,0),"")</f>
        <v/>
      </c>
      <c r="EP407" s="33" t="str">
        <f t="shared" si="13"/>
        <v/>
      </c>
    </row>
    <row r="408" spans="16:146" x14ac:dyDescent="0.25">
      <c r="P408" s="33" t="str" cm="1">
        <f t="array" ref="P408">IFERROR(SUM(VALUE(_xlfn.TEXTSPLIT(O408, ";"))), "")</f>
        <v/>
      </c>
      <c r="DO408" t="str">
        <f t="shared" si="12"/>
        <v/>
      </c>
      <c r="EG408" s="33" t="str">
        <f>IF(NOT(ISBLANK($B408)),VLOOKUP($B408,AssetCategories!$A:$E,5,0),"")</f>
        <v/>
      </c>
      <c r="EH408" t="str">
        <f>IF(NOT(ISBLANK($B408)),VLOOKUP($B408,AssetCategories!$A:$E,4,0),"")</f>
        <v/>
      </c>
      <c r="EM408" t="str">
        <f>IF(NOT(ISBLANK($B408)),VLOOKUP($B408,AssetCategories!$A:$E,2,0),"")</f>
        <v/>
      </c>
      <c r="EN408" t="str">
        <f>IF(NOT(ISBLANK($B408)),VLOOKUP($B408,AssetCategories!$A:$E,3,0),"")</f>
        <v/>
      </c>
      <c r="EP408" s="33" t="str">
        <f t="shared" si="13"/>
        <v/>
      </c>
    </row>
    <row r="409" spans="16:146" x14ac:dyDescent="0.25">
      <c r="P409" s="33" t="str" cm="1">
        <f t="array" ref="P409">IFERROR(SUM(VALUE(_xlfn.TEXTSPLIT(O409, ";"))), "")</f>
        <v/>
      </c>
      <c r="DO409" t="str">
        <f t="shared" si="12"/>
        <v/>
      </c>
      <c r="EG409" s="33" t="str">
        <f>IF(NOT(ISBLANK($B409)),VLOOKUP($B409,AssetCategories!$A:$E,5,0),"")</f>
        <v/>
      </c>
      <c r="EH409" t="str">
        <f>IF(NOT(ISBLANK($B409)),VLOOKUP($B409,AssetCategories!$A:$E,4,0),"")</f>
        <v/>
      </c>
      <c r="EM409" t="str">
        <f>IF(NOT(ISBLANK($B409)),VLOOKUP($B409,AssetCategories!$A:$E,2,0),"")</f>
        <v/>
      </c>
      <c r="EN409" t="str">
        <f>IF(NOT(ISBLANK($B409)),VLOOKUP($B409,AssetCategories!$A:$E,3,0),"")</f>
        <v/>
      </c>
      <c r="EP409" s="33" t="str">
        <f t="shared" si="13"/>
        <v/>
      </c>
    </row>
    <row r="410" spans="16:146" x14ac:dyDescent="0.25">
      <c r="P410" s="33" t="str" cm="1">
        <f t="array" ref="P410">IFERROR(SUM(VALUE(_xlfn.TEXTSPLIT(O410, ";"))), "")</f>
        <v/>
      </c>
      <c r="DO410" t="str">
        <f t="shared" si="12"/>
        <v/>
      </c>
      <c r="EG410" s="33" t="str">
        <f>IF(NOT(ISBLANK($B410)),VLOOKUP($B410,AssetCategories!$A:$E,5,0),"")</f>
        <v/>
      </c>
      <c r="EH410" t="str">
        <f>IF(NOT(ISBLANK($B410)),VLOOKUP($B410,AssetCategories!$A:$E,4,0),"")</f>
        <v/>
      </c>
      <c r="EM410" t="str">
        <f>IF(NOT(ISBLANK($B410)),VLOOKUP($B410,AssetCategories!$A:$E,2,0),"")</f>
        <v/>
      </c>
      <c r="EN410" t="str">
        <f>IF(NOT(ISBLANK($B410)),VLOOKUP($B410,AssetCategories!$A:$E,3,0),"")</f>
        <v/>
      </c>
      <c r="EP410" s="33" t="str">
        <f t="shared" si="13"/>
        <v/>
      </c>
    </row>
    <row r="411" spans="16:146" x14ac:dyDescent="0.25">
      <c r="P411" s="33" t="str" cm="1">
        <f t="array" ref="P411">IFERROR(SUM(VALUE(_xlfn.TEXTSPLIT(O411, ";"))), "")</f>
        <v/>
      </c>
      <c r="DO411" t="str">
        <f t="shared" si="12"/>
        <v/>
      </c>
      <c r="EG411" s="33" t="str">
        <f>IF(NOT(ISBLANK($B411)),VLOOKUP($B411,AssetCategories!$A:$E,5,0),"")</f>
        <v/>
      </c>
      <c r="EH411" t="str">
        <f>IF(NOT(ISBLANK($B411)),VLOOKUP($B411,AssetCategories!$A:$E,4,0),"")</f>
        <v/>
      </c>
      <c r="EM411" t="str">
        <f>IF(NOT(ISBLANK($B411)),VLOOKUP($B411,AssetCategories!$A:$E,2,0),"")</f>
        <v/>
      </c>
      <c r="EN411" t="str">
        <f>IF(NOT(ISBLANK($B411)),VLOOKUP($B411,AssetCategories!$A:$E,3,0),"")</f>
        <v/>
      </c>
      <c r="EP411" s="33" t="str">
        <f t="shared" si="13"/>
        <v/>
      </c>
    </row>
    <row r="412" spans="16:146" x14ac:dyDescent="0.25">
      <c r="P412" s="33" t="str" cm="1">
        <f t="array" ref="P412">IFERROR(SUM(VALUE(_xlfn.TEXTSPLIT(O412, ";"))), "")</f>
        <v/>
      </c>
      <c r="DO412" t="str">
        <f t="shared" si="12"/>
        <v/>
      </c>
      <c r="EG412" s="33" t="str">
        <f>IF(NOT(ISBLANK($B412)),VLOOKUP($B412,AssetCategories!$A:$E,5,0),"")</f>
        <v/>
      </c>
      <c r="EH412" t="str">
        <f>IF(NOT(ISBLANK($B412)),VLOOKUP($B412,AssetCategories!$A:$E,4,0),"")</f>
        <v/>
      </c>
      <c r="EM412" t="str">
        <f>IF(NOT(ISBLANK($B412)),VLOOKUP($B412,AssetCategories!$A:$E,2,0),"")</f>
        <v/>
      </c>
      <c r="EN412" t="str">
        <f>IF(NOT(ISBLANK($B412)),VLOOKUP($B412,AssetCategories!$A:$E,3,0),"")</f>
        <v/>
      </c>
      <c r="EP412" s="33" t="str">
        <f t="shared" si="13"/>
        <v/>
      </c>
    </row>
    <row r="413" spans="16:146" x14ac:dyDescent="0.25">
      <c r="P413" s="33" t="str" cm="1">
        <f t="array" ref="P413">IFERROR(SUM(VALUE(_xlfn.TEXTSPLIT(O413, ";"))), "")</f>
        <v/>
      </c>
      <c r="DO413" t="str">
        <f t="shared" si="12"/>
        <v/>
      </c>
      <c r="EG413" s="33" t="str">
        <f>IF(NOT(ISBLANK($B413)),VLOOKUP($B413,AssetCategories!$A:$E,5,0),"")</f>
        <v/>
      </c>
      <c r="EH413" t="str">
        <f>IF(NOT(ISBLANK($B413)),VLOOKUP($B413,AssetCategories!$A:$E,4,0),"")</f>
        <v/>
      </c>
      <c r="EM413" t="str">
        <f>IF(NOT(ISBLANK($B413)),VLOOKUP($B413,AssetCategories!$A:$E,2,0),"")</f>
        <v/>
      </c>
      <c r="EN413" t="str">
        <f>IF(NOT(ISBLANK($B413)),VLOOKUP($B413,AssetCategories!$A:$E,3,0),"")</f>
        <v/>
      </c>
      <c r="EP413" s="33" t="str">
        <f t="shared" si="13"/>
        <v/>
      </c>
    </row>
    <row r="414" spans="16:146" x14ac:dyDescent="0.25">
      <c r="P414" s="33" t="str" cm="1">
        <f t="array" ref="P414">IFERROR(SUM(VALUE(_xlfn.TEXTSPLIT(O414, ";"))), "")</f>
        <v/>
      </c>
      <c r="DO414" t="str">
        <f t="shared" si="12"/>
        <v/>
      </c>
      <c r="EG414" s="33" t="str">
        <f>IF(NOT(ISBLANK($B414)),VLOOKUP($B414,AssetCategories!$A:$E,5,0),"")</f>
        <v/>
      </c>
      <c r="EH414" t="str">
        <f>IF(NOT(ISBLANK($B414)),VLOOKUP($B414,AssetCategories!$A:$E,4,0),"")</f>
        <v/>
      </c>
      <c r="EM414" t="str">
        <f>IF(NOT(ISBLANK($B414)),VLOOKUP($B414,AssetCategories!$A:$E,2,0),"")</f>
        <v/>
      </c>
      <c r="EN414" t="str">
        <f>IF(NOT(ISBLANK($B414)),VLOOKUP($B414,AssetCategories!$A:$E,3,0),"")</f>
        <v/>
      </c>
      <c r="EP414" s="33" t="str">
        <f t="shared" si="13"/>
        <v/>
      </c>
    </row>
    <row r="415" spans="16:146" x14ac:dyDescent="0.25">
      <c r="P415" s="33" t="str" cm="1">
        <f t="array" ref="P415">IFERROR(SUM(VALUE(_xlfn.TEXTSPLIT(O415, ";"))), "")</f>
        <v/>
      </c>
      <c r="DO415" t="str">
        <f t="shared" si="12"/>
        <v/>
      </c>
      <c r="EG415" s="33" t="str">
        <f>IF(NOT(ISBLANK($B415)),VLOOKUP($B415,AssetCategories!$A:$E,5,0),"")</f>
        <v/>
      </c>
      <c r="EH415" t="str">
        <f>IF(NOT(ISBLANK($B415)),VLOOKUP($B415,AssetCategories!$A:$E,4,0),"")</f>
        <v/>
      </c>
      <c r="EM415" t="str">
        <f>IF(NOT(ISBLANK($B415)),VLOOKUP($B415,AssetCategories!$A:$E,2,0),"")</f>
        <v/>
      </c>
      <c r="EN415" t="str">
        <f>IF(NOT(ISBLANK($B415)),VLOOKUP($B415,AssetCategories!$A:$E,3,0),"")</f>
        <v/>
      </c>
      <c r="EP415" s="33" t="str">
        <f t="shared" si="13"/>
        <v/>
      </c>
    </row>
    <row r="416" spans="16:146" x14ac:dyDescent="0.25">
      <c r="P416" s="33" t="str" cm="1">
        <f t="array" ref="P416">IFERROR(SUM(VALUE(_xlfn.TEXTSPLIT(O416, ";"))), "")</f>
        <v/>
      </c>
      <c r="DO416" t="str">
        <f t="shared" si="12"/>
        <v/>
      </c>
      <c r="EG416" s="33" t="str">
        <f>IF(NOT(ISBLANK($B416)),VLOOKUP($B416,AssetCategories!$A:$E,5,0),"")</f>
        <v/>
      </c>
      <c r="EH416" t="str">
        <f>IF(NOT(ISBLANK($B416)),VLOOKUP($B416,AssetCategories!$A:$E,4,0),"")</f>
        <v/>
      </c>
      <c r="EM416" t="str">
        <f>IF(NOT(ISBLANK($B416)),VLOOKUP($B416,AssetCategories!$A:$E,2,0),"")</f>
        <v/>
      </c>
      <c r="EN416" t="str">
        <f>IF(NOT(ISBLANK($B416)),VLOOKUP($B416,AssetCategories!$A:$E,3,0),"")</f>
        <v/>
      </c>
      <c r="EP416" s="33" t="str">
        <f t="shared" si="13"/>
        <v/>
      </c>
    </row>
    <row r="417" spans="16:146" x14ac:dyDescent="0.25">
      <c r="P417" s="33" t="str" cm="1">
        <f t="array" ref="P417">IFERROR(SUM(VALUE(_xlfn.TEXTSPLIT(O417, ";"))), "")</f>
        <v/>
      </c>
      <c r="DO417" t="str">
        <f t="shared" si="12"/>
        <v/>
      </c>
      <c r="EG417" s="33" t="str">
        <f>IF(NOT(ISBLANK($B417)),VLOOKUP($B417,AssetCategories!$A:$E,5,0),"")</f>
        <v/>
      </c>
      <c r="EH417" t="str">
        <f>IF(NOT(ISBLANK($B417)),VLOOKUP($B417,AssetCategories!$A:$E,4,0),"")</f>
        <v/>
      </c>
      <c r="EM417" t="str">
        <f>IF(NOT(ISBLANK($B417)),VLOOKUP($B417,AssetCategories!$A:$E,2,0),"")</f>
        <v/>
      </c>
      <c r="EN417" t="str">
        <f>IF(NOT(ISBLANK($B417)),VLOOKUP($B417,AssetCategories!$A:$E,3,0),"")</f>
        <v/>
      </c>
      <c r="EP417" s="33" t="str">
        <f t="shared" si="13"/>
        <v/>
      </c>
    </row>
    <row r="418" spans="16:146" x14ac:dyDescent="0.25">
      <c r="P418" s="33" t="str" cm="1">
        <f t="array" ref="P418">IFERROR(SUM(VALUE(_xlfn.TEXTSPLIT(O418, ";"))), "")</f>
        <v/>
      </c>
      <c r="DO418" t="str">
        <f t="shared" si="12"/>
        <v/>
      </c>
      <c r="EG418" s="33" t="str">
        <f>IF(NOT(ISBLANK($B418)),VLOOKUP($B418,AssetCategories!$A:$E,5,0),"")</f>
        <v/>
      </c>
      <c r="EH418" t="str">
        <f>IF(NOT(ISBLANK($B418)),VLOOKUP($B418,AssetCategories!$A:$E,4,0),"")</f>
        <v/>
      </c>
      <c r="EM418" t="str">
        <f>IF(NOT(ISBLANK($B418)),VLOOKUP($B418,AssetCategories!$A:$E,2,0),"")</f>
        <v/>
      </c>
      <c r="EN418" t="str">
        <f>IF(NOT(ISBLANK($B418)),VLOOKUP($B418,AssetCategories!$A:$E,3,0),"")</f>
        <v/>
      </c>
      <c r="EP418" s="33" t="str">
        <f t="shared" si="13"/>
        <v/>
      </c>
    </row>
    <row r="419" spans="16:146" x14ac:dyDescent="0.25">
      <c r="P419" s="33" t="str" cm="1">
        <f t="array" ref="P419">IFERROR(SUM(VALUE(_xlfn.TEXTSPLIT(O419, ";"))), "")</f>
        <v/>
      </c>
      <c r="DO419" t="str">
        <f t="shared" si="12"/>
        <v/>
      </c>
      <c r="EG419" s="33" t="str">
        <f>IF(NOT(ISBLANK($B419)),VLOOKUP($B419,AssetCategories!$A:$E,5,0),"")</f>
        <v/>
      </c>
      <c r="EH419" t="str">
        <f>IF(NOT(ISBLANK($B419)),VLOOKUP($B419,AssetCategories!$A:$E,4,0),"")</f>
        <v/>
      </c>
      <c r="EM419" t="str">
        <f>IF(NOT(ISBLANK($B419)),VLOOKUP($B419,AssetCategories!$A:$E,2,0),"")</f>
        <v/>
      </c>
      <c r="EN419" t="str">
        <f>IF(NOT(ISBLANK($B419)),VLOOKUP($B419,AssetCategories!$A:$E,3,0),"")</f>
        <v/>
      </c>
      <c r="EP419" s="33" t="str">
        <f t="shared" si="13"/>
        <v/>
      </c>
    </row>
    <row r="420" spans="16:146" x14ac:dyDescent="0.25">
      <c r="P420" s="33" t="str" cm="1">
        <f t="array" ref="P420">IFERROR(SUM(VALUE(_xlfn.TEXTSPLIT(O420, ";"))), "")</f>
        <v/>
      </c>
      <c r="DO420" t="str">
        <f t="shared" si="12"/>
        <v/>
      </c>
      <c r="EG420" s="33" t="str">
        <f>IF(NOT(ISBLANK($B420)),VLOOKUP($B420,AssetCategories!$A:$E,5,0),"")</f>
        <v/>
      </c>
      <c r="EH420" t="str">
        <f>IF(NOT(ISBLANK($B420)),VLOOKUP($B420,AssetCategories!$A:$E,4,0),"")</f>
        <v/>
      </c>
      <c r="EM420" t="str">
        <f>IF(NOT(ISBLANK($B420)),VLOOKUP($B420,AssetCategories!$A:$E,2,0),"")</f>
        <v/>
      </c>
      <c r="EN420" t="str">
        <f>IF(NOT(ISBLANK($B420)),VLOOKUP($B420,AssetCategories!$A:$E,3,0),"")</f>
        <v/>
      </c>
      <c r="EP420" s="33" t="str">
        <f t="shared" si="13"/>
        <v/>
      </c>
    </row>
    <row r="421" spans="16:146" x14ac:dyDescent="0.25">
      <c r="P421" s="33" t="str" cm="1">
        <f t="array" ref="P421">IFERROR(SUM(VALUE(_xlfn.TEXTSPLIT(O421, ";"))), "")</f>
        <v/>
      </c>
      <c r="DO421" t="str">
        <f t="shared" si="12"/>
        <v/>
      </c>
      <c r="EG421" s="33" t="str">
        <f>IF(NOT(ISBLANK($B421)),VLOOKUP($B421,AssetCategories!$A:$E,5,0),"")</f>
        <v/>
      </c>
      <c r="EH421" t="str">
        <f>IF(NOT(ISBLANK($B421)),VLOOKUP($B421,AssetCategories!$A:$E,4,0),"")</f>
        <v/>
      </c>
      <c r="EM421" t="str">
        <f>IF(NOT(ISBLANK($B421)),VLOOKUP($B421,AssetCategories!$A:$E,2,0),"")</f>
        <v/>
      </c>
      <c r="EN421" t="str">
        <f>IF(NOT(ISBLANK($B421)),VLOOKUP($B421,AssetCategories!$A:$E,3,0),"")</f>
        <v/>
      </c>
      <c r="EP421" s="33" t="str">
        <f t="shared" si="13"/>
        <v/>
      </c>
    </row>
    <row r="422" spans="16:146" x14ac:dyDescent="0.25">
      <c r="P422" s="33" t="str" cm="1">
        <f t="array" ref="P422">IFERROR(SUM(VALUE(_xlfn.TEXTSPLIT(O422, ";"))), "")</f>
        <v/>
      </c>
      <c r="DO422" t="str">
        <f t="shared" si="12"/>
        <v/>
      </c>
      <c r="EG422" s="33" t="str">
        <f>IF(NOT(ISBLANK($B422)),VLOOKUP($B422,AssetCategories!$A:$E,5,0),"")</f>
        <v/>
      </c>
      <c r="EH422" t="str">
        <f>IF(NOT(ISBLANK($B422)),VLOOKUP($B422,AssetCategories!$A:$E,4,0),"")</f>
        <v/>
      </c>
      <c r="EM422" t="str">
        <f>IF(NOT(ISBLANK($B422)),VLOOKUP($B422,AssetCategories!$A:$E,2,0),"")</f>
        <v/>
      </c>
      <c r="EN422" t="str">
        <f>IF(NOT(ISBLANK($B422)),VLOOKUP($B422,AssetCategories!$A:$E,3,0),"")</f>
        <v/>
      </c>
      <c r="EP422" s="33" t="str">
        <f t="shared" si="13"/>
        <v/>
      </c>
    </row>
    <row r="423" spans="16:146" x14ac:dyDescent="0.25">
      <c r="P423" s="33" t="str" cm="1">
        <f t="array" ref="P423">IFERROR(SUM(VALUE(_xlfn.TEXTSPLIT(O423, ";"))), "")</f>
        <v/>
      </c>
      <c r="DO423" t="str">
        <f t="shared" si="12"/>
        <v/>
      </c>
      <c r="EG423" s="33" t="str">
        <f>IF(NOT(ISBLANK($B423)),VLOOKUP($B423,AssetCategories!$A:$E,5,0),"")</f>
        <v/>
      </c>
      <c r="EH423" t="str">
        <f>IF(NOT(ISBLANK($B423)),VLOOKUP($B423,AssetCategories!$A:$E,4,0),"")</f>
        <v/>
      </c>
      <c r="EM423" t="str">
        <f>IF(NOT(ISBLANK($B423)),VLOOKUP($B423,AssetCategories!$A:$E,2,0),"")</f>
        <v/>
      </c>
      <c r="EN423" t="str">
        <f>IF(NOT(ISBLANK($B423)),VLOOKUP($B423,AssetCategories!$A:$E,3,0),"")</f>
        <v/>
      </c>
      <c r="EP423" s="33" t="str">
        <f t="shared" si="13"/>
        <v/>
      </c>
    </row>
    <row r="424" spans="16:146" x14ac:dyDescent="0.25">
      <c r="P424" s="33" t="str" cm="1">
        <f t="array" ref="P424">IFERROR(SUM(VALUE(_xlfn.TEXTSPLIT(O424, ";"))), "")</f>
        <v/>
      </c>
      <c r="DO424" t="str">
        <f t="shared" si="12"/>
        <v/>
      </c>
      <c r="EG424" s="33" t="str">
        <f>IF(NOT(ISBLANK($B424)),VLOOKUP($B424,AssetCategories!$A:$E,5,0),"")</f>
        <v/>
      </c>
      <c r="EH424" t="str">
        <f>IF(NOT(ISBLANK($B424)),VLOOKUP($B424,AssetCategories!$A:$E,4,0),"")</f>
        <v/>
      </c>
      <c r="EM424" t="str">
        <f>IF(NOT(ISBLANK($B424)),VLOOKUP($B424,AssetCategories!$A:$E,2,0),"")</f>
        <v/>
      </c>
      <c r="EN424" t="str">
        <f>IF(NOT(ISBLANK($B424)),VLOOKUP($B424,AssetCategories!$A:$E,3,0),"")</f>
        <v/>
      </c>
      <c r="EP424" s="33" t="str">
        <f t="shared" si="13"/>
        <v/>
      </c>
    </row>
    <row r="425" spans="16:146" x14ac:dyDescent="0.25">
      <c r="P425" s="33" t="str" cm="1">
        <f t="array" ref="P425">IFERROR(SUM(VALUE(_xlfn.TEXTSPLIT(O425, ";"))), "")</f>
        <v/>
      </c>
      <c r="DO425" t="str">
        <f t="shared" si="12"/>
        <v/>
      </c>
      <c r="EG425" s="33" t="str">
        <f>IF(NOT(ISBLANK($B425)),VLOOKUP($B425,AssetCategories!$A:$E,5,0),"")</f>
        <v/>
      </c>
      <c r="EH425" t="str">
        <f>IF(NOT(ISBLANK($B425)),VLOOKUP($B425,AssetCategories!$A:$E,4,0),"")</f>
        <v/>
      </c>
      <c r="EM425" t="str">
        <f>IF(NOT(ISBLANK($B425)),VLOOKUP($B425,AssetCategories!$A:$E,2,0),"")</f>
        <v/>
      </c>
      <c r="EN425" t="str">
        <f>IF(NOT(ISBLANK($B425)),VLOOKUP($B425,AssetCategories!$A:$E,3,0),"")</f>
        <v/>
      </c>
      <c r="EP425" s="33" t="str">
        <f t="shared" si="13"/>
        <v/>
      </c>
    </row>
    <row r="426" spans="16:146" x14ac:dyDescent="0.25">
      <c r="P426" s="33" t="str" cm="1">
        <f t="array" ref="P426">IFERROR(SUM(VALUE(_xlfn.TEXTSPLIT(O426, ";"))), "")</f>
        <v/>
      </c>
      <c r="DO426" t="str">
        <f t="shared" si="12"/>
        <v/>
      </c>
      <c r="EG426" s="33" t="str">
        <f>IF(NOT(ISBLANK($B426)),VLOOKUP($B426,AssetCategories!$A:$E,5,0),"")</f>
        <v/>
      </c>
      <c r="EH426" t="str">
        <f>IF(NOT(ISBLANK($B426)),VLOOKUP($B426,AssetCategories!$A:$E,4,0),"")</f>
        <v/>
      </c>
      <c r="EM426" t="str">
        <f>IF(NOT(ISBLANK($B426)),VLOOKUP($B426,AssetCategories!$A:$E,2,0),"")</f>
        <v/>
      </c>
      <c r="EN426" t="str">
        <f>IF(NOT(ISBLANK($B426)),VLOOKUP($B426,AssetCategories!$A:$E,3,0),"")</f>
        <v/>
      </c>
      <c r="EP426" s="33" t="str">
        <f t="shared" si="13"/>
        <v/>
      </c>
    </row>
    <row r="427" spans="16:146" x14ac:dyDescent="0.25">
      <c r="P427" s="33" t="str" cm="1">
        <f t="array" ref="P427">IFERROR(SUM(VALUE(_xlfn.TEXTSPLIT(O427, ";"))), "")</f>
        <v/>
      </c>
      <c r="DO427" t="str">
        <f t="shared" si="12"/>
        <v/>
      </c>
      <c r="EG427" s="33" t="str">
        <f>IF(NOT(ISBLANK($B427)),VLOOKUP($B427,AssetCategories!$A:$E,5,0),"")</f>
        <v/>
      </c>
      <c r="EH427" t="str">
        <f>IF(NOT(ISBLANK($B427)),VLOOKUP($B427,AssetCategories!$A:$E,4,0),"")</f>
        <v/>
      </c>
      <c r="EM427" t="str">
        <f>IF(NOT(ISBLANK($B427)),VLOOKUP($B427,AssetCategories!$A:$E,2,0),"")</f>
        <v/>
      </c>
      <c r="EN427" t="str">
        <f>IF(NOT(ISBLANK($B427)),VLOOKUP($B427,AssetCategories!$A:$E,3,0),"")</f>
        <v/>
      </c>
      <c r="EP427" s="33" t="str">
        <f t="shared" si="13"/>
        <v/>
      </c>
    </row>
    <row r="428" spans="16:146" x14ac:dyDescent="0.25">
      <c r="P428" s="33" t="str" cm="1">
        <f t="array" ref="P428">IFERROR(SUM(VALUE(_xlfn.TEXTSPLIT(O428, ";"))), "")</f>
        <v/>
      </c>
      <c r="DO428" t="str">
        <f t="shared" si="12"/>
        <v/>
      </c>
      <c r="EG428" s="33" t="str">
        <f>IF(NOT(ISBLANK($B428)),VLOOKUP($B428,AssetCategories!$A:$E,5,0),"")</f>
        <v/>
      </c>
      <c r="EH428" t="str">
        <f>IF(NOT(ISBLANK($B428)),VLOOKUP($B428,AssetCategories!$A:$E,4,0),"")</f>
        <v/>
      </c>
      <c r="EM428" t="str">
        <f>IF(NOT(ISBLANK($B428)),VLOOKUP($B428,AssetCategories!$A:$E,2,0),"")</f>
        <v/>
      </c>
      <c r="EN428" t="str">
        <f>IF(NOT(ISBLANK($B428)),VLOOKUP($B428,AssetCategories!$A:$E,3,0),"")</f>
        <v/>
      </c>
      <c r="EP428" s="33" t="str">
        <f t="shared" si="13"/>
        <v/>
      </c>
    </row>
    <row r="429" spans="16:146" x14ac:dyDescent="0.25">
      <c r="P429" s="33" t="str" cm="1">
        <f t="array" ref="P429">IFERROR(SUM(VALUE(_xlfn.TEXTSPLIT(O429, ";"))), "")</f>
        <v/>
      </c>
      <c r="DO429" t="str">
        <f t="shared" si="12"/>
        <v/>
      </c>
      <c r="EG429" s="33" t="str">
        <f>IF(NOT(ISBLANK($B429)),VLOOKUP($B429,AssetCategories!$A:$E,5,0),"")</f>
        <v/>
      </c>
      <c r="EH429" t="str">
        <f>IF(NOT(ISBLANK($B429)),VLOOKUP($B429,AssetCategories!$A:$E,4,0),"")</f>
        <v/>
      </c>
      <c r="EM429" t="str">
        <f>IF(NOT(ISBLANK($B429)),VLOOKUP($B429,AssetCategories!$A:$E,2,0),"")</f>
        <v/>
      </c>
      <c r="EN429" t="str">
        <f>IF(NOT(ISBLANK($B429)),VLOOKUP($B429,AssetCategories!$A:$E,3,0),"")</f>
        <v/>
      </c>
      <c r="EP429" s="33" t="str">
        <f t="shared" si="13"/>
        <v/>
      </c>
    </row>
    <row r="430" spans="16:146" x14ac:dyDescent="0.25">
      <c r="P430" s="33" t="str" cm="1">
        <f t="array" ref="P430">IFERROR(SUM(VALUE(_xlfn.TEXTSPLIT(O430, ";"))), "")</f>
        <v/>
      </c>
      <c r="DO430" t="str">
        <f t="shared" si="12"/>
        <v/>
      </c>
      <c r="EG430" s="33" t="str">
        <f>IF(NOT(ISBLANK($B430)),VLOOKUP($B430,AssetCategories!$A:$E,5,0),"")</f>
        <v/>
      </c>
      <c r="EH430" t="str">
        <f>IF(NOT(ISBLANK($B430)),VLOOKUP($B430,AssetCategories!$A:$E,4,0),"")</f>
        <v/>
      </c>
      <c r="EM430" t="str">
        <f>IF(NOT(ISBLANK($B430)),VLOOKUP($B430,AssetCategories!$A:$E,2,0),"")</f>
        <v/>
      </c>
      <c r="EN430" t="str">
        <f>IF(NOT(ISBLANK($B430)),VLOOKUP($B430,AssetCategories!$A:$E,3,0),"")</f>
        <v/>
      </c>
      <c r="EP430" s="33" t="str">
        <f t="shared" si="13"/>
        <v/>
      </c>
    </row>
    <row r="431" spans="16:146" x14ac:dyDescent="0.25">
      <c r="P431" s="33" t="str" cm="1">
        <f t="array" ref="P431">IFERROR(SUM(VALUE(_xlfn.TEXTSPLIT(O431, ";"))), "")</f>
        <v/>
      </c>
      <c r="DO431" t="str">
        <f t="shared" si="12"/>
        <v/>
      </c>
      <c r="EG431" s="33" t="str">
        <f>IF(NOT(ISBLANK($B431)),VLOOKUP($B431,AssetCategories!$A:$E,5,0),"")</f>
        <v/>
      </c>
      <c r="EH431" t="str">
        <f>IF(NOT(ISBLANK($B431)),VLOOKUP($B431,AssetCategories!$A:$E,4,0),"")</f>
        <v/>
      </c>
      <c r="EM431" t="str">
        <f>IF(NOT(ISBLANK($B431)),VLOOKUP($B431,AssetCategories!$A:$E,2,0),"")</f>
        <v/>
      </c>
      <c r="EN431" t="str">
        <f>IF(NOT(ISBLANK($B431)),VLOOKUP($B431,AssetCategories!$A:$E,3,0),"")</f>
        <v/>
      </c>
      <c r="EP431" s="33" t="str">
        <f t="shared" si="13"/>
        <v/>
      </c>
    </row>
    <row r="432" spans="16:146" x14ac:dyDescent="0.25">
      <c r="P432" s="33" t="str" cm="1">
        <f t="array" ref="P432">IFERROR(SUM(VALUE(_xlfn.TEXTSPLIT(O432, ";"))), "")</f>
        <v/>
      </c>
      <c r="DO432" t="str">
        <f t="shared" si="12"/>
        <v/>
      </c>
      <c r="EG432" s="33" t="str">
        <f>IF(NOT(ISBLANK($B432)),VLOOKUP($B432,AssetCategories!$A:$E,5,0),"")</f>
        <v/>
      </c>
      <c r="EH432" t="str">
        <f>IF(NOT(ISBLANK($B432)),VLOOKUP($B432,AssetCategories!$A:$E,4,0),"")</f>
        <v/>
      </c>
      <c r="EM432" t="str">
        <f>IF(NOT(ISBLANK($B432)),VLOOKUP($B432,AssetCategories!$A:$E,2,0),"")</f>
        <v/>
      </c>
      <c r="EN432" t="str">
        <f>IF(NOT(ISBLANK($B432)),VLOOKUP($B432,AssetCategories!$A:$E,3,0),"")</f>
        <v/>
      </c>
      <c r="EP432" s="33" t="str">
        <f t="shared" si="13"/>
        <v/>
      </c>
    </row>
    <row r="433" spans="16:146" x14ac:dyDescent="0.25">
      <c r="P433" s="33" t="str" cm="1">
        <f t="array" ref="P433">IFERROR(SUM(VALUE(_xlfn.TEXTSPLIT(O433, ";"))), "")</f>
        <v/>
      </c>
      <c r="DO433" t="str">
        <f t="shared" si="12"/>
        <v/>
      </c>
      <c r="EG433" s="33" t="str">
        <f>IF(NOT(ISBLANK($B433)),VLOOKUP($B433,AssetCategories!$A:$E,5,0),"")</f>
        <v/>
      </c>
      <c r="EH433" t="str">
        <f>IF(NOT(ISBLANK($B433)),VLOOKUP($B433,AssetCategories!$A:$E,4,0),"")</f>
        <v/>
      </c>
      <c r="EM433" t="str">
        <f>IF(NOT(ISBLANK($B433)),VLOOKUP($B433,AssetCategories!$A:$E,2,0),"")</f>
        <v/>
      </c>
      <c r="EN433" t="str">
        <f>IF(NOT(ISBLANK($B433)),VLOOKUP($B433,AssetCategories!$A:$E,3,0),"")</f>
        <v/>
      </c>
      <c r="EP433" s="33" t="str">
        <f t="shared" si="13"/>
        <v/>
      </c>
    </row>
    <row r="434" spans="16:146" x14ac:dyDescent="0.25">
      <c r="P434" s="33" t="str" cm="1">
        <f t="array" ref="P434">IFERROR(SUM(VALUE(_xlfn.TEXTSPLIT(O434, ";"))), "")</f>
        <v/>
      </c>
      <c r="DO434" t="str">
        <f t="shared" si="12"/>
        <v/>
      </c>
      <c r="EG434" s="33" t="str">
        <f>IF(NOT(ISBLANK($B434)),VLOOKUP($B434,AssetCategories!$A:$E,5,0),"")</f>
        <v/>
      </c>
      <c r="EH434" t="str">
        <f>IF(NOT(ISBLANK($B434)),VLOOKUP($B434,AssetCategories!$A:$E,4,0),"")</f>
        <v/>
      </c>
      <c r="EM434" t="str">
        <f>IF(NOT(ISBLANK($B434)),VLOOKUP($B434,AssetCategories!$A:$E,2,0),"")</f>
        <v/>
      </c>
      <c r="EN434" t="str">
        <f>IF(NOT(ISBLANK($B434)),VLOOKUP($B434,AssetCategories!$A:$E,3,0),"")</f>
        <v/>
      </c>
      <c r="EP434" s="33" t="str">
        <f t="shared" si="13"/>
        <v/>
      </c>
    </row>
    <row r="435" spans="16:146" x14ac:dyDescent="0.25">
      <c r="P435" s="33" t="str" cm="1">
        <f t="array" ref="P435">IFERROR(SUM(VALUE(_xlfn.TEXTSPLIT(O435, ";"))), "")</f>
        <v/>
      </c>
      <c r="DO435" t="str">
        <f t="shared" si="12"/>
        <v/>
      </c>
      <c r="EG435" s="33" t="str">
        <f>IF(NOT(ISBLANK($B435)),VLOOKUP($B435,AssetCategories!$A:$E,5,0),"")</f>
        <v/>
      </c>
      <c r="EH435" t="str">
        <f>IF(NOT(ISBLANK($B435)),VLOOKUP($B435,AssetCategories!$A:$E,4,0),"")</f>
        <v/>
      </c>
      <c r="EM435" t="str">
        <f>IF(NOT(ISBLANK($B435)),VLOOKUP($B435,AssetCategories!$A:$E,2,0),"")</f>
        <v/>
      </c>
      <c r="EN435" t="str">
        <f>IF(NOT(ISBLANK($B435)),VLOOKUP($B435,AssetCategories!$A:$E,3,0),"")</f>
        <v/>
      </c>
      <c r="EP435" s="33" t="str">
        <f t="shared" si="13"/>
        <v/>
      </c>
    </row>
    <row r="436" spans="16:146" x14ac:dyDescent="0.25">
      <c r="P436" s="33" t="str" cm="1">
        <f t="array" ref="P436">IFERROR(SUM(VALUE(_xlfn.TEXTSPLIT(O436, ";"))), "")</f>
        <v/>
      </c>
      <c r="DO436" t="str">
        <f t="shared" si="12"/>
        <v/>
      </c>
      <c r="EG436" s="33" t="str">
        <f>IF(NOT(ISBLANK($B436)),VLOOKUP($B436,AssetCategories!$A:$E,5,0),"")</f>
        <v/>
      </c>
      <c r="EH436" t="str">
        <f>IF(NOT(ISBLANK($B436)),VLOOKUP($B436,AssetCategories!$A:$E,4,0),"")</f>
        <v/>
      </c>
      <c r="EM436" t="str">
        <f>IF(NOT(ISBLANK($B436)),VLOOKUP($B436,AssetCategories!$A:$E,2,0),"")</f>
        <v/>
      </c>
      <c r="EN436" t="str">
        <f>IF(NOT(ISBLANK($B436)),VLOOKUP($B436,AssetCategories!$A:$E,3,0),"")</f>
        <v/>
      </c>
      <c r="EP436" s="33" t="str">
        <f t="shared" si="13"/>
        <v/>
      </c>
    </row>
    <row r="437" spans="16:146" x14ac:dyDescent="0.25">
      <c r="P437" s="33" t="str" cm="1">
        <f t="array" ref="P437">IFERROR(SUM(VALUE(_xlfn.TEXTSPLIT(O437, ";"))), "")</f>
        <v/>
      </c>
      <c r="DO437" t="str">
        <f t="shared" si="12"/>
        <v/>
      </c>
      <c r="EG437" s="33" t="str">
        <f>IF(NOT(ISBLANK($B437)),VLOOKUP($B437,AssetCategories!$A:$E,5,0),"")</f>
        <v/>
      </c>
      <c r="EH437" t="str">
        <f>IF(NOT(ISBLANK($B437)),VLOOKUP($B437,AssetCategories!$A:$E,4,0),"")</f>
        <v/>
      </c>
      <c r="EM437" t="str">
        <f>IF(NOT(ISBLANK($B437)),VLOOKUP($B437,AssetCategories!$A:$E,2,0),"")</f>
        <v/>
      </c>
      <c r="EN437" t="str">
        <f>IF(NOT(ISBLANK($B437)),VLOOKUP($B437,AssetCategories!$A:$E,3,0),"")</f>
        <v/>
      </c>
      <c r="EP437" s="33" t="str">
        <f t="shared" si="13"/>
        <v/>
      </c>
    </row>
    <row r="438" spans="16:146" x14ac:dyDescent="0.25">
      <c r="P438" s="33" t="str" cm="1">
        <f t="array" ref="P438">IFERROR(SUM(VALUE(_xlfn.TEXTSPLIT(O438, ";"))), "")</f>
        <v/>
      </c>
      <c r="DO438" t="str">
        <f t="shared" si="12"/>
        <v/>
      </c>
      <c r="EG438" s="33" t="str">
        <f>IF(NOT(ISBLANK($B438)),VLOOKUP($B438,AssetCategories!$A:$E,5,0),"")</f>
        <v/>
      </c>
      <c r="EH438" t="str">
        <f>IF(NOT(ISBLANK($B438)),VLOOKUP($B438,AssetCategories!$A:$E,4,0),"")</f>
        <v/>
      </c>
      <c r="EM438" t="str">
        <f>IF(NOT(ISBLANK($B438)),VLOOKUP($B438,AssetCategories!$A:$E,2,0),"")</f>
        <v/>
      </c>
      <c r="EN438" t="str">
        <f>IF(NOT(ISBLANK($B438)),VLOOKUP($B438,AssetCategories!$A:$E,3,0),"")</f>
        <v/>
      </c>
      <c r="EP438" s="33" t="str">
        <f t="shared" si="13"/>
        <v/>
      </c>
    </row>
    <row r="439" spans="16:146" x14ac:dyDescent="0.25">
      <c r="P439" s="33" t="str" cm="1">
        <f t="array" ref="P439">IFERROR(SUM(VALUE(_xlfn.TEXTSPLIT(O439, ";"))), "")</f>
        <v/>
      </c>
      <c r="DO439" t="str">
        <f t="shared" si="12"/>
        <v/>
      </c>
      <c r="EG439" s="33" t="str">
        <f>IF(NOT(ISBLANK($B439)),VLOOKUP($B439,AssetCategories!$A:$E,5,0),"")</f>
        <v/>
      </c>
      <c r="EH439" t="str">
        <f>IF(NOT(ISBLANK($B439)),VLOOKUP($B439,AssetCategories!$A:$E,4,0),"")</f>
        <v/>
      </c>
      <c r="EM439" t="str">
        <f>IF(NOT(ISBLANK($B439)),VLOOKUP($B439,AssetCategories!$A:$E,2,0),"")</f>
        <v/>
      </c>
      <c r="EN439" t="str">
        <f>IF(NOT(ISBLANK($B439)),VLOOKUP($B439,AssetCategories!$A:$E,3,0),"")</f>
        <v/>
      </c>
      <c r="EP439" s="33" t="str">
        <f t="shared" si="13"/>
        <v/>
      </c>
    </row>
    <row r="440" spans="16:146" x14ac:dyDescent="0.25">
      <c r="P440" s="33" t="str" cm="1">
        <f t="array" ref="P440">IFERROR(SUM(VALUE(_xlfn.TEXTSPLIT(O440, ";"))), "")</f>
        <v/>
      </c>
      <c r="DO440" t="str">
        <f t="shared" si="12"/>
        <v/>
      </c>
      <c r="EG440" s="33" t="str">
        <f>IF(NOT(ISBLANK($B440)),VLOOKUP($B440,AssetCategories!$A:$E,5,0),"")</f>
        <v/>
      </c>
      <c r="EH440" t="str">
        <f>IF(NOT(ISBLANK($B440)),VLOOKUP($B440,AssetCategories!$A:$E,4,0),"")</f>
        <v/>
      </c>
      <c r="EM440" t="str">
        <f>IF(NOT(ISBLANK($B440)),VLOOKUP($B440,AssetCategories!$A:$E,2,0),"")</f>
        <v/>
      </c>
      <c r="EN440" t="str">
        <f>IF(NOT(ISBLANK($B440)),VLOOKUP($B440,AssetCategories!$A:$E,3,0),"")</f>
        <v/>
      </c>
      <c r="EP440" s="33" t="str">
        <f t="shared" si="13"/>
        <v/>
      </c>
    </row>
    <row r="441" spans="16:146" x14ac:dyDescent="0.25">
      <c r="P441" s="33" t="str" cm="1">
        <f t="array" ref="P441">IFERROR(SUM(VALUE(_xlfn.TEXTSPLIT(O441, ";"))), "")</f>
        <v/>
      </c>
      <c r="DO441" t="str">
        <f t="shared" si="12"/>
        <v/>
      </c>
      <c r="EG441" s="33" t="str">
        <f>IF(NOT(ISBLANK($B441)),VLOOKUP($B441,AssetCategories!$A:$E,5,0),"")</f>
        <v/>
      </c>
      <c r="EH441" t="str">
        <f>IF(NOT(ISBLANK($B441)),VLOOKUP($B441,AssetCategories!$A:$E,4,0),"")</f>
        <v/>
      </c>
      <c r="EM441" t="str">
        <f>IF(NOT(ISBLANK($B441)),VLOOKUP($B441,AssetCategories!$A:$E,2,0),"")</f>
        <v/>
      </c>
      <c r="EN441" t="str">
        <f>IF(NOT(ISBLANK($B441)),VLOOKUP($B441,AssetCategories!$A:$E,3,0),"")</f>
        <v/>
      </c>
      <c r="EP441" s="33" t="str">
        <f t="shared" si="13"/>
        <v/>
      </c>
    </row>
    <row r="442" spans="16:146" x14ac:dyDescent="0.25">
      <c r="P442" s="33" t="str" cm="1">
        <f t="array" ref="P442">IFERROR(SUM(VALUE(_xlfn.TEXTSPLIT(O442, ";"))), "")</f>
        <v/>
      </c>
      <c r="DO442" t="str">
        <f t="shared" si="12"/>
        <v/>
      </c>
      <c r="EG442" s="33" t="str">
        <f>IF(NOT(ISBLANK($B442)),VLOOKUP($B442,AssetCategories!$A:$E,5,0),"")</f>
        <v/>
      </c>
      <c r="EH442" t="str">
        <f>IF(NOT(ISBLANK($B442)),VLOOKUP($B442,AssetCategories!$A:$E,4,0),"")</f>
        <v/>
      </c>
      <c r="EM442" t="str">
        <f>IF(NOT(ISBLANK($B442)),VLOOKUP($B442,AssetCategories!$A:$E,2,0),"")</f>
        <v/>
      </c>
      <c r="EN442" t="str">
        <f>IF(NOT(ISBLANK($B442)),VLOOKUP($B442,AssetCategories!$A:$E,3,0),"")</f>
        <v/>
      </c>
      <c r="EP442" s="33" t="str">
        <f t="shared" si="13"/>
        <v/>
      </c>
    </row>
    <row r="443" spans="16:146" x14ac:dyDescent="0.25">
      <c r="P443" s="33" t="str" cm="1">
        <f t="array" ref="P443">IFERROR(SUM(VALUE(_xlfn.TEXTSPLIT(O443, ";"))), "")</f>
        <v/>
      </c>
      <c r="DO443" t="str">
        <f t="shared" si="12"/>
        <v/>
      </c>
      <c r="EG443" s="33" t="str">
        <f>IF(NOT(ISBLANK($B443)),VLOOKUP($B443,AssetCategories!$A:$E,5,0),"")</f>
        <v/>
      </c>
      <c r="EH443" t="str">
        <f>IF(NOT(ISBLANK($B443)),VLOOKUP($B443,AssetCategories!$A:$E,4,0),"")</f>
        <v/>
      </c>
      <c r="EM443" t="str">
        <f>IF(NOT(ISBLANK($B443)),VLOOKUP($B443,AssetCategories!$A:$E,2,0),"")</f>
        <v/>
      </c>
      <c r="EN443" t="str">
        <f>IF(NOT(ISBLANK($B443)),VLOOKUP($B443,AssetCategories!$A:$E,3,0),"")</f>
        <v/>
      </c>
      <c r="EP443" s="33" t="str">
        <f t="shared" si="13"/>
        <v/>
      </c>
    </row>
    <row r="444" spans="16:146" x14ac:dyDescent="0.25">
      <c r="P444" s="33" t="str" cm="1">
        <f t="array" ref="P444">IFERROR(SUM(VALUE(_xlfn.TEXTSPLIT(O444, ";"))), "")</f>
        <v/>
      </c>
      <c r="DO444" t="str">
        <f t="shared" si="12"/>
        <v/>
      </c>
      <c r="EG444" s="33" t="str">
        <f>IF(NOT(ISBLANK($B444)),VLOOKUP($B444,AssetCategories!$A:$E,5,0),"")</f>
        <v/>
      </c>
      <c r="EH444" t="str">
        <f>IF(NOT(ISBLANK($B444)),VLOOKUP($B444,AssetCategories!$A:$E,4,0),"")</f>
        <v/>
      </c>
      <c r="EM444" t="str">
        <f>IF(NOT(ISBLANK($B444)),VLOOKUP($B444,AssetCategories!$A:$E,2,0),"")</f>
        <v/>
      </c>
      <c r="EN444" t="str">
        <f>IF(NOT(ISBLANK($B444)),VLOOKUP($B444,AssetCategories!$A:$E,3,0),"")</f>
        <v/>
      </c>
      <c r="EP444" s="33" t="str">
        <f t="shared" si="13"/>
        <v/>
      </c>
    </row>
    <row r="445" spans="16:146" x14ac:dyDescent="0.25">
      <c r="P445" s="33" t="str" cm="1">
        <f t="array" ref="P445">IFERROR(SUM(VALUE(_xlfn.TEXTSPLIT(O445, ";"))), "")</f>
        <v/>
      </c>
      <c r="DO445" t="str">
        <f t="shared" si="12"/>
        <v/>
      </c>
      <c r="EG445" s="33" t="str">
        <f>IF(NOT(ISBLANK($B445)),VLOOKUP($B445,AssetCategories!$A:$E,5,0),"")</f>
        <v/>
      </c>
      <c r="EH445" t="str">
        <f>IF(NOT(ISBLANK($B445)),VLOOKUP($B445,AssetCategories!$A:$E,4,0),"")</f>
        <v/>
      </c>
      <c r="EM445" t="str">
        <f>IF(NOT(ISBLANK($B445)),VLOOKUP($B445,AssetCategories!$A:$E,2,0),"")</f>
        <v/>
      </c>
      <c r="EN445" t="str">
        <f>IF(NOT(ISBLANK($B445)),VLOOKUP($B445,AssetCategories!$A:$E,3,0),"")</f>
        <v/>
      </c>
      <c r="EP445" s="33" t="str">
        <f t="shared" si="13"/>
        <v/>
      </c>
    </row>
    <row r="446" spans="16:146" x14ac:dyDescent="0.25">
      <c r="P446" s="33" t="str" cm="1">
        <f t="array" ref="P446">IFERROR(SUM(VALUE(_xlfn.TEXTSPLIT(O446, ";"))), "")</f>
        <v/>
      </c>
      <c r="DO446" t="str">
        <f t="shared" si="12"/>
        <v/>
      </c>
      <c r="EG446" s="33" t="str">
        <f>IF(NOT(ISBLANK($B446)),VLOOKUP($B446,AssetCategories!$A:$E,5,0),"")</f>
        <v/>
      </c>
      <c r="EH446" t="str">
        <f>IF(NOT(ISBLANK($B446)),VLOOKUP($B446,AssetCategories!$A:$E,4,0),"")</f>
        <v/>
      </c>
      <c r="EM446" t="str">
        <f>IF(NOT(ISBLANK($B446)),VLOOKUP($B446,AssetCategories!$A:$E,2,0),"")</f>
        <v/>
      </c>
      <c r="EN446" t="str">
        <f>IF(NOT(ISBLANK($B446)),VLOOKUP($B446,AssetCategories!$A:$E,3,0),"")</f>
        <v/>
      </c>
      <c r="EP446" s="33" t="str">
        <f t="shared" si="13"/>
        <v/>
      </c>
    </row>
    <row r="447" spans="16:146" x14ac:dyDescent="0.25">
      <c r="P447" s="33" t="str" cm="1">
        <f t="array" ref="P447">IFERROR(SUM(VALUE(_xlfn.TEXTSPLIT(O447, ";"))), "")</f>
        <v/>
      </c>
      <c r="DO447" t="str">
        <f t="shared" si="12"/>
        <v/>
      </c>
      <c r="EG447" s="33" t="str">
        <f>IF(NOT(ISBLANK($B447)),VLOOKUP($B447,AssetCategories!$A:$E,5,0),"")</f>
        <v/>
      </c>
      <c r="EH447" t="str">
        <f>IF(NOT(ISBLANK($B447)),VLOOKUP($B447,AssetCategories!$A:$E,4,0),"")</f>
        <v/>
      </c>
      <c r="EM447" t="str">
        <f>IF(NOT(ISBLANK($B447)),VLOOKUP($B447,AssetCategories!$A:$E,2,0),"")</f>
        <v/>
      </c>
      <c r="EN447" t="str">
        <f>IF(NOT(ISBLANK($B447)),VLOOKUP($B447,AssetCategories!$A:$E,3,0),"")</f>
        <v/>
      </c>
      <c r="EP447" s="33" t="str">
        <f t="shared" si="13"/>
        <v/>
      </c>
    </row>
    <row r="448" spans="16:146" x14ac:dyDescent="0.25">
      <c r="P448" s="33" t="str" cm="1">
        <f t="array" ref="P448">IFERROR(SUM(VALUE(_xlfn.TEXTSPLIT(O448, ";"))), "")</f>
        <v/>
      </c>
      <c r="DO448" t="str">
        <f t="shared" si="12"/>
        <v/>
      </c>
      <c r="EG448" s="33" t="str">
        <f>IF(NOT(ISBLANK($B448)),VLOOKUP($B448,AssetCategories!$A:$E,5,0),"")</f>
        <v/>
      </c>
      <c r="EH448" t="str">
        <f>IF(NOT(ISBLANK($B448)),VLOOKUP($B448,AssetCategories!$A:$E,4,0),"")</f>
        <v/>
      </c>
      <c r="EM448" t="str">
        <f>IF(NOT(ISBLANK($B448)),VLOOKUP($B448,AssetCategories!$A:$E,2,0),"")</f>
        <v/>
      </c>
      <c r="EN448" t="str">
        <f>IF(NOT(ISBLANK($B448)),VLOOKUP($B448,AssetCategories!$A:$E,3,0),"")</f>
        <v/>
      </c>
      <c r="EP448" s="33" t="str">
        <f t="shared" si="13"/>
        <v/>
      </c>
    </row>
    <row r="449" spans="16:146" x14ac:dyDescent="0.25">
      <c r="P449" s="33" t="str" cm="1">
        <f t="array" ref="P449">IFERROR(SUM(VALUE(_xlfn.TEXTSPLIT(O449, ";"))), "")</f>
        <v/>
      </c>
      <c r="DO449" t="str">
        <f t="shared" si="12"/>
        <v/>
      </c>
      <c r="EG449" s="33" t="str">
        <f>IF(NOT(ISBLANK($B449)),VLOOKUP($B449,AssetCategories!$A:$E,5,0),"")</f>
        <v/>
      </c>
      <c r="EH449" t="str">
        <f>IF(NOT(ISBLANK($B449)),VLOOKUP($B449,AssetCategories!$A:$E,4,0),"")</f>
        <v/>
      </c>
      <c r="EM449" t="str">
        <f>IF(NOT(ISBLANK($B449)),VLOOKUP($B449,AssetCategories!$A:$E,2,0),"")</f>
        <v/>
      </c>
      <c r="EN449" t="str">
        <f>IF(NOT(ISBLANK($B449)),VLOOKUP($B449,AssetCategories!$A:$E,3,0),"")</f>
        <v/>
      </c>
      <c r="EP449" s="33" t="str">
        <f t="shared" si="13"/>
        <v/>
      </c>
    </row>
    <row r="450" spans="16:146" x14ac:dyDescent="0.25">
      <c r="P450" s="33" t="str" cm="1">
        <f t="array" ref="P450">IFERROR(SUM(VALUE(_xlfn.TEXTSPLIT(O450, ";"))), "")</f>
        <v/>
      </c>
      <c r="DO450" t="str">
        <f t="shared" si="12"/>
        <v/>
      </c>
      <c r="EG450" s="33" t="str">
        <f>IF(NOT(ISBLANK($B450)),VLOOKUP($B450,AssetCategories!$A:$E,5,0),"")</f>
        <v/>
      </c>
      <c r="EH450" t="str">
        <f>IF(NOT(ISBLANK($B450)),VLOOKUP($B450,AssetCategories!$A:$E,4,0),"")</f>
        <v/>
      </c>
      <c r="EM450" t="str">
        <f>IF(NOT(ISBLANK($B450)),VLOOKUP($B450,AssetCategories!$A:$E,2,0),"")</f>
        <v/>
      </c>
      <c r="EN450" t="str">
        <f>IF(NOT(ISBLANK($B450)),VLOOKUP($B450,AssetCategories!$A:$E,3,0),"")</f>
        <v/>
      </c>
      <c r="EP450" s="33" t="str">
        <f t="shared" si="13"/>
        <v/>
      </c>
    </row>
    <row r="451" spans="16:146" x14ac:dyDescent="0.25">
      <c r="P451" s="33" t="str" cm="1">
        <f t="array" ref="P451">IFERROR(SUM(VALUE(_xlfn.TEXTSPLIT(O451, ";"))), "")</f>
        <v/>
      </c>
      <c r="DO451" t="str">
        <f t="shared" si="12"/>
        <v/>
      </c>
      <c r="EG451" s="33" t="str">
        <f>IF(NOT(ISBLANK($B451)),VLOOKUP($B451,AssetCategories!$A:$E,5,0),"")</f>
        <v/>
      </c>
      <c r="EH451" t="str">
        <f>IF(NOT(ISBLANK($B451)),VLOOKUP($B451,AssetCategories!$A:$E,4,0),"")</f>
        <v/>
      </c>
      <c r="EM451" t="str">
        <f>IF(NOT(ISBLANK($B451)),VLOOKUP($B451,AssetCategories!$A:$E,2,0),"")</f>
        <v/>
      </c>
      <c r="EN451" t="str">
        <f>IF(NOT(ISBLANK($B451)),VLOOKUP($B451,AssetCategories!$A:$E,3,0),"")</f>
        <v/>
      </c>
      <c r="EP451" s="33" t="str">
        <f t="shared" si="13"/>
        <v/>
      </c>
    </row>
    <row r="452" spans="16:146" x14ac:dyDescent="0.25">
      <c r="P452" s="33" t="str" cm="1">
        <f t="array" ref="P452">IFERROR(SUM(VALUE(_xlfn.TEXTSPLIT(O452, ";"))), "")</f>
        <v/>
      </c>
      <c r="DO452" t="str">
        <f t="shared" si="12"/>
        <v/>
      </c>
      <c r="EG452" s="33" t="str">
        <f>IF(NOT(ISBLANK($B452)),VLOOKUP($B452,AssetCategories!$A:$E,5,0),"")</f>
        <v/>
      </c>
      <c r="EH452" t="str">
        <f>IF(NOT(ISBLANK($B452)),VLOOKUP($B452,AssetCategories!$A:$E,4,0),"")</f>
        <v/>
      </c>
      <c r="EM452" t="str">
        <f>IF(NOT(ISBLANK($B452)),VLOOKUP($B452,AssetCategories!$A:$E,2,0),"")</f>
        <v/>
      </c>
      <c r="EN452" t="str">
        <f>IF(NOT(ISBLANK($B452)),VLOOKUP($B452,AssetCategories!$A:$E,3,0),"")</f>
        <v/>
      </c>
      <c r="EP452" s="33" t="str">
        <f t="shared" si="13"/>
        <v/>
      </c>
    </row>
    <row r="453" spans="16:146" x14ac:dyDescent="0.25">
      <c r="P453" s="33" t="str" cm="1">
        <f t="array" ref="P453">IFERROR(SUM(VALUE(_xlfn.TEXTSPLIT(O453, ";"))), "")</f>
        <v/>
      </c>
      <c r="DO453" t="str">
        <f t="shared" ref="DO453:DO516" si="14">IF(SUM(DE453:DN453)=0, "", SUM(DE453:DN453))</f>
        <v/>
      </c>
      <c r="EG453" s="33" t="str">
        <f>IF(NOT(ISBLANK($B453)),VLOOKUP($B453,AssetCategories!$A:$E,5,0),"")</f>
        <v/>
      </c>
      <c r="EH453" t="str">
        <f>IF(NOT(ISBLANK($B453)),VLOOKUP($B453,AssetCategories!$A:$E,4,0),"")</f>
        <v/>
      </c>
      <c r="EM453" t="str">
        <f>IF(NOT(ISBLANK($B453)),VLOOKUP($B453,AssetCategories!$A:$E,2,0),"")</f>
        <v/>
      </c>
      <c r="EN453" t="str">
        <f>IF(NOT(ISBLANK($B453)),VLOOKUP($B453,AssetCategories!$A:$E,3,0),"")</f>
        <v/>
      </c>
      <c r="EP453" s="33" t="str">
        <f t="shared" ref="EP453:EP516" si="15">IFERROR(P453-EO453, "")</f>
        <v/>
      </c>
    </row>
    <row r="454" spans="16:146" x14ac:dyDescent="0.25">
      <c r="P454" s="33" t="str" cm="1">
        <f t="array" ref="P454">IFERROR(SUM(VALUE(_xlfn.TEXTSPLIT(O454, ";"))), "")</f>
        <v/>
      </c>
      <c r="DO454" t="str">
        <f t="shared" si="14"/>
        <v/>
      </c>
      <c r="EG454" s="33" t="str">
        <f>IF(NOT(ISBLANK($B454)),VLOOKUP($B454,AssetCategories!$A:$E,5,0),"")</f>
        <v/>
      </c>
      <c r="EH454" t="str">
        <f>IF(NOT(ISBLANK($B454)),VLOOKUP($B454,AssetCategories!$A:$E,4,0),"")</f>
        <v/>
      </c>
      <c r="EM454" t="str">
        <f>IF(NOT(ISBLANK($B454)),VLOOKUP($B454,AssetCategories!$A:$E,2,0),"")</f>
        <v/>
      </c>
      <c r="EN454" t="str">
        <f>IF(NOT(ISBLANK($B454)),VLOOKUP($B454,AssetCategories!$A:$E,3,0),"")</f>
        <v/>
      </c>
      <c r="EP454" s="33" t="str">
        <f t="shared" si="15"/>
        <v/>
      </c>
    </row>
    <row r="455" spans="16:146" x14ac:dyDescent="0.25">
      <c r="P455" s="33" t="str" cm="1">
        <f t="array" ref="P455">IFERROR(SUM(VALUE(_xlfn.TEXTSPLIT(O455, ";"))), "")</f>
        <v/>
      </c>
      <c r="DO455" t="str">
        <f t="shared" si="14"/>
        <v/>
      </c>
      <c r="EG455" s="33" t="str">
        <f>IF(NOT(ISBLANK($B455)),VLOOKUP($B455,AssetCategories!$A:$E,5,0),"")</f>
        <v/>
      </c>
      <c r="EH455" t="str">
        <f>IF(NOT(ISBLANK($B455)),VLOOKUP($B455,AssetCategories!$A:$E,4,0),"")</f>
        <v/>
      </c>
      <c r="EM455" t="str">
        <f>IF(NOT(ISBLANK($B455)),VLOOKUP($B455,AssetCategories!$A:$E,2,0),"")</f>
        <v/>
      </c>
      <c r="EN455" t="str">
        <f>IF(NOT(ISBLANK($B455)),VLOOKUP($B455,AssetCategories!$A:$E,3,0),"")</f>
        <v/>
      </c>
      <c r="EP455" s="33" t="str">
        <f t="shared" si="15"/>
        <v/>
      </c>
    </row>
    <row r="456" spans="16:146" x14ac:dyDescent="0.25">
      <c r="P456" s="33" t="str" cm="1">
        <f t="array" ref="P456">IFERROR(SUM(VALUE(_xlfn.TEXTSPLIT(O456, ";"))), "")</f>
        <v/>
      </c>
      <c r="DO456" t="str">
        <f t="shared" si="14"/>
        <v/>
      </c>
      <c r="EG456" s="33" t="str">
        <f>IF(NOT(ISBLANK($B456)),VLOOKUP($B456,AssetCategories!$A:$E,5,0),"")</f>
        <v/>
      </c>
      <c r="EH456" t="str">
        <f>IF(NOT(ISBLANK($B456)),VLOOKUP($B456,AssetCategories!$A:$E,4,0),"")</f>
        <v/>
      </c>
      <c r="EM456" t="str">
        <f>IF(NOT(ISBLANK($B456)),VLOOKUP($B456,AssetCategories!$A:$E,2,0),"")</f>
        <v/>
      </c>
      <c r="EN456" t="str">
        <f>IF(NOT(ISBLANK($B456)),VLOOKUP($B456,AssetCategories!$A:$E,3,0),"")</f>
        <v/>
      </c>
      <c r="EP456" s="33" t="str">
        <f t="shared" si="15"/>
        <v/>
      </c>
    </row>
    <row r="457" spans="16:146" x14ac:dyDescent="0.25">
      <c r="P457" s="33" t="str" cm="1">
        <f t="array" ref="P457">IFERROR(SUM(VALUE(_xlfn.TEXTSPLIT(O457, ";"))), "")</f>
        <v/>
      </c>
      <c r="DO457" t="str">
        <f t="shared" si="14"/>
        <v/>
      </c>
      <c r="EG457" s="33" t="str">
        <f>IF(NOT(ISBLANK($B457)),VLOOKUP($B457,AssetCategories!$A:$E,5,0),"")</f>
        <v/>
      </c>
      <c r="EH457" t="str">
        <f>IF(NOT(ISBLANK($B457)),VLOOKUP($B457,AssetCategories!$A:$E,4,0),"")</f>
        <v/>
      </c>
      <c r="EM457" t="str">
        <f>IF(NOT(ISBLANK($B457)),VLOOKUP($B457,AssetCategories!$A:$E,2,0),"")</f>
        <v/>
      </c>
      <c r="EN457" t="str">
        <f>IF(NOT(ISBLANK($B457)),VLOOKUP($B457,AssetCategories!$A:$E,3,0),"")</f>
        <v/>
      </c>
      <c r="EP457" s="33" t="str">
        <f t="shared" si="15"/>
        <v/>
      </c>
    </row>
    <row r="458" spans="16:146" x14ac:dyDescent="0.25">
      <c r="P458" s="33" t="str" cm="1">
        <f t="array" ref="P458">IFERROR(SUM(VALUE(_xlfn.TEXTSPLIT(O458, ";"))), "")</f>
        <v/>
      </c>
      <c r="DO458" t="str">
        <f t="shared" si="14"/>
        <v/>
      </c>
      <c r="EG458" s="33" t="str">
        <f>IF(NOT(ISBLANK($B458)),VLOOKUP($B458,AssetCategories!$A:$E,5,0),"")</f>
        <v/>
      </c>
      <c r="EH458" t="str">
        <f>IF(NOT(ISBLANK($B458)),VLOOKUP($B458,AssetCategories!$A:$E,4,0),"")</f>
        <v/>
      </c>
      <c r="EM458" t="str">
        <f>IF(NOT(ISBLANK($B458)),VLOOKUP($B458,AssetCategories!$A:$E,2,0),"")</f>
        <v/>
      </c>
      <c r="EN458" t="str">
        <f>IF(NOT(ISBLANK($B458)),VLOOKUP($B458,AssetCategories!$A:$E,3,0),"")</f>
        <v/>
      </c>
      <c r="EP458" s="33" t="str">
        <f t="shared" si="15"/>
        <v/>
      </c>
    </row>
    <row r="459" spans="16:146" x14ac:dyDescent="0.25">
      <c r="P459" s="33" t="str" cm="1">
        <f t="array" ref="P459">IFERROR(SUM(VALUE(_xlfn.TEXTSPLIT(O459, ";"))), "")</f>
        <v/>
      </c>
      <c r="DO459" t="str">
        <f t="shared" si="14"/>
        <v/>
      </c>
      <c r="EG459" s="33" t="str">
        <f>IF(NOT(ISBLANK($B459)),VLOOKUP($B459,AssetCategories!$A:$E,5,0),"")</f>
        <v/>
      </c>
      <c r="EH459" t="str">
        <f>IF(NOT(ISBLANK($B459)),VLOOKUP($B459,AssetCategories!$A:$E,4,0),"")</f>
        <v/>
      </c>
      <c r="EM459" t="str">
        <f>IF(NOT(ISBLANK($B459)),VLOOKUP($B459,AssetCategories!$A:$E,2,0),"")</f>
        <v/>
      </c>
      <c r="EN459" t="str">
        <f>IF(NOT(ISBLANK($B459)),VLOOKUP($B459,AssetCategories!$A:$E,3,0),"")</f>
        <v/>
      </c>
      <c r="EP459" s="33" t="str">
        <f t="shared" si="15"/>
        <v/>
      </c>
    </row>
    <row r="460" spans="16:146" x14ac:dyDescent="0.25">
      <c r="P460" s="33" t="str" cm="1">
        <f t="array" ref="P460">IFERROR(SUM(VALUE(_xlfn.TEXTSPLIT(O460, ";"))), "")</f>
        <v/>
      </c>
      <c r="DO460" t="str">
        <f t="shared" si="14"/>
        <v/>
      </c>
      <c r="EG460" s="33" t="str">
        <f>IF(NOT(ISBLANK($B460)),VLOOKUP($B460,AssetCategories!$A:$E,5,0),"")</f>
        <v/>
      </c>
      <c r="EH460" t="str">
        <f>IF(NOT(ISBLANK($B460)),VLOOKUP($B460,AssetCategories!$A:$E,4,0),"")</f>
        <v/>
      </c>
      <c r="EM460" t="str">
        <f>IF(NOT(ISBLANK($B460)),VLOOKUP($B460,AssetCategories!$A:$E,2,0),"")</f>
        <v/>
      </c>
      <c r="EN460" t="str">
        <f>IF(NOT(ISBLANK($B460)),VLOOKUP($B460,AssetCategories!$A:$E,3,0),"")</f>
        <v/>
      </c>
      <c r="EP460" s="33" t="str">
        <f t="shared" si="15"/>
        <v/>
      </c>
    </row>
    <row r="461" spans="16:146" x14ac:dyDescent="0.25">
      <c r="P461" s="33" t="str" cm="1">
        <f t="array" ref="P461">IFERROR(SUM(VALUE(_xlfn.TEXTSPLIT(O461, ";"))), "")</f>
        <v/>
      </c>
      <c r="DO461" t="str">
        <f t="shared" si="14"/>
        <v/>
      </c>
      <c r="EG461" s="33" t="str">
        <f>IF(NOT(ISBLANK($B461)),VLOOKUP($B461,AssetCategories!$A:$E,5,0),"")</f>
        <v/>
      </c>
      <c r="EH461" t="str">
        <f>IF(NOT(ISBLANK($B461)),VLOOKUP($B461,AssetCategories!$A:$E,4,0),"")</f>
        <v/>
      </c>
      <c r="EM461" t="str">
        <f>IF(NOT(ISBLANK($B461)),VLOOKUP($B461,AssetCategories!$A:$E,2,0),"")</f>
        <v/>
      </c>
      <c r="EN461" t="str">
        <f>IF(NOT(ISBLANK($B461)),VLOOKUP($B461,AssetCategories!$A:$E,3,0),"")</f>
        <v/>
      </c>
      <c r="EP461" s="33" t="str">
        <f t="shared" si="15"/>
        <v/>
      </c>
    </row>
    <row r="462" spans="16:146" x14ac:dyDescent="0.25">
      <c r="P462" s="33" t="str" cm="1">
        <f t="array" ref="P462">IFERROR(SUM(VALUE(_xlfn.TEXTSPLIT(O462, ";"))), "")</f>
        <v/>
      </c>
      <c r="DO462" t="str">
        <f t="shared" si="14"/>
        <v/>
      </c>
      <c r="EG462" s="33" t="str">
        <f>IF(NOT(ISBLANK($B462)),VLOOKUP($B462,AssetCategories!$A:$E,5,0),"")</f>
        <v/>
      </c>
      <c r="EH462" t="str">
        <f>IF(NOT(ISBLANK($B462)),VLOOKUP($B462,AssetCategories!$A:$E,4,0),"")</f>
        <v/>
      </c>
      <c r="EM462" t="str">
        <f>IF(NOT(ISBLANK($B462)),VLOOKUP($B462,AssetCategories!$A:$E,2,0),"")</f>
        <v/>
      </c>
      <c r="EN462" t="str">
        <f>IF(NOT(ISBLANK($B462)),VLOOKUP($B462,AssetCategories!$A:$E,3,0),"")</f>
        <v/>
      </c>
      <c r="EP462" s="33" t="str">
        <f t="shared" si="15"/>
        <v/>
      </c>
    </row>
    <row r="463" spans="16:146" x14ac:dyDescent="0.25">
      <c r="P463" s="33" t="str" cm="1">
        <f t="array" ref="P463">IFERROR(SUM(VALUE(_xlfn.TEXTSPLIT(O463, ";"))), "")</f>
        <v/>
      </c>
      <c r="DO463" t="str">
        <f t="shared" si="14"/>
        <v/>
      </c>
      <c r="EG463" s="33" t="str">
        <f>IF(NOT(ISBLANK($B463)),VLOOKUP($B463,AssetCategories!$A:$E,5,0),"")</f>
        <v/>
      </c>
      <c r="EH463" t="str">
        <f>IF(NOT(ISBLANK($B463)),VLOOKUP($B463,AssetCategories!$A:$E,4,0),"")</f>
        <v/>
      </c>
      <c r="EM463" t="str">
        <f>IF(NOT(ISBLANK($B463)),VLOOKUP($B463,AssetCategories!$A:$E,2,0),"")</f>
        <v/>
      </c>
      <c r="EN463" t="str">
        <f>IF(NOT(ISBLANK($B463)),VLOOKUP($B463,AssetCategories!$A:$E,3,0),"")</f>
        <v/>
      </c>
      <c r="EP463" s="33" t="str">
        <f t="shared" si="15"/>
        <v/>
      </c>
    </row>
    <row r="464" spans="16:146" x14ac:dyDescent="0.25">
      <c r="P464" s="33" t="str" cm="1">
        <f t="array" ref="P464">IFERROR(SUM(VALUE(_xlfn.TEXTSPLIT(O464, ";"))), "")</f>
        <v/>
      </c>
      <c r="DO464" t="str">
        <f t="shared" si="14"/>
        <v/>
      </c>
      <c r="EG464" s="33" t="str">
        <f>IF(NOT(ISBLANK($B464)),VLOOKUP($B464,AssetCategories!$A:$E,5,0),"")</f>
        <v/>
      </c>
      <c r="EH464" t="str">
        <f>IF(NOT(ISBLANK($B464)),VLOOKUP($B464,AssetCategories!$A:$E,4,0),"")</f>
        <v/>
      </c>
      <c r="EM464" t="str">
        <f>IF(NOT(ISBLANK($B464)),VLOOKUP($B464,AssetCategories!$A:$E,2,0),"")</f>
        <v/>
      </c>
      <c r="EN464" t="str">
        <f>IF(NOT(ISBLANK($B464)),VLOOKUP($B464,AssetCategories!$A:$E,3,0),"")</f>
        <v/>
      </c>
      <c r="EP464" s="33" t="str">
        <f t="shared" si="15"/>
        <v/>
      </c>
    </row>
    <row r="465" spans="16:146" x14ac:dyDescent="0.25">
      <c r="P465" s="33" t="str" cm="1">
        <f t="array" ref="P465">IFERROR(SUM(VALUE(_xlfn.TEXTSPLIT(O465, ";"))), "")</f>
        <v/>
      </c>
      <c r="DO465" t="str">
        <f t="shared" si="14"/>
        <v/>
      </c>
      <c r="EG465" s="33" t="str">
        <f>IF(NOT(ISBLANK($B465)),VLOOKUP($B465,AssetCategories!$A:$E,5,0),"")</f>
        <v/>
      </c>
      <c r="EH465" t="str">
        <f>IF(NOT(ISBLANK($B465)),VLOOKUP($B465,AssetCategories!$A:$E,4,0),"")</f>
        <v/>
      </c>
      <c r="EM465" t="str">
        <f>IF(NOT(ISBLANK($B465)),VLOOKUP($B465,AssetCategories!$A:$E,2,0),"")</f>
        <v/>
      </c>
      <c r="EN465" t="str">
        <f>IF(NOT(ISBLANK($B465)),VLOOKUP($B465,AssetCategories!$A:$E,3,0),"")</f>
        <v/>
      </c>
      <c r="EP465" s="33" t="str">
        <f t="shared" si="15"/>
        <v/>
      </c>
    </row>
    <row r="466" spans="16:146" x14ac:dyDescent="0.25">
      <c r="P466" s="33" t="str" cm="1">
        <f t="array" ref="P466">IFERROR(SUM(VALUE(_xlfn.TEXTSPLIT(O466, ";"))), "")</f>
        <v/>
      </c>
      <c r="DO466" t="str">
        <f t="shared" si="14"/>
        <v/>
      </c>
      <c r="EG466" s="33" t="str">
        <f>IF(NOT(ISBLANK($B466)),VLOOKUP($B466,AssetCategories!$A:$E,5,0),"")</f>
        <v/>
      </c>
      <c r="EH466" t="str">
        <f>IF(NOT(ISBLANK($B466)),VLOOKUP($B466,AssetCategories!$A:$E,4,0),"")</f>
        <v/>
      </c>
      <c r="EM466" t="str">
        <f>IF(NOT(ISBLANK($B466)),VLOOKUP($B466,AssetCategories!$A:$E,2,0),"")</f>
        <v/>
      </c>
      <c r="EN466" t="str">
        <f>IF(NOT(ISBLANK($B466)),VLOOKUP($B466,AssetCategories!$A:$E,3,0),"")</f>
        <v/>
      </c>
      <c r="EP466" s="33" t="str">
        <f t="shared" si="15"/>
        <v/>
      </c>
    </row>
    <row r="467" spans="16:146" x14ac:dyDescent="0.25">
      <c r="P467" s="33" t="str" cm="1">
        <f t="array" ref="P467">IFERROR(SUM(VALUE(_xlfn.TEXTSPLIT(O467, ";"))), "")</f>
        <v/>
      </c>
      <c r="DO467" t="str">
        <f t="shared" si="14"/>
        <v/>
      </c>
      <c r="EG467" s="33" t="str">
        <f>IF(NOT(ISBLANK($B467)),VLOOKUP($B467,AssetCategories!$A:$E,5,0),"")</f>
        <v/>
      </c>
      <c r="EH467" t="str">
        <f>IF(NOT(ISBLANK($B467)),VLOOKUP($B467,AssetCategories!$A:$E,4,0),"")</f>
        <v/>
      </c>
      <c r="EM467" t="str">
        <f>IF(NOT(ISBLANK($B467)),VLOOKUP($B467,AssetCategories!$A:$E,2,0),"")</f>
        <v/>
      </c>
      <c r="EN467" t="str">
        <f>IF(NOT(ISBLANK($B467)),VLOOKUP($B467,AssetCategories!$A:$E,3,0),"")</f>
        <v/>
      </c>
      <c r="EP467" s="33" t="str">
        <f t="shared" si="15"/>
        <v/>
      </c>
    </row>
    <row r="468" spans="16:146" x14ac:dyDescent="0.25">
      <c r="P468" s="33" t="str" cm="1">
        <f t="array" ref="P468">IFERROR(SUM(VALUE(_xlfn.TEXTSPLIT(O468, ";"))), "")</f>
        <v/>
      </c>
      <c r="DO468" t="str">
        <f t="shared" si="14"/>
        <v/>
      </c>
      <c r="EG468" s="33" t="str">
        <f>IF(NOT(ISBLANK($B468)),VLOOKUP($B468,AssetCategories!$A:$E,5,0),"")</f>
        <v/>
      </c>
      <c r="EH468" t="str">
        <f>IF(NOT(ISBLANK($B468)),VLOOKUP($B468,AssetCategories!$A:$E,4,0),"")</f>
        <v/>
      </c>
      <c r="EM468" t="str">
        <f>IF(NOT(ISBLANK($B468)),VLOOKUP($B468,AssetCategories!$A:$E,2,0),"")</f>
        <v/>
      </c>
      <c r="EN468" t="str">
        <f>IF(NOT(ISBLANK($B468)),VLOOKUP($B468,AssetCategories!$A:$E,3,0),"")</f>
        <v/>
      </c>
      <c r="EP468" s="33" t="str">
        <f t="shared" si="15"/>
        <v/>
      </c>
    </row>
    <row r="469" spans="16:146" x14ac:dyDescent="0.25">
      <c r="P469" s="33" t="str" cm="1">
        <f t="array" ref="P469">IFERROR(SUM(VALUE(_xlfn.TEXTSPLIT(O469, ";"))), "")</f>
        <v/>
      </c>
      <c r="DO469" t="str">
        <f t="shared" si="14"/>
        <v/>
      </c>
      <c r="EG469" s="33" t="str">
        <f>IF(NOT(ISBLANK($B469)),VLOOKUP($B469,AssetCategories!$A:$E,5,0),"")</f>
        <v/>
      </c>
      <c r="EH469" t="str">
        <f>IF(NOT(ISBLANK($B469)),VLOOKUP($B469,AssetCategories!$A:$E,4,0),"")</f>
        <v/>
      </c>
      <c r="EM469" t="str">
        <f>IF(NOT(ISBLANK($B469)),VLOOKUP($B469,AssetCategories!$A:$E,2,0),"")</f>
        <v/>
      </c>
      <c r="EN469" t="str">
        <f>IF(NOT(ISBLANK($B469)),VLOOKUP($B469,AssetCategories!$A:$E,3,0),"")</f>
        <v/>
      </c>
      <c r="EP469" s="33" t="str">
        <f t="shared" si="15"/>
        <v/>
      </c>
    </row>
    <row r="470" spans="16:146" x14ac:dyDescent="0.25">
      <c r="P470" s="33" t="str" cm="1">
        <f t="array" ref="P470">IFERROR(SUM(VALUE(_xlfn.TEXTSPLIT(O470, ";"))), "")</f>
        <v/>
      </c>
      <c r="DO470" t="str">
        <f t="shared" si="14"/>
        <v/>
      </c>
      <c r="EG470" s="33" t="str">
        <f>IF(NOT(ISBLANK($B470)),VLOOKUP($B470,AssetCategories!$A:$E,5,0),"")</f>
        <v/>
      </c>
      <c r="EH470" t="str">
        <f>IF(NOT(ISBLANK($B470)),VLOOKUP($B470,AssetCategories!$A:$E,4,0),"")</f>
        <v/>
      </c>
      <c r="EM470" t="str">
        <f>IF(NOT(ISBLANK($B470)),VLOOKUP($B470,AssetCategories!$A:$E,2,0),"")</f>
        <v/>
      </c>
      <c r="EN470" t="str">
        <f>IF(NOT(ISBLANK($B470)),VLOOKUP($B470,AssetCategories!$A:$E,3,0),"")</f>
        <v/>
      </c>
      <c r="EP470" s="33" t="str">
        <f t="shared" si="15"/>
        <v/>
      </c>
    </row>
    <row r="471" spans="16:146" x14ac:dyDescent="0.25">
      <c r="P471" s="33" t="str" cm="1">
        <f t="array" ref="P471">IFERROR(SUM(VALUE(_xlfn.TEXTSPLIT(O471, ";"))), "")</f>
        <v/>
      </c>
      <c r="DO471" t="str">
        <f t="shared" si="14"/>
        <v/>
      </c>
      <c r="EG471" s="33" t="str">
        <f>IF(NOT(ISBLANK($B471)),VLOOKUP($B471,AssetCategories!$A:$E,5,0),"")</f>
        <v/>
      </c>
      <c r="EH471" t="str">
        <f>IF(NOT(ISBLANK($B471)),VLOOKUP($B471,AssetCategories!$A:$E,4,0),"")</f>
        <v/>
      </c>
      <c r="EM471" t="str">
        <f>IF(NOT(ISBLANK($B471)),VLOOKUP($B471,AssetCategories!$A:$E,2,0),"")</f>
        <v/>
      </c>
      <c r="EN471" t="str">
        <f>IF(NOT(ISBLANK($B471)),VLOOKUP($B471,AssetCategories!$A:$E,3,0),"")</f>
        <v/>
      </c>
      <c r="EP471" s="33" t="str">
        <f t="shared" si="15"/>
        <v/>
      </c>
    </row>
    <row r="472" spans="16:146" x14ac:dyDescent="0.25">
      <c r="P472" s="33" t="str" cm="1">
        <f t="array" ref="P472">IFERROR(SUM(VALUE(_xlfn.TEXTSPLIT(O472, ";"))), "")</f>
        <v/>
      </c>
      <c r="DO472" t="str">
        <f t="shared" si="14"/>
        <v/>
      </c>
      <c r="EG472" s="33" t="str">
        <f>IF(NOT(ISBLANK($B472)),VLOOKUP($B472,AssetCategories!$A:$E,5,0),"")</f>
        <v/>
      </c>
      <c r="EH472" t="str">
        <f>IF(NOT(ISBLANK($B472)),VLOOKUP($B472,AssetCategories!$A:$E,4,0),"")</f>
        <v/>
      </c>
      <c r="EM472" t="str">
        <f>IF(NOT(ISBLANK($B472)),VLOOKUP($B472,AssetCategories!$A:$E,2,0),"")</f>
        <v/>
      </c>
      <c r="EN472" t="str">
        <f>IF(NOT(ISBLANK($B472)),VLOOKUP($B472,AssetCategories!$A:$E,3,0),"")</f>
        <v/>
      </c>
      <c r="EP472" s="33" t="str">
        <f t="shared" si="15"/>
        <v/>
      </c>
    </row>
    <row r="473" spans="16:146" x14ac:dyDescent="0.25">
      <c r="P473" s="33" t="str" cm="1">
        <f t="array" ref="P473">IFERROR(SUM(VALUE(_xlfn.TEXTSPLIT(O473, ";"))), "")</f>
        <v/>
      </c>
      <c r="DO473" t="str">
        <f t="shared" si="14"/>
        <v/>
      </c>
      <c r="EG473" s="33" t="str">
        <f>IF(NOT(ISBLANK($B473)),VLOOKUP($B473,AssetCategories!$A:$E,5,0),"")</f>
        <v/>
      </c>
      <c r="EH473" t="str">
        <f>IF(NOT(ISBLANK($B473)),VLOOKUP($B473,AssetCategories!$A:$E,4,0),"")</f>
        <v/>
      </c>
      <c r="EM473" t="str">
        <f>IF(NOT(ISBLANK($B473)),VLOOKUP($B473,AssetCategories!$A:$E,2,0),"")</f>
        <v/>
      </c>
      <c r="EN473" t="str">
        <f>IF(NOT(ISBLANK($B473)),VLOOKUP($B473,AssetCategories!$A:$E,3,0),"")</f>
        <v/>
      </c>
      <c r="EP473" s="33" t="str">
        <f t="shared" si="15"/>
        <v/>
      </c>
    </row>
    <row r="474" spans="16:146" x14ac:dyDescent="0.25">
      <c r="P474" s="33" t="str" cm="1">
        <f t="array" ref="P474">IFERROR(SUM(VALUE(_xlfn.TEXTSPLIT(O474, ";"))), "")</f>
        <v/>
      </c>
      <c r="DO474" t="str">
        <f t="shared" si="14"/>
        <v/>
      </c>
      <c r="EG474" s="33" t="str">
        <f>IF(NOT(ISBLANK($B474)),VLOOKUP($B474,AssetCategories!$A:$E,5,0),"")</f>
        <v/>
      </c>
      <c r="EH474" t="str">
        <f>IF(NOT(ISBLANK($B474)),VLOOKUP($B474,AssetCategories!$A:$E,4,0),"")</f>
        <v/>
      </c>
      <c r="EM474" t="str">
        <f>IF(NOT(ISBLANK($B474)),VLOOKUP($B474,AssetCategories!$A:$E,2,0),"")</f>
        <v/>
      </c>
      <c r="EN474" t="str">
        <f>IF(NOT(ISBLANK($B474)),VLOOKUP($B474,AssetCategories!$A:$E,3,0),"")</f>
        <v/>
      </c>
      <c r="EP474" s="33" t="str">
        <f t="shared" si="15"/>
        <v/>
      </c>
    </row>
    <row r="475" spans="16:146" x14ac:dyDescent="0.25">
      <c r="P475" s="33" t="str" cm="1">
        <f t="array" ref="P475">IFERROR(SUM(VALUE(_xlfn.TEXTSPLIT(O475, ";"))), "")</f>
        <v/>
      </c>
      <c r="DO475" t="str">
        <f t="shared" si="14"/>
        <v/>
      </c>
      <c r="EG475" s="33" t="str">
        <f>IF(NOT(ISBLANK($B475)),VLOOKUP($B475,AssetCategories!$A:$E,5,0),"")</f>
        <v/>
      </c>
      <c r="EH475" t="str">
        <f>IF(NOT(ISBLANK($B475)),VLOOKUP($B475,AssetCategories!$A:$E,4,0),"")</f>
        <v/>
      </c>
      <c r="EM475" t="str">
        <f>IF(NOT(ISBLANK($B475)),VLOOKUP($B475,AssetCategories!$A:$E,2,0),"")</f>
        <v/>
      </c>
      <c r="EN475" t="str">
        <f>IF(NOT(ISBLANK($B475)),VLOOKUP($B475,AssetCategories!$A:$E,3,0),"")</f>
        <v/>
      </c>
      <c r="EP475" s="33" t="str">
        <f t="shared" si="15"/>
        <v/>
      </c>
    </row>
    <row r="476" spans="16:146" x14ac:dyDescent="0.25">
      <c r="P476" s="33" t="str" cm="1">
        <f t="array" ref="P476">IFERROR(SUM(VALUE(_xlfn.TEXTSPLIT(O476, ";"))), "")</f>
        <v/>
      </c>
      <c r="DO476" t="str">
        <f t="shared" si="14"/>
        <v/>
      </c>
      <c r="EG476" s="33" t="str">
        <f>IF(NOT(ISBLANK($B476)),VLOOKUP($B476,AssetCategories!$A:$E,5,0),"")</f>
        <v/>
      </c>
      <c r="EH476" t="str">
        <f>IF(NOT(ISBLANK($B476)),VLOOKUP($B476,AssetCategories!$A:$E,4,0),"")</f>
        <v/>
      </c>
      <c r="EM476" t="str">
        <f>IF(NOT(ISBLANK($B476)),VLOOKUP($B476,AssetCategories!$A:$E,2,0),"")</f>
        <v/>
      </c>
      <c r="EN476" t="str">
        <f>IF(NOT(ISBLANK($B476)),VLOOKUP($B476,AssetCategories!$A:$E,3,0),"")</f>
        <v/>
      </c>
      <c r="EP476" s="33" t="str">
        <f t="shared" si="15"/>
        <v/>
      </c>
    </row>
    <row r="477" spans="16:146" x14ac:dyDescent="0.25">
      <c r="P477" s="33" t="str" cm="1">
        <f t="array" ref="P477">IFERROR(SUM(VALUE(_xlfn.TEXTSPLIT(O477, ";"))), "")</f>
        <v/>
      </c>
      <c r="DO477" t="str">
        <f t="shared" si="14"/>
        <v/>
      </c>
      <c r="EG477" s="33" t="str">
        <f>IF(NOT(ISBLANK($B477)),VLOOKUP($B477,AssetCategories!$A:$E,5,0),"")</f>
        <v/>
      </c>
      <c r="EH477" t="str">
        <f>IF(NOT(ISBLANK($B477)),VLOOKUP($B477,AssetCategories!$A:$E,4,0),"")</f>
        <v/>
      </c>
      <c r="EM477" t="str">
        <f>IF(NOT(ISBLANK($B477)),VLOOKUP($B477,AssetCategories!$A:$E,2,0),"")</f>
        <v/>
      </c>
      <c r="EN477" t="str">
        <f>IF(NOT(ISBLANK($B477)),VLOOKUP($B477,AssetCategories!$A:$E,3,0),"")</f>
        <v/>
      </c>
      <c r="EP477" s="33" t="str">
        <f t="shared" si="15"/>
        <v/>
      </c>
    </row>
    <row r="478" spans="16:146" x14ac:dyDescent="0.25">
      <c r="P478" s="33" t="str" cm="1">
        <f t="array" ref="P478">IFERROR(SUM(VALUE(_xlfn.TEXTSPLIT(O478, ";"))), "")</f>
        <v/>
      </c>
      <c r="DO478" t="str">
        <f t="shared" si="14"/>
        <v/>
      </c>
      <c r="EG478" s="33" t="str">
        <f>IF(NOT(ISBLANK($B478)),VLOOKUP($B478,AssetCategories!$A:$E,5,0),"")</f>
        <v/>
      </c>
      <c r="EH478" t="str">
        <f>IF(NOT(ISBLANK($B478)),VLOOKUP($B478,AssetCategories!$A:$E,4,0),"")</f>
        <v/>
      </c>
      <c r="EM478" t="str">
        <f>IF(NOT(ISBLANK($B478)),VLOOKUP($B478,AssetCategories!$A:$E,2,0),"")</f>
        <v/>
      </c>
      <c r="EN478" t="str">
        <f>IF(NOT(ISBLANK($B478)),VLOOKUP($B478,AssetCategories!$A:$E,3,0),"")</f>
        <v/>
      </c>
      <c r="EP478" s="33" t="str">
        <f t="shared" si="15"/>
        <v/>
      </c>
    </row>
    <row r="479" spans="16:146" x14ac:dyDescent="0.25">
      <c r="P479" s="33" t="str" cm="1">
        <f t="array" ref="P479">IFERROR(SUM(VALUE(_xlfn.TEXTSPLIT(O479, ";"))), "")</f>
        <v/>
      </c>
      <c r="DO479" t="str">
        <f t="shared" si="14"/>
        <v/>
      </c>
      <c r="EG479" s="33" t="str">
        <f>IF(NOT(ISBLANK($B479)),VLOOKUP($B479,AssetCategories!$A:$E,5,0),"")</f>
        <v/>
      </c>
      <c r="EH479" t="str">
        <f>IF(NOT(ISBLANK($B479)),VLOOKUP($B479,AssetCategories!$A:$E,4,0),"")</f>
        <v/>
      </c>
      <c r="EM479" t="str">
        <f>IF(NOT(ISBLANK($B479)),VLOOKUP($B479,AssetCategories!$A:$E,2,0),"")</f>
        <v/>
      </c>
      <c r="EN479" t="str">
        <f>IF(NOT(ISBLANK($B479)),VLOOKUP($B479,AssetCategories!$A:$E,3,0),"")</f>
        <v/>
      </c>
      <c r="EP479" s="33" t="str">
        <f t="shared" si="15"/>
        <v/>
      </c>
    </row>
    <row r="480" spans="16:146" x14ac:dyDescent="0.25">
      <c r="P480" s="33" t="str" cm="1">
        <f t="array" ref="P480">IFERROR(SUM(VALUE(_xlfn.TEXTSPLIT(O480, ";"))), "")</f>
        <v/>
      </c>
      <c r="DO480" t="str">
        <f t="shared" si="14"/>
        <v/>
      </c>
      <c r="EG480" s="33" t="str">
        <f>IF(NOT(ISBLANK($B480)),VLOOKUP($B480,AssetCategories!$A:$E,5,0),"")</f>
        <v/>
      </c>
      <c r="EH480" t="str">
        <f>IF(NOT(ISBLANK($B480)),VLOOKUP($B480,AssetCategories!$A:$E,4,0),"")</f>
        <v/>
      </c>
      <c r="EM480" t="str">
        <f>IF(NOT(ISBLANK($B480)),VLOOKUP($B480,AssetCategories!$A:$E,2,0),"")</f>
        <v/>
      </c>
      <c r="EN480" t="str">
        <f>IF(NOT(ISBLANK($B480)),VLOOKUP($B480,AssetCategories!$A:$E,3,0),"")</f>
        <v/>
      </c>
      <c r="EP480" s="33" t="str">
        <f t="shared" si="15"/>
        <v/>
      </c>
    </row>
    <row r="481" spans="16:146" x14ac:dyDescent="0.25">
      <c r="P481" s="33" t="str" cm="1">
        <f t="array" ref="P481">IFERROR(SUM(VALUE(_xlfn.TEXTSPLIT(O481, ";"))), "")</f>
        <v/>
      </c>
      <c r="DO481" t="str">
        <f t="shared" si="14"/>
        <v/>
      </c>
      <c r="EG481" s="33" t="str">
        <f>IF(NOT(ISBLANK($B481)),VLOOKUP($B481,AssetCategories!$A:$E,5,0),"")</f>
        <v/>
      </c>
      <c r="EH481" t="str">
        <f>IF(NOT(ISBLANK($B481)),VLOOKUP($B481,AssetCategories!$A:$E,4,0),"")</f>
        <v/>
      </c>
      <c r="EM481" t="str">
        <f>IF(NOT(ISBLANK($B481)),VLOOKUP($B481,AssetCategories!$A:$E,2,0),"")</f>
        <v/>
      </c>
      <c r="EN481" t="str">
        <f>IF(NOT(ISBLANK($B481)),VLOOKUP($B481,AssetCategories!$A:$E,3,0),"")</f>
        <v/>
      </c>
      <c r="EP481" s="33" t="str">
        <f t="shared" si="15"/>
        <v/>
      </c>
    </row>
    <row r="482" spans="16:146" x14ac:dyDescent="0.25">
      <c r="P482" s="33" t="str" cm="1">
        <f t="array" ref="P482">IFERROR(SUM(VALUE(_xlfn.TEXTSPLIT(O482, ";"))), "")</f>
        <v/>
      </c>
      <c r="DO482" t="str">
        <f t="shared" si="14"/>
        <v/>
      </c>
      <c r="EG482" s="33" t="str">
        <f>IF(NOT(ISBLANK($B482)),VLOOKUP($B482,AssetCategories!$A:$E,5,0),"")</f>
        <v/>
      </c>
      <c r="EH482" t="str">
        <f>IF(NOT(ISBLANK($B482)),VLOOKUP($B482,AssetCategories!$A:$E,4,0),"")</f>
        <v/>
      </c>
      <c r="EM482" t="str">
        <f>IF(NOT(ISBLANK($B482)),VLOOKUP($B482,AssetCategories!$A:$E,2,0),"")</f>
        <v/>
      </c>
      <c r="EN482" t="str">
        <f>IF(NOT(ISBLANK($B482)),VLOOKUP($B482,AssetCategories!$A:$E,3,0),"")</f>
        <v/>
      </c>
      <c r="EP482" s="33" t="str">
        <f t="shared" si="15"/>
        <v/>
      </c>
    </row>
    <row r="483" spans="16:146" x14ac:dyDescent="0.25">
      <c r="P483" s="33" t="str" cm="1">
        <f t="array" ref="P483">IFERROR(SUM(VALUE(_xlfn.TEXTSPLIT(O483, ";"))), "")</f>
        <v/>
      </c>
      <c r="DO483" t="str">
        <f t="shared" si="14"/>
        <v/>
      </c>
      <c r="EG483" s="33" t="str">
        <f>IF(NOT(ISBLANK($B483)),VLOOKUP($B483,AssetCategories!$A:$E,5,0),"")</f>
        <v/>
      </c>
      <c r="EH483" t="str">
        <f>IF(NOT(ISBLANK($B483)),VLOOKUP($B483,AssetCategories!$A:$E,4,0),"")</f>
        <v/>
      </c>
      <c r="EM483" t="str">
        <f>IF(NOT(ISBLANK($B483)),VLOOKUP($B483,AssetCategories!$A:$E,2,0),"")</f>
        <v/>
      </c>
      <c r="EN483" t="str">
        <f>IF(NOT(ISBLANK($B483)),VLOOKUP($B483,AssetCategories!$A:$E,3,0),"")</f>
        <v/>
      </c>
      <c r="EP483" s="33" t="str">
        <f t="shared" si="15"/>
        <v/>
      </c>
    </row>
    <row r="484" spans="16:146" x14ac:dyDescent="0.25">
      <c r="P484" s="33" t="str" cm="1">
        <f t="array" ref="P484">IFERROR(SUM(VALUE(_xlfn.TEXTSPLIT(O484, ";"))), "")</f>
        <v/>
      </c>
      <c r="DO484" t="str">
        <f t="shared" si="14"/>
        <v/>
      </c>
      <c r="EG484" s="33" t="str">
        <f>IF(NOT(ISBLANK($B484)),VLOOKUP($B484,AssetCategories!$A:$E,5,0),"")</f>
        <v/>
      </c>
      <c r="EH484" t="str">
        <f>IF(NOT(ISBLANK($B484)),VLOOKUP($B484,AssetCategories!$A:$E,4,0),"")</f>
        <v/>
      </c>
      <c r="EM484" t="str">
        <f>IF(NOT(ISBLANK($B484)),VLOOKUP($B484,AssetCategories!$A:$E,2,0),"")</f>
        <v/>
      </c>
      <c r="EN484" t="str">
        <f>IF(NOT(ISBLANK($B484)),VLOOKUP($B484,AssetCategories!$A:$E,3,0),"")</f>
        <v/>
      </c>
      <c r="EP484" s="33" t="str">
        <f t="shared" si="15"/>
        <v/>
      </c>
    </row>
    <row r="485" spans="16:146" x14ac:dyDescent="0.25">
      <c r="P485" s="33" t="str" cm="1">
        <f t="array" ref="P485">IFERROR(SUM(VALUE(_xlfn.TEXTSPLIT(O485, ";"))), "")</f>
        <v/>
      </c>
      <c r="DO485" t="str">
        <f t="shared" si="14"/>
        <v/>
      </c>
      <c r="EG485" s="33" t="str">
        <f>IF(NOT(ISBLANK($B485)),VLOOKUP($B485,AssetCategories!$A:$E,5,0),"")</f>
        <v/>
      </c>
      <c r="EH485" t="str">
        <f>IF(NOT(ISBLANK($B485)),VLOOKUP($B485,AssetCategories!$A:$E,4,0),"")</f>
        <v/>
      </c>
      <c r="EM485" t="str">
        <f>IF(NOT(ISBLANK($B485)),VLOOKUP($B485,AssetCategories!$A:$E,2,0),"")</f>
        <v/>
      </c>
      <c r="EN485" t="str">
        <f>IF(NOT(ISBLANK($B485)),VLOOKUP($B485,AssetCategories!$A:$E,3,0),"")</f>
        <v/>
      </c>
      <c r="EP485" s="33" t="str">
        <f t="shared" si="15"/>
        <v/>
      </c>
    </row>
    <row r="486" spans="16:146" x14ac:dyDescent="0.25">
      <c r="P486" s="33" t="str" cm="1">
        <f t="array" ref="P486">IFERROR(SUM(VALUE(_xlfn.TEXTSPLIT(O486, ";"))), "")</f>
        <v/>
      </c>
      <c r="DO486" t="str">
        <f t="shared" si="14"/>
        <v/>
      </c>
      <c r="EG486" s="33" t="str">
        <f>IF(NOT(ISBLANK($B486)),VLOOKUP($B486,AssetCategories!$A:$E,5,0),"")</f>
        <v/>
      </c>
      <c r="EH486" t="str">
        <f>IF(NOT(ISBLANK($B486)),VLOOKUP($B486,AssetCategories!$A:$E,4,0),"")</f>
        <v/>
      </c>
      <c r="EM486" t="str">
        <f>IF(NOT(ISBLANK($B486)),VLOOKUP($B486,AssetCategories!$A:$E,2,0),"")</f>
        <v/>
      </c>
      <c r="EN486" t="str">
        <f>IF(NOT(ISBLANK($B486)),VLOOKUP($B486,AssetCategories!$A:$E,3,0),"")</f>
        <v/>
      </c>
      <c r="EP486" s="33" t="str">
        <f t="shared" si="15"/>
        <v/>
      </c>
    </row>
    <row r="487" spans="16:146" x14ac:dyDescent="0.25">
      <c r="P487" s="33" t="str" cm="1">
        <f t="array" ref="P487">IFERROR(SUM(VALUE(_xlfn.TEXTSPLIT(O487, ";"))), "")</f>
        <v/>
      </c>
      <c r="DO487" t="str">
        <f t="shared" si="14"/>
        <v/>
      </c>
      <c r="EG487" s="33" t="str">
        <f>IF(NOT(ISBLANK($B487)),VLOOKUP($B487,AssetCategories!$A:$E,5,0),"")</f>
        <v/>
      </c>
      <c r="EH487" t="str">
        <f>IF(NOT(ISBLANK($B487)),VLOOKUP($B487,AssetCategories!$A:$E,4,0),"")</f>
        <v/>
      </c>
      <c r="EM487" t="str">
        <f>IF(NOT(ISBLANK($B487)),VLOOKUP($B487,AssetCategories!$A:$E,2,0),"")</f>
        <v/>
      </c>
      <c r="EN487" t="str">
        <f>IF(NOT(ISBLANK($B487)),VLOOKUP($B487,AssetCategories!$A:$E,3,0),"")</f>
        <v/>
      </c>
      <c r="EP487" s="33" t="str">
        <f t="shared" si="15"/>
        <v/>
      </c>
    </row>
    <row r="488" spans="16:146" x14ac:dyDescent="0.25">
      <c r="P488" s="33" t="str" cm="1">
        <f t="array" ref="P488">IFERROR(SUM(VALUE(_xlfn.TEXTSPLIT(O488, ";"))), "")</f>
        <v/>
      </c>
      <c r="DO488" t="str">
        <f t="shared" si="14"/>
        <v/>
      </c>
      <c r="EG488" s="33" t="str">
        <f>IF(NOT(ISBLANK($B488)),VLOOKUP($B488,AssetCategories!$A:$E,5,0),"")</f>
        <v/>
      </c>
      <c r="EH488" t="str">
        <f>IF(NOT(ISBLANK($B488)),VLOOKUP($B488,AssetCategories!$A:$E,4,0),"")</f>
        <v/>
      </c>
      <c r="EM488" t="str">
        <f>IF(NOT(ISBLANK($B488)),VLOOKUP($B488,AssetCategories!$A:$E,2,0),"")</f>
        <v/>
      </c>
      <c r="EN488" t="str">
        <f>IF(NOT(ISBLANK($B488)),VLOOKUP($B488,AssetCategories!$A:$E,3,0),"")</f>
        <v/>
      </c>
      <c r="EP488" s="33" t="str">
        <f t="shared" si="15"/>
        <v/>
      </c>
    </row>
    <row r="489" spans="16:146" x14ac:dyDescent="0.25">
      <c r="P489" s="33" t="str" cm="1">
        <f t="array" ref="P489">IFERROR(SUM(VALUE(_xlfn.TEXTSPLIT(O489, ";"))), "")</f>
        <v/>
      </c>
      <c r="DO489" t="str">
        <f t="shared" si="14"/>
        <v/>
      </c>
      <c r="EG489" s="33" t="str">
        <f>IF(NOT(ISBLANK($B489)),VLOOKUP($B489,AssetCategories!$A:$E,5,0),"")</f>
        <v/>
      </c>
      <c r="EH489" t="str">
        <f>IF(NOT(ISBLANK($B489)),VLOOKUP($B489,AssetCategories!$A:$E,4,0),"")</f>
        <v/>
      </c>
      <c r="EM489" t="str">
        <f>IF(NOT(ISBLANK($B489)),VLOOKUP($B489,AssetCategories!$A:$E,2,0),"")</f>
        <v/>
      </c>
      <c r="EN489" t="str">
        <f>IF(NOT(ISBLANK($B489)),VLOOKUP($B489,AssetCategories!$A:$E,3,0),"")</f>
        <v/>
      </c>
      <c r="EP489" s="33" t="str">
        <f t="shared" si="15"/>
        <v/>
      </c>
    </row>
    <row r="490" spans="16:146" x14ac:dyDescent="0.25">
      <c r="P490" s="33" t="str" cm="1">
        <f t="array" ref="P490">IFERROR(SUM(VALUE(_xlfn.TEXTSPLIT(O490, ";"))), "")</f>
        <v/>
      </c>
      <c r="DO490" t="str">
        <f t="shared" si="14"/>
        <v/>
      </c>
      <c r="EG490" s="33" t="str">
        <f>IF(NOT(ISBLANK($B490)),VLOOKUP($B490,AssetCategories!$A:$E,5,0),"")</f>
        <v/>
      </c>
      <c r="EH490" t="str">
        <f>IF(NOT(ISBLANK($B490)),VLOOKUP($B490,AssetCategories!$A:$E,4,0),"")</f>
        <v/>
      </c>
      <c r="EM490" t="str">
        <f>IF(NOT(ISBLANK($B490)),VLOOKUP($B490,AssetCategories!$A:$E,2,0),"")</f>
        <v/>
      </c>
      <c r="EN490" t="str">
        <f>IF(NOT(ISBLANK($B490)),VLOOKUP($B490,AssetCategories!$A:$E,3,0),"")</f>
        <v/>
      </c>
      <c r="EP490" s="33" t="str">
        <f t="shared" si="15"/>
        <v/>
      </c>
    </row>
    <row r="491" spans="16:146" x14ac:dyDescent="0.25">
      <c r="P491" s="33" t="str" cm="1">
        <f t="array" ref="P491">IFERROR(SUM(VALUE(_xlfn.TEXTSPLIT(O491, ";"))), "")</f>
        <v/>
      </c>
      <c r="DO491" t="str">
        <f t="shared" si="14"/>
        <v/>
      </c>
      <c r="EG491" s="33" t="str">
        <f>IF(NOT(ISBLANK($B491)),VLOOKUP($B491,AssetCategories!$A:$E,5,0),"")</f>
        <v/>
      </c>
      <c r="EH491" t="str">
        <f>IF(NOT(ISBLANK($B491)),VLOOKUP($B491,AssetCategories!$A:$E,4,0),"")</f>
        <v/>
      </c>
      <c r="EM491" t="str">
        <f>IF(NOT(ISBLANK($B491)),VLOOKUP($B491,AssetCategories!$A:$E,2,0),"")</f>
        <v/>
      </c>
      <c r="EN491" t="str">
        <f>IF(NOT(ISBLANK($B491)),VLOOKUP($B491,AssetCategories!$A:$E,3,0),"")</f>
        <v/>
      </c>
      <c r="EP491" s="33" t="str">
        <f t="shared" si="15"/>
        <v/>
      </c>
    </row>
    <row r="492" spans="16:146" x14ac:dyDescent="0.25">
      <c r="P492" s="33" t="str" cm="1">
        <f t="array" ref="P492">IFERROR(SUM(VALUE(_xlfn.TEXTSPLIT(O492, ";"))), "")</f>
        <v/>
      </c>
      <c r="DO492" t="str">
        <f t="shared" si="14"/>
        <v/>
      </c>
      <c r="EG492" s="33" t="str">
        <f>IF(NOT(ISBLANK($B492)),VLOOKUP($B492,AssetCategories!$A:$E,5,0),"")</f>
        <v/>
      </c>
      <c r="EH492" t="str">
        <f>IF(NOT(ISBLANK($B492)),VLOOKUP($B492,AssetCategories!$A:$E,4,0),"")</f>
        <v/>
      </c>
      <c r="EM492" t="str">
        <f>IF(NOT(ISBLANK($B492)),VLOOKUP($B492,AssetCategories!$A:$E,2,0),"")</f>
        <v/>
      </c>
      <c r="EN492" t="str">
        <f>IF(NOT(ISBLANK($B492)),VLOOKUP($B492,AssetCategories!$A:$E,3,0),"")</f>
        <v/>
      </c>
      <c r="EP492" s="33" t="str">
        <f t="shared" si="15"/>
        <v/>
      </c>
    </row>
    <row r="493" spans="16:146" x14ac:dyDescent="0.25">
      <c r="P493" s="33" t="str" cm="1">
        <f t="array" ref="P493">IFERROR(SUM(VALUE(_xlfn.TEXTSPLIT(O493, ";"))), "")</f>
        <v/>
      </c>
      <c r="DO493" t="str">
        <f t="shared" si="14"/>
        <v/>
      </c>
      <c r="EG493" s="33" t="str">
        <f>IF(NOT(ISBLANK($B493)),VLOOKUP($B493,AssetCategories!$A:$E,5,0),"")</f>
        <v/>
      </c>
      <c r="EH493" t="str">
        <f>IF(NOT(ISBLANK($B493)),VLOOKUP($B493,AssetCategories!$A:$E,4,0),"")</f>
        <v/>
      </c>
      <c r="EM493" t="str">
        <f>IF(NOT(ISBLANK($B493)),VLOOKUP($B493,AssetCategories!$A:$E,2,0),"")</f>
        <v/>
      </c>
      <c r="EN493" t="str">
        <f>IF(NOT(ISBLANK($B493)),VLOOKUP($B493,AssetCategories!$A:$E,3,0),"")</f>
        <v/>
      </c>
      <c r="EP493" s="33" t="str">
        <f t="shared" si="15"/>
        <v/>
      </c>
    </row>
    <row r="494" spans="16:146" x14ac:dyDescent="0.25">
      <c r="P494" s="33" t="str" cm="1">
        <f t="array" ref="P494">IFERROR(SUM(VALUE(_xlfn.TEXTSPLIT(O494, ";"))), "")</f>
        <v/>
      </c>
      <c r="DO494" t="str">
        <f t="shared" si="14"/>
        <v/>
      </c>
      <c r="EG494" s="33" t="str">
        <f>IF(NOT(ISBLANK($B494)),VLOOKUP($B494,AssetCategories!$A:$E,5,0),"")</f>
        <v/>
      </c>
      <c r="EH494" t="str">
        <f>IF(NOT(ISBLANK($B494)),VLOOKUP($B494,AssetCategories!$A:$E,4,0),"")</f>
        <v/>
      </c>
      <c r="EM494" t="str">
        <f>IF(NOT(ISBLANK($B494)),VLOOKUP($B494,AssetCategories!$A:$E,2,0),"")</f>
        <v/>
      </c>
      <c r="EN494" t="str">
        <f>IF(NOT(ISBLANK($B494)),VLOOKUP($B494,AssetCategories!$A:$E,3,0),"")</f>
        <v/>
      </c>
      <c r="EP494" s="33" t="str">
        <f t="shared" si="15"/>
        <v/>
      </c>
    </row>
    <row r="495" spans="16:146" x14ac:dyDescent="0.25">
      <c r="P495" s="33" t="str" cm="1">
        <f t="array" ref="P495">IFERROR(SUM(VALUE(_xlfn.TEXTSPLIT(O495, ";"))), "")</f>
        <v/>
      </c>
      <c r="DO495" t="str">
        <f t="shared" si="14"/>
        <v/>
      </c>
      <c r="EG495" s="33" t="str">
        <f>IF(NOT(ISBLANK($B495)),VLOOKUP($B495,AssetCategories!$A:$E,5,0),"")</f>
        <v/>
      </c>
      <c r="EH495" t="str">
        <f>IF(NOT(ISBLANK($B495)),VLOOKUP($B495,AssetCategories!$A:$E,4,0),"")</f>
        <v/>
      </c>
      <c r="EM495" t="str">
        <f>IF(NOT(ISBLANK($B495)),VLOOKUP($B495,AssetCategories!$A:$E,2,0),"")</f>
        <v/>
      </c>
      <c r="EN495" t="str">
        <f>IF(NOT(ISBLANK($B495)),VLOOKUP($B495,AssetCategories!$A:$E,3,0),"")</f>
        <v/>
      </c>
      <c r="EP495" s="33" t="str">
        <f t="shared" si="15"/>
        <v/>
      </c>
    </row>
    <row r="496" spans="16:146" x14ac:dyDescent="0.25">
      <c r="P496" s="33" t="str" cm="1">
        <f t="array" ref="P496">IFERROR(SUM(VALUE(_xlfn.TEXTSPLIT(O496, ";"))), "")</f>
        <v/>
      </c>
      <c r="DO496" t="str">
        <f t="shared" si="14"/>
        <v/>
      </c>
      <c r="EG496" s="33" t="str">
        <f>IF(NOT(ISBLANK($B496)),VLOOKUP($B496,AssetCategories!$A:$E,5,0),"")</f>
        <v/>
      </c>
      <c r="EH496" t="str">
        <f>IF(NOT(ISBLANK($B496)),VLOOKUP($B496,AssetCategories!$A:$E,4,0),"")</f>
        <v/>
      </c>
      <c r="EM496" t="str">
        <f>IF(NOT(ISBLANK($B496)),VLOOKUP($B496,AssetCategories!$A:$E,2,0),"")</f>
        <v/>
      </c>
      <c r="EN496" t="str">
        <f>IF(NOT(ISBLANK($B496)),VLOOKUP($B496,AssetCategories!$A:$E,3,0),"")</f>
        <v/>
      </c>
      <c r="EP496" s="33" t="str">
        <f t="shared" si="15"/>
        <v/>
      </c>
    </row>
    <row r="497" spans="16:146" x14ac:dyDescent="0.25">
      <c r="P497" s="33" t="str" cm="1">
        <f t="array" ref="P497">IFERROR(SUM(VALUE(_xlfn.TEXTSPLIT(O497, ";"))), "")</f>
        <v/>
      </c>
      <c r="DO497" t="str">
        <f t="shared" si="14"/>
        <v/>
      </c>
      <c r="EG497" s="33" t="str">
        <f>IF(NOT(ISBLANK($B497)),VLOOKUP($B497,AssetCategories!$A:$E,5,0),"")</f>
        <v/>
      </c>
      <c r="EH497" t="str">
        <f>IF(NOT(ISBLANK($B497)),VLOOKUP($B497,AssetCategories!$A:$E,4,0),"")</f>
        <v/>
      </c>
      <c r="EM497" t="str">
        <f>IF(NOT(ISBLANK($B497)),VLOOKUP($B497,AssetCategories!$A:$E,2,0),"")</f>
        <v/>
      </c>
      <c r="EN497" t="str">
        <f>IF(NOT(ISBLANK($B497)),VLOOKUP($B497,AssetCategories!$A:$E,3,0),"")</f>
        <v/>
      </c>
      <c r="EP497" s="33" t="str">
        <f t="shared" si="15"/>
        <v/>
      </c>
    </row>
    <row r="498" spans="16:146" x14ac:dyDescent="0.25">
      <c r="P498" s="33" t="str" cm="1">
        <f t="array" ref="P498">IFERROR(SUM(VALUE(_xlfn.TEXTSPLIT(O498, ";"))), "")</f>
        <v/>
      </c>
      <c r="DO498" t="str">
        <f t="shared" si="14"/>
        <v/>
      </c>
      <c r="EG498" s="33" t="str">
        <f>IF(NOT(ISBLANK($B498)),VLOOKUP($B498,AssetCategories!$A:$E,5,0),"")</f>
        <v/>
      </c>
      <c r="EH498" t="str">
        <f>IF(NOT(ISBLANK($B498)),VLOOKUP($B498,AssetCategories!$A:$E,4,0),"")</f>
        <v/>
      </c>
      <c r="EM498" t="str">
        <f>IF(NOT(ISBLANK($B498)),VLOOKUP($B498,AssetCategories!$A:$E,2,0),"")</f>
        <v/>
      </c>
      <c r="EN498" t="str">
        <f>IF(NOT(ISBLANK($B498)),VLOOKUP($B498,AssetCategories!$A:$E,3,0),"")</f>
        <v/>
      </c>
      <c r="EP498" s="33" t="str">
        <f t="shared" si="15"/>
        <v/>
      </c>
    </row>
    <row r="499" spans="16:146" x14ac:dyDescent="0.25">
      <c r="P499" s="33" t="str" cm="1">
        <f t="array" ref="P499">IFERROR(SUM(VALUE(_xlfn.TEXTSPLIT(O499, ";"))), "")</f>
        <v/>
      </c>
      <c r="DO499" t="str">
        <f t="shared" si="14"/>
        <v/>
      </c>
      <c r="EG499" s="33" t="str">
        <f>IF(NOT(ISBLANK($B499)),VLOOKUP($B499,AssetCategories!$A:$E,5,0),"")</f>
        <v/>
      </c>
      <c r="EH499" t="str">
        <f>IF(NOT(ISBLANK($B499)),VLOOKUP($B499,AssetCategories!$A:$E,4,0),"")</f>
        <v/>
      </c>
      <c r="EM499" t="str">
        <f>IF(NOT(ISBLANK($B499)),VLOOKUP($B499,AssetCategories!$A:$E,2,0),"")</f>
        <v/>
      </c>
      <c r="EN499" t="str">
        <f>IF(NOT(ISBLANK($B499)),VLOOKUP($B499,AssetCategories!$A:$E,3,0),"")</f>
        <v/>
      </c>
      <c r="EP499" s="33" t="str">
        <f t="shared" si="15"/>
        <v/>
      </c>
    </row>
    <row r="500" spans="16:146" x14ac:dyDescent="0.25">
      <c r="P500" s="33" t="str" cm="1">
        <f t="array" ref="P500">IFERROR(SUM(VALUE(_xlfn.TEXTSPLIT(O500, ";"))), "")</f>
        <v/>
      </c>
      <c r="DO500" t="str">
        <f t="shared" si="14"/>
        <v/>
      </c>
      <c r="EG500" s="33" t="str">
        <f>IF(NOT(ISBLANK($B500)),VLOOKUP($B500,AssetCategories!$A:$E,5,0),"")</f>
        <v/>
      </c>
      <c r="EH500" t="str">
        <f>IF(NOT(ISBLANK($B500)),VLOOKUP($B500,AssetCategories!$A:$E,4,0),"")</f>
        <v/>
      </c>
      <c r="EM500" t="str">
        <f>IF(NOT(ISBLANK($B500)),VLOOKUP($B500,AssetCategories!$A:$E,2,0),"")</f>
        <v/>
      </c>
      <c r="EN500" t="str">
        <f>IF(NOT(ISBLANK($B500)),VLOOKUP($B500,AssetCategories!$A:$E,3,0),"")</f>
        <v/>
      </c>
      <c r="EP500" s="33" t="str">
        <f t="shared" si="15"/>
        <v/>
      </c>
    </row>
    <row r="501" spans="16:146" x14ac:dyDescent="0.25">
      <c r="P501" s="33" t="str" cm="1">
        <f t="array" ref="P501">IFERROR(SUM(VALUE(_xlfn.TEXTSPLIT(O501, ";"))), "")</f>
        <v/>
      </c>
      <c r="DO501" t="str">
        <f t="shared" si="14"/>
        <v/>
      </c>
      <c r="EG501" s="33" t="str">
        <f>IF(NOT(ISBLANK($B501)),VLOOKUP($B501,AssetCategories!$A:$E,5,0),"")</f>
        <v/>
      </c>
      <c r="EH501" t="str">
        <f>IF(NOT(ISBLANK($B501)),VLOOKUP($B501,AssetCategories!$A:$E,4,0),"")</f>
        <v/>
      </c>
      <c r="EM501" t="str">
        <f>IF(NOT(ISBLANK($B501)),VLOOKUP($B501,AssetCategories!$A:$E,2,0),"")</f>
        <v/>
      </c>
      <c r="EN501" t="str">
        <f>IF(NOT(ISBLANK($B501)),VLOOKUP($B501,AssetCategories!$A:$E,3,0),"")</f>
        <v/>
      </c>
      <c r="EP501" s="33" t="str">
        <f t="shared" si="15"/>
        <v/>
      </c>
    </row>
    <row r="502" spans="16:146" x14ac:dyDescent="0.25">
      <c r="P502" s="33" t="str" cm="1">
        <f t="array" ref="P502">IFERROR(SUM(VALUE(_xlfn.TEXTSPLIT(O502, ";"))), "")</f>
        <v/>
      </c>
      <c r="DO502" t="str">
        <f t="shared" si="14"/>
        <v/>
      </c>
      <c r="EG502" s="33" t="str">
        <f>IF(NOT(ISBLANK($B502)),VLOOKUP($B502,AssetCategories!$A:$E,5,0),"")</f>
        <v/>
      </c>
      <c r="EH502" t="str">
        <f>IF(NOT(ISBLANK($B502)),VLOOKUP($B502,AssetCategories!$A:$E,4,0),"")</f>
        <v/>
      </c>
      <c r="EM502" t="str">
        <f>IF(NOT(ISBLANK($B502)),VLOOKUP($B502,AssetCategories!$A:$E,2,0),"")</f>
        <v/>
      </c>
      <c r="EN502" t="str">
        <f>IF(NOT(ISBLANK($B502)),VLOOKUP($B502,AssetCategories!$A:$E,3,0),"")</f>
        <v/>
      </c>
      <c r="EP502" s="33" t="str">
        <f t="shared" si="15"/>
        <v/>
      </c>
    </row>
    <row r="503" spans="16:146" x14ac:dyDescent="0.25">
      <c r="P503" s="33" t="str" cm="1">
        <f t="array" ref="P503">IFERROR(SUM(VALUE(_xlfn.TEXTSPLIT(O503, ";"))), "")</f>
        <v/>
      </c>
      <c r="DO503" t="str">
        <f t="shared" si="14"/>
        <v/>
      </c>
      <c r="EG503" s="33" t="str">
        <f>IF(NOT(ISBLANK($B503)),VLOOKUP($B503,AssetCategories!$A:$E,5,0),"")</f>
        <v/>
      </c>
      <c r="EH503" t="str">
        <f>IF(NOT(ISBLANK($B503)),VLOOKUP($B503,AssetCategories!$A:$E,4,0),"")</f>
        <v/>
      </c>
      <c r="EM503" t="str">
        <f>IF(NOT(ISBLANK($B503)),VLOOKUP($B503,AssetCategories!$A:$E,2,0),"")</f>
        <v/>
      </c>
      <c r="EN503" t="str">
        <f>IF(NOT(ISBLANK($B503)),VLOOKUP($B503,AssetCategories!$A:$E,3,0),"")</f>
        <v/>
      </c>
      <c r="EP503" s="33" t="str">
        <f t="shared" si="15"/>
        <v/>
      </c>
    </row>
    <row r="504" spans="16:146" x14ac:dyDescent="0.25">
      <c r="P504" s="33" t="str" cm="1">
        <f t="array" ref="P504">IFERROR(SUM(VALUE(_xlfn.TEXTSPLIT(O504, ";"))), "")</f>
        <v/>
      </c>
      <c r="DO504" t="str">
        <f t="shared" si="14"/>
        <v/>
      </c>
      <c r="EG504" s="33" t="str">
        <f>IF(NOT(ISBLANK($B504)),VLOOKUP($B504,AssetCategories!$A:$E,5,0),"")</f>
        <v/>
      </c>
      <c r="EH504" t="str">
        <f>IF(NOT(ISBLANK($B504)),VLOOKUP($B504,AssetCategories!$A:$E,4,0),"")</f>
        <v/>
      </c>
      <c r="EM504" t="str">
        <f>IF(NOT(ISBLANK($B504)),VLOOKUP($B504,AssetCategories!$A:$E,2,0),"")</f>
        <v/>
      </c>
      <c r="EN504" t="str">
        <f>IF(NOT(ISBLANK($B504)),VLOOKUP($B504,AssetCategories!$A:$E,3,0),"")</f>
        <v/>
      </c>
      <c r="EP504" s="33" t="str">
        <f t="shared" si="15"/>
        <v/>
      </c>
    </row>
    <row r="505" spans="16:146" x14ac:dyDescent="0.25">
      <c r="P505" s="33" t="str" cm="1">
        <f t="array" ref="P505">IFERROR(SUM(VALUE(_xlfn.TEXTSPLIT(O505, ";"))), "")</f>
        <v/>
      </c>
      <c r="DO505" t="str">
        <f t="shared" si="14"/>
        <v/>
      </c>
      <c r="EG505" s="33" t="str">
        <f>IF(NOT(ISBLANK($B505)),VLOOKUP($B505,AssetCategories!$A:$E,5,0),"")</f>
        <v/>
      </c>
      <c r="EH505" t="str">
        <f>IF(NOT(ISBLANK($B505)),VLOOKUP($B505,AssetCategories!$A:$E,4,0),"")</f>
        <v/>
      </c>
      <c r="EM505" t="str">
        <f>IF(NOT(ISBLANK($B505)),VLOOKUP($B505,AssetCategories!$A:$E,2,0),"")</f>
        <v/>
      </c>
      <c r="EN505" t="str">
        <f>IF(NOT(ISBLANK($B505)),VLOOKUP($B505,AssetCategories!$A:$E,3,0),"")</f>
        <v/>
      </c>
      <c r="EP505" s="33" t="str">
        <f t="shared" si="15"/>
        <v/>
      </c>
    </row>
    <row r="506" spans="16:146" x14ac:dyDescent="0.25">
      <c r="P506" s="33" t="str" cm="1">
        <f t="array" ref="P506">IFERROR(SUM(VALUE(_xlfn.TEXTSPLIT(O506, ";"))), "")</f>
        <v/>
      </c>
      <c r="DO506" t="str">
        <f t="shared" si="14"/>
        <v/>
      </c>
      <c r="EG506" s="33" t="str">
        <f>IF(NOT(ISBLANK($B506)),VLOOKUP($B506,AssetCategories!$A:$E,5,0),"")</f>
        <v/>
      </c>
      <c r="EH506" t="str">
        <f>IF(NOT(ISBLANK($B506)),VLOOKUP($B506,AssetCategories!$A:$E,4,0),"")</f>
        <v/>
      </c>
      <c r="EM506" t="str">
        <f>IF(NOT(ISBLANK($B506)),VLOOKUP($B506,AssetCategories!$A:$E,2,0),"")</f>
        <v/>
      </c>
      <c r="EN506" t="str">
        <f>IF(NOT(ISBLANK($B506)),VLOOKUP($B506,AssetCategories!$A:$E,3,0),"")</f>
        <v/>
      </c>
      <c r="EP506" s="33" t="str">
        <f t="shared" si="15"/>
        <v/>
      </c>
    </row>
    <row r="507" spans="16:146" x14ac:dyDescent="0.25">
      <c r="P507" s="33" t="str" cm="1">
        <f t="array" ref="P507">IFERROR(SUM(VALUE(_xlfn.TEXTSPLIT(O507, ";"))), "")</f>
        <v/>
      </c>
      <c r="DO507" t="str">
        <f t="shared" si="14"/>
        <v/>
      </c>
      <c r="EG507" s="33" t="str">
        <f>IF(NOT(ISBLANK($B507)),VLOOKUP($B507,AssetCategories!$A:$E,5,0),"")</f>
        <v/>
      </c>
      <c r="EH507" t="str">
        <f>IF(NOT(ISBLANK($B507)),VLOOKUP($B507,AssetCategories!$A:$E,4,0),"")</f>
        <v/>
      </c>
      <c r="EM507" t="str">
        <f>IF(NOT(ISBLANK($B507)),VLOOKUP($B507,AssetCategories!$A:$E,2,0),"")</f>
        <v/>
      </c>
      <c r="EN507" t="str">
        <f>IF(NOT(ISBLANK($B507)),VLOOKUP($B507,AssetCategories!$A:$E,3,0),"")</f>
        <v/>
      </c>
      <c r="EP507" s="33" t="str">
        <f t="shared" si="15"/>
        <v/>
      </c>
    </row>
    <row r="508" spans="16:146" x14ac:dyDescent="0.25">
      <c r="P508" s="33" t="str" cm="1">
        <f t="array" ref="P508">IFERROR(SUM(VALUE(_xlfn.TEXTSPLIT(O508, ";"))), "")</f>
        <v/>
      </c>
      <c r="DO508" t="str">
        <f t="shared" si="14"/>
        <v/>
      </c>
      <c r="EG508" s="33" t="str">
        <f>IF(NOT(ISBLANK($B508)),VLOOKUP($B508,AssetCategories!$A:$E,5,0),"")</f>
        <v/>
      </c>
      <c r="EH508" t="str">
        <f>IF(NOT(ISBLANK($B508)),VLOOKUP($B508,AssetCategories!$A:$E,4,0),"")</f>
        <v/>
      </c>
      <c r="EM508" t="str">
        <f>IF(NOT(ISBLANK($B508)),VLOOKUP($B508,AssetCategories!$A:$E,2,0),"")</f>
        <v/>
      </c>
      <c r="EN508" t="str">
        <f>IF(NOT(ISBLANK($B508)),VLOOKUP($B508,AssetCategories!$A:$E,3,0),"")</f>
        <v/>
      </c>
      <c r="EP508" s="33" t="str">
        <f t="shared" si="15"/>
        <v/>
      </c>
    </row>
    <row r="509" spans="16:146" x14ac:dyDescent="0.25">
      <c r="P509" s="33" t="str" cm="1">
        <f t="array" ref="P509">IFERROR(SUM(VALUE(_xlfn.TEXTSPLIT(O509, ";"))), "")</f>
        <v/>
      </c>
      <c r="DO509" t="str">
        <f t="shared" si="14"/>
        <v/>
      </c>
      <c r="EG509" s="33" t="str">
        <f>IF(NOT(ISBLANK($B509)),VLOOKUP($B509,AssetCategories!$A:$E,5,0),"")</f>
        <v/>
      </c>
      <c r="EH509" t="str">
        <f>IF(NOT(ISBLANK($B509)),VLOOKUP($B509,AssetCategories!$A:$E,4,0),"")</f>
        <v/>
      </c>
      <c r="EM509" t="str">
        <f>IF(NOT(ISBLANK($B509)),VLOOKUP($B509,AssetCategories!$A:$E,2,0),"")</f>
        <v/>
      </c>
      <c r="EN509" t="str">
        <f>IF(NOT(ISBLANK($B509)),VLOOKUP($B509,AssetCategories!$A:$E,3,0),"")</f>
        <v/>
      </c>
      <c r="EP509" s="33" t="str">
        <f t="shared" si="15"/>
        <v/>
      </c>
    </row>
    <row r="510" spans="16:146" x14ac:dyDescent="0.25">
      <c r="P510" s="33" t="str" cm="1">
        <f t="array" ref="P510">IFERROR(SUM(VALUE(_xlfn.TEXTSPLIT(O510, ";"))), "")</f>
        <v/>
      </c>
      <c r="DO510" t="str">
        <f t="shared" si="14"/>
        <v/>
      </c>
      <c r="EG510" s="33" t="str">
        <f>IF(NOT(ISBLANK($B510)),VLOOKUP($B510,AssetCategories!$A:$E,5,0),"")</f>
        <v/>
      </c>
      <c r="EH510" t="str">
        <f>IF(NOT(ISBLANK($B510)),VLOOKUP($B510,AssetCategories!$A:$E,4,0),"")</f>
        <v/>
      </c>
      <c r="EM510" t="str">
        <f>IF(NOT(ISBLANK($B510)),VLOOKUP($B510,AssetCategories!$A:$E,2,0),"")</f>
        <v/>
      </c>
      <c r="EN510" t="str">
        <f>IF(NOT(ISBLANK($B510)),VLOOKUP($B510,AssetCategories!$A:$E,3,0),"")</f>
        <v/>
      </c>
      <c r="EP510" s="33" t="str">
        <f t="shared" si="15"/>
        <v/>
      </c>
    </row>
    <row r="511" spans="16:146" x14ac:dyDescent="0.25">
      <c r="P511" s="33" t="str" cm="1">
        <f t="array" ref="P511">IFERROR(SUM(VALUE(_xlfn.TEXTSPLIT(O511, ";"))), "")</f>
        <v/>
      </c>
      <c r="DO511" t="str">
        <f t="shared" si="14"/>
        <v/>
      </c>
      <c r="EG511" s="33" t="str">
        <f>IF(NOT(ISBLANK($B511)),VLOOKUP($B511,AssetCategories!$A:$E,5,0),"")</f>
        <v/>
      </c>
      <c r="EH511" t="str">
        <f>IF(NOT(ISBLANK($B511)),VLOOKUP($B511,AssetCategories!$A:$E,4,0),"")</f>
        <v/>
      </c>
      <c r="EM511" t="str">
        <f>IF(NOT(ISBLANK($B511)),VLOOKUP($B511,AssetCategories!$A:$E,2,0),"")</f>
        <v/>
      </c>
      <c r="EN511" t="str">
        <f>IF(NOT(ISBLANK($B511)),VLOOKUP($B511,AssetCategories!$A:$E,3,0),"")</f>
        <v/>
      </c>
      <c r="EP511" s="33" t="str">
        <f t="shared" si="15"/>
        <v/>
      </c>
    </row>
    <row r="512" spans="16:146" x14ac:dyDescent="0.25">
      <c r="P512" s="33" t="str" cm="1">
        <f t="array" ref="P512">IFERROR(SUM(VALUE(_xlfn.TEXTSPLIT(O512, ";"))), "")</f>
        <v/>
      </c>
      <c r="DO512" t="str">
        <f t="shared" si="14"/>
        <v/>
      </c>
      <c r="EG512" s="33" t="str">
        <f>IF(NOT(ISBLANK($B512)),VLOOKUP($B512,AssetCategories!$A:$E,5,0),"")</f>
        <v/>
      </c>
      <c r="EH512" t="str">
        <f>IF(NOT(ISBLANK($B512)),VLOOKUP($B512,AssetCategories!$A:$E,4,0),"")</f>
        <v/>
      </c>
      <c r="EM512" t="str">
        <f>IF(NOT(ISBLANK($B512)),VLOOKUP($B512,AssetCategories!$A:$E,2,0),"")</f>
        <v/>
      </c>
      <c r="EN512" t="str">
        <f>IF(NOT(ISBLANK($B512)),VLOOKUP($B512,AssetCategories!$A:$E,3,0),"")</f>
        <v/>
      </c>
      <c r="EP512" s="33" t="str">
        <f t="shared" si="15"/>
        <v/>
      </c>
    </row>
    <row r="513" spans="16:146" x14ac:dyDescent="0.25">
      <c r="P513" s="33" t="str" cm="1">
        <f t="array" ref="P513">IFERROR(SUM(VALUE(_xlfn.TEXTSPLIT(O513, ";"))), "")</f>
        <v/>
      </c>
      <c r="DO513" t="str">
        <f t="shared" si="14"/>
        <v/>
      </c>
      <c r="EG513" s="33" t="str">
        <f>IF(NOT(ISBLANK($B513)),VLOOKUP($B513,AssetCategories!$A:$E,5,0),"")</f>
        <v/>
      </c>
      <c r="EH513" t="str">
        <f>IF(NOT(ISBLANK($B513)),VLOOKUP($B513,AssetCategories!$A:$E,4,0),"")</f>
        <v/>
      </c>
      <c r="EM513" t="str">
        <f>IF(NOT(ISBLANK($B513)),VLOOKUP($B513,AssetCategories!$A:$E,2,0),"")</f>
        <v/>
      </c>
      <c r="EN513" t="str">
        <f>IF(NOT(ISBLANK($B513)),VLOOKUP($B513,AssetCategories!$A:$E,3,0),"")</f>
        <v/>
      </c>
      <c r="EP513" s="33" t="str">
        <f t="shared" si="15"/>
        <v/>
      </c>
    </row>
    <row r="514" spans="16:146" x14ac:dyDescent="0.25">
      <c r="P514" s="33" t="str" cm="1">
        <f t="array" ref="P514">IFERROR(SUM(VALUE(_xlfn.TEXTSPLIT(O514, ";"))), "")</f>
        <v/>
      </c>
      <c r="DO514" t="str">
        <f t="shared" si="14"/>
        <v/>
      </c>
      <c r="EG514" s="33" t="str">
        <f>IF(NOT(ISBLANK($B514)),VLOOKUP($B514,AssetCategories!$A:$E,5,0),"")</f>
        <v/>
      </c>
      <c r="EH514" t="str">
        <f>IF(NOT(ISBLANK($B514)),VLOOKUP($B514,AssetCategories!$A:$E,4,0),"")</f>
        <v/>
      </c>
      <c r="EM514" t="str">
        <f>IF(NOT(ISBLANK($B514)),VLOOKUP($B514,AssetCategories!$A:$E,2,0),"")</f>
        <v/>
      </c>
      <c r="EN514" t="str">
        <f>IF(NOT(ISBLANK($B514)),VLOOKUP($B514,AssetCategories!$A:$E,3,0),"")</f>
        <v/>
      </c>
      <c r="EP514" s="33" t="str">
        <f t="shared" si="15"/>
        <v/>
      </c>
    </row>
    <row r="515" spans="16:146" x14ac:dyDescent="0.25">
      <c r="P515" s="33" t="str" cm="1">
        <f t="array" ref="P515">IFERROR(SUM(VALUE(_xlfn.TEXTSPLIT(O515, ";"))), "")</f>
        <v/>
      </c>
      <c r="DO515" t="str">
        <f t="shared" si="14"/>
        <v/>
      </c>
      <c r="EG515" s="33" t="str">
        <f>IF(NOT(ISBLANK($B515)),VLOOKUP($B515,AssetCategories!$A:$E,5,0),"")</f>
        <v/>
      </c>
      <c r="EH515" t="str">
        <f>IF(NOT(ISBLANK($B515)),VLOOKUP($B515,AssetCategories!$A:$E,4,0),"")</f>
        <v/>
      </c>
      <c r="EM515" t="str">
        <f>IF(NOT(ISBLANK($B515)),VLOOKUP($B515,AssetCategories!$A:$E,2,0),"")</f>
        <v/>
      </c>
      <c r="EN515" t="str">
        <f>IF(NOT(ISBLANK($B515)),VLOOKUP($B515,AssetCategories!$A:$E,3,0),"")</f>
        <v/>
      </c>
      <c r="EP515" s="33" t="str">
        <f t="shared" si="15"/>
        <v/>
      </c>
    </row>
    <row r="516" spans="16:146" x14ac:dyDescent="0.25">
      <c r="P516" s="33" t="str" cm="1">
        <f t="array" ref="P516">IFERROR(SUM(VALUE(_xlfn.TEXTSPLIT(O516, ";"))), "")</f>
        <v/>
      </c>
      <c r="DO516" t="str">
        <f t="shared" si="14"/>
        <v/>
      </c>
      <c r="EG516" s="33" t="str">
        <f>IF(NOT(ISBLANK($B516)),VLOOKUP($B516,AssetCategories!$A:$E,5,0),"")</f>
        <v/>
      </c>
      <c r="EH516" t="str">
        <f>IF(NOT(ISBLANK($B516)),VLOOKUP($B516,AssetCategories!$A:$E,4,0),"")</f>
        <v/>
      </c>
      <c r="EM516" t="str">
        <f>IF(NOT(ISBLANK($B516)),VLOOKUP($B516,AssetCategories!$A:$E,2,0),"")</f>
        <v/>
      </c>
      <c r="EN516" t="str">
        <f>IF(NOT(ISBLANK($B516)),VLOOKUP($B516,AssetCategories!$A:$E,3,0),"")</f>
        <v/>
      </c>
      <c r="EP516" s="33" t="str">
        <f t="shared" si="15"/>
        <v/>
      </c>
    </row>
    <row r="517" spans="16:146" x14ac:dyDescent="0.25">
      <c r="P517" s="33" t="str" cm="1">
        <f t="array" ref="P517">IFERROR(SUM(VALUE(_xlfn.TEXTSPLIT(O517, ";"))), "")</f>
        <v/>
      </c>
      <c r="DO517" t="str">
        <f t="shared" ref="DO517:DO580" si="16">IF(SUM(DE517:DN517)=0, "", SUM(DE517:DN517))</f>
        <v/>
      </c>
      <c r="EG517" s="33" t="str">
        <f>IF(NOT(ISBLANK($B517)),VLOOKUP($B517,AssetCategories!$A:$E,5,0),"")</f>
        <v/>
      </c>
      <c r="EH517" t="str">
        <f>IF(NOT(ISBLANK($B517)),VLOOKUP($B517,AssetCategories!$A:$E,4,0),"")</f>
        <v/>
      </c>
      <c r="EM517" t="str">
        <f>IF(NOT(ISBLANK($B517)),VLOOKUP($B517,AssetCategories!$A:$E,2,0),"")</f>
        <v/>
      </c>
      <c r="EN517" t="str">
        <f>IF(NOT(ISBLANK($B517)),VLOOKUP($B517,AssetCategories!$A:$E,3,0),"")</f>
        <v/>
      </c>
      <c r="EP517" s="33" t="str">
        <f t="shared" ref="EP517:EP580" si="17">IFERROR(P517-EO517, "")</f>
        <v/>
      </c>
    </row>
    <row r="518" spans="16:146" x14ac:dyDescent="0.25">
      <c r="P518" s="33" t="str" cm="1">
        <f t="array" ref="P518">IFERROR(SUM(VALUE(_xlfn.TEXTSPLIT(O518, ";"))), "")</f>
        <v/>
      </c>
      <c r="DO518" t="str">
        <f t="shared" si="16"/>
        <v/>
      </c>
      <c r="EG518" s="33" t="str">
        <f>IF(NOT(ISBLANK($B518)),VLOOKUP($B518,AssetCategories!$A:$E,5,0),"")</f>
        <v/>
      </c>
      <c r="EH518" t="str">
        <f>IF(NOT(ISBLANK($B518)),VLOOKUP($B518,AssetCategories!$A:$E,4,0),"")</f>
        <v/>
      </c>
      <c r="EM518" t="str">
        <f>IF(NOT(ISBLANK($B518)),VLOOKUP($B518,AssetCategories!$A:$E,2,0),"")</f>
        <v/>
      </c>
      <c r="EN518" t="str">
        <f>IF(NOT(ISBLANK($B518)),VLOOKUP($B518,AssetCategories!$A:$E,3,0),"")</f>
        <v/>
      </c>
      <c r="EP518" s="33" t="str">
        <f t="shared" si="17"/>
        <v/>
      </c>
    </row>
    <row r="519" spans="16:146" x14ac:dyDescent="0.25">
      <c r="P519" s="33" t="str" cm="1">
        <f t="array" ref="P519">IFERROR(SUM(VALUE(_xlfn.TEXTSPLIT(O519, ";"))), "")</f>
        <v/>
      </c>
      <c r="DO519" t="str">
        <f t="shared" si="16"/>
        <v/>
      </c>
      <c r="EG519" s="33" t="str">
        <f>IF(NOT(ISBLANK($B519)),VLOOKUP($B519,AssetCategories!$A:$E,5,0),"")</f>
        <v/>
      </c>
      <c r="EH519" t="str">
        <f>IF(NOT(ISBLANK($B519)),VLOOKUP($B519,AssetCategories!$A:$E,4,0),"")</f>
        <v/>
      </c>
      <c r="EM519" t="str">
        <f>IF(NOT(ISBLANK($B519)),VLOOKUP($B519,AssetCategories!$A:$E,2,0),"")</f>
        <v/>
      </c>
      <c r="EN519" t="str">
        <f>IF(NOT(ISBLANK($B519)),VLOOKUP($B519,AssetCategories!$A:$E,3,0),"")</f>
        <v/>
      </c>
      <c r="EP519" s="33" t="str">
        <f t="shared" si="17"/>
        <v/>
      </c>
    </row>
    <row r="520" spans="16:146" x14ac:dyDescent="0.25">
      <c r="P520" s="33" t="str" cm="1">
        <f t="array" ref="P520">IFERROR(SUM(VALUE(_xlfn.TEXTSPLIT(O520, ";"))), "")</f>
        <v/>
      </c>
      <c r="DO520" t="str">
        <f t="shared" si="16"/>
        <v/>
      </c>
      <c r="EG520" s="33" t="str">
        <f>IF(NOT(ISBLANK($B520)),VLOOKUP($B520,AssetCategories!$A:$E,5,0),"")</f>
        <v/>
      </c>
      <c r="EH520" t="str">
        <f>IF(NOT(ISBLANK($B520)),VLOOKUP($B520,AssetCategories!$A:$E,4,0),"")</f>
        <v/>
      </c>
      <c r="EM520" t="str">
        <f>IF(NOT(ISBLANK($B520)),VLOOKUP($B520,AssetCategories!$A:$E,2,0),"")</f>
        <v/>
      </c>
      <c r="EN520" t="str">
        <f>IF(NOT(ISBLANK($B520)),VLOOKUP($B520,AssetCategories!$A:$E,3,0),"")</f>
        <v/>
      </c>
      <c r="EP520" s="33" t="str">
        <f t="shared" si="17"/>
        <v/>
      </c>
    </row>
    <row r="521" spans="16:146" x14ac:dyDescent="0.25">
      <c r="P521" s="33" t="str" cm="1">
        <f t="array" ref="P521">IFERROR(SUM(VALUE(_xlfn.TEXTSPLIT(O521, ";"))), "")</f>
        <v/>
      </c>
      <c r="DO521" t="str">
        <f t="shared" si="16"/>
        <v/>
      </c>
      <c r="EG521" s="33" t="str">
        <f>IF(NOT(ISBLANK($B521)),VLOOKUP($B521,AssetCategories!$A:$E,5,0),"")</f>
        <v/>
      </c>
      <c r="EH521" t="str">
        <f>IF(NOT(ISBLANK($B521)),VLOOKUP($B521,AssetCategories!$A:$E,4,0),"")</f>
        <v/>
      </c>
      <c r="EM521" t="str">
        <f>IF(NOT(ISBLANK($B521)),VLOOKUP($B521,AssetCategories!$A:$E,2,0),"")</f>
        <v/>
      </c>
      <c r="EN521" t="str">
        <f>IF(NOT(ISBLANK($B521)),VLOOKUP($B521,AssetCategories!$A:$E,3,0),"")</f>
        <v/>
      </c>
      <c r="EP521" s="33" t="str">
        <f t="shared" si="17"/>
        <v/>
      </c>
    </row>
    <row r="522" spans="16:146" x14ac:dyDescent="0.25">
      <c r="P522" s="33" t="str" cm="1">
        <f t="array" ref="P522">IFERROR(SUM(VALUE(_xlfn.TEXTSPLIT(O522, ";"))), "")</f>
        <v/>
      </c>
      <c r="DO522" t="str">
        <f t="shared" si="16"/>
        <v/>
      </c>
      <c r="EG522" s="33" t="str">
        <f>IF(NOT(ISBLANK($B522)),VLOOKUP($B522,AssetCategories!$A:$E,5,0),"")</f>
        <v/>
      </c>
      <c r="EH522" t="str">
        <f>IF(NOT(ISBLANK($B522)),VLOOKUP($B522,AssetCategories!$A:$E,4,0),"")</f>
        <v/>
      </c>
      <c r="EM522" t="str">
        <f>IF(NOT(ISBLANK($B522)),VLOOKUP($B522,AssetCategories!$A:$E,2,0),"")</f>
        <v/>
      </c>
      <c r="EN522" t="str">
        <f>IF(NOT(ISBLANK($B522)),VLOOKUP($B522,AssetCategories!$A:$E,3,0),"")</f>
        <v/>
      </c>
      <c r="EP522" s="33" t="str">
        <f t="shared" si="17"/>
        <v/>
      </c>
    </row>
    <row r="523" spans="16:146" x14ac:dyDescent="0.25">
      <c r="P523" s="33" t="str" cm="1">
        <f t="array" ref="P523">IFERROR(SUM(VALUE(_xlfn.TEXTSPLIT(O523, ";"))), "")</f>
        <v/>
      </c>
      <c r="DO523" t="str">
        <f t="shared" si="16"/>
        <v/>
      </c>
      <c r="EG523" s="33" t="str">
        <f>IF(NOT(ISBLANK($B523)),VLOOKUP($B523,AssetCategories!$A:$E,5,0),"")</f>
        <v/>
      </c>
      <c r="EH523" t="str">
        <f>IF(NOT(ISBLANK($B523)),VLOOKUP($B523,AssetCategories!$A:$E,4,0),"")</f>
        <v/>
      </c>
      <c r="EM523" t="str">
        <f>IF(NOT(ISBLANK($B523)),VLOOKUP($B523,AssetCategories!$A:$E,2,0),"")</f>
        <v/>
      </c>
      <c r="EN523" t="str">
        <f>IF(NOT(ISBLANK($B523)),VLOOKUP($B523,AssetCategories!$A:$E,3,0),"")</f>
        <v/>
      </c>
      <c r="EP523" s="33" t="str">
        <f t="shared" si="17"/>
        <v/>
      </c>
    </row>
    <row r="524" spans="16:146" x14ac:dyDescent="0.25">
      <c r="P524" s="33" t="str" cm="1">
        <f t="array" ref="P524">IFERROR(SUM(VALUE(_xlfn.TEXTSPLIT(O524, ";"))), "")</f>
        <v/>
      </c>
      <c r="DO524" t="str">
        <f t="shared" si="16"/>
        <v/>
      </c>
      <c r="EG524" s="33" t="str">
        <f>IF(NOT(ISBLANK($B524)),VLOOKUP($B524,AssetCategories!$A:$E,5,0),"")</f>
        <v/>
      </c>
      <c r="EH524" t="str">
        <f>IF(NOT(ISBLANK($B524)),VLOOKUP($B524,AssetCategories!$A:$E,4,0),"")</f>
        <v/>
      </c>
      <c r="EM524" t="str">
        <f>IF(NOT(ISBLANK($B524)),VLOOKUP($B524,AssetCategories!$A:$E,2,0),"")</f>
        <v/>
      </c>
      <c r="EN524" t="str">
        <f>IF(NOT(ISBLANK($B524)),VLOOKUP($B524,AssetCategories!$A:$E,3,0),"")</f>
        <v/>
      </c>
      <c r="EP524" s="33" t="str">
        <f t="shared" si="17"/>
        <v/>
      </c>
    </row>
    <row r="525" spans="16:146" x14ac:dyDescent="0.25">
      <c r="P525" s="33" t="str" cm="1">
        <f t="array" ref="P525">IFERROR(SUM(VALUE(_xlfn.TEXTSPLIT(O525, ";"))), "")</f>
        <v/>
      </c>
      <c r="DO525" t="str">
        <f t="shared" si="16"/>
        <v/>
      </c>
      <c r="EG525" s="33" t="str">
        <f>IF(NOT(ISBLANK($B525)),VLOOKUP($B525,AssetCategories!$A:$E,5,0),"")</f>
        <v/>
      </c>
      <c r="EH525" t="str">
        <f>IF(NOT(ISBLANK($B525)),VLOOKUP($B525,AssetCategories!$A:$E,4,0),"")</f>
        <v/>
      </c>
      <c r="EM525" t="str">
        <f>IF(NOT(ISBLANK($B525)),VLOOKUP($B525,AssetCategories!$A:$E,2,0),"")</f>
        <v/>
      </c>
      <c r="EN525" t="str">
        <f>IF(NOT(ISBLANK($B525)),VLOOKUP($B525,AssetCategories!$A:$E,3,0),"")</f>
        <v/>
      </c>
      <c r="EP525" s="33" t="str">
        <f t="shared" si="17"/>
        <v/>
      </c>
    </row>
    <row r="526" spans="16:146" x14ac:dyDescent="0.25">
      <c r="P526" s="33" t="str" cm="1">
        <f t="array" ref="P526">IFERROR(SUM(VALUE(_xlfn.TEXTSPLIT(O526, ";"))), "")</f>
        <v/>
      </c>
      <c r="DO526" t="str">
        <f t="shared" si="16"/>
        <v/>
      </c>
      <c r="EG526" s="33" t="str">
        <f>IF(NOT(ISBLANK($B526)),VLOOKUP($B526,AssetCategories!$A:$E,5,0),"")</f>
        <v/>
      </c>
      <c r="EH526" t="str">
        <f>IF(NOT(ISBLANK($B526)),VLOOKUP($B526,AssetCategories!$A:$E,4,0),"")</f>
        <v/>
      </c>
      <c r="EM526" t="str">
        <f>IF(NOT(ISBLANK($B526)),VLOOKUP($B526,AssetCategories!$A:$E,2,0),"")</f>
        <v/>
      </c>
      <c r="EN526" t="str">
        <f>IF(NOT(ISBLANK($B526)),VLOOKUP($B526,AssetCategories!$A:$E,3,0),"")</f>
        <v/>
      </c>
      <c r="EP526" s="33" t="str">
        <f t="shared" si="17"/>
        <v/>
      </c>
    </row>
    <row r="527" spans="16:146" x14ac:dyDescent="0.25">
      <c r="P527" s="33" t="str" cm="1">
        <f t="array" ref="P527">IFERROR(SUM(VALUE(_xlfn.TEXTSPLIT(O527, ";"))), "")</f>
        <v/>
      </c>
      <c r="DO527" t="str">
        <f t="shared" si="16"/>
        <v/>
      </c>
      <c r="EG527" s="33" t="str">
        <f>IF(NOT(ISBLANK($B527)),VLOOKUP($B527,AssetCategories!$A:$E,5,0),"")</f>
        <v/>
      </c>
      <c r="EH527" t="str">
        <f>IF(NOT(ISBLANK($B527)),VLOOKUP($B527,AssetCategories!$A:$E,4,0),"")</f>
        <v/>
      </c>
      <c r="EM527" t="str">
        <f>IF(NOT(ISBLANK($B527)),VLOOKUP($B527,AssetCategories!$A:$E,2,0),"")</f>
        <v/>
      </c>
      <c r="EN527" t="str">
        <f>IF(NOT(ISBLANK($B527)),VLOOKUP($B527,AssetCategories!$A:$E,3,0),"")</f>
        <v/>
      </c>
      <c r="EP527" s="33" t="str">
        <f t="shared" si="17"/>
        <v/>
      </c>
    </row>
    <row r="528" spans="16:146" x14ac:dyDescent="0.25">
      <c r="P528" s="33" t="str" cm="1">
        <f t="array" ref="P528">IFERROR(SUM(VALUE(_xlfn.TEXTSPLIT(O528, ";"))), "")</f>
        <v/>
      </c>
      <c r="DO528" t="str">
        <f t="shared" si="16"/>
        <v/>
      </c>
      <c r="EG528" s="33" t="str">
        <f>IF(NOT(ISBLANK($B528)),VLOOKUP($B528,AssetCategories!$A:$E,5,0),"")</f>
        <v/>
      </c>
      <c r="EH528" t="str">
        <f>IF(NOT(ISBLANK($B528)),VLOOKUP($B528,AssetCategories!$A:$E,4,0),"")</f>
        <v/>
      </c>
      <c r="EM528" t="str">
        <f>IF(NOT(ISBLANK($B528)),VLOOKUP($B528,AssetCategories!$A:$E,2,0),"")</f>
        <v/>
      </c>
      <c r="EN528" t="str">
        <f>IF(NOT(ISBLANK($B528)),VLOOKUP($B528,AssetCategories!$A:$E,3,0),"")</f>
        <v/>
      </c>
      <c r="EP528" s="33" t="str">
        <f t="shared" si="17"/>
        <v/>
      </c>
    </row>
    <row r="529" spans="16:146" x14ac:dyDescent="0.25">
      <c r="P529" s="33" t="str" cm="1">
        <f t="array" ref="P529">IFERROR(SUM(VALUE(_xlfn.TEXTSPLIT(O529, ";"))), "")</f>
        <v/>
      </c>
      <c r="DO529" t="str">
        <f t="shared" si="16"/>
        <v/>
      </c>
      <c r="EG529" s="33" t="str">
        <f>IF(NOT(ISBLANK($B529)),VLOOKUP($B529,AssetCategories!$A:$E,5,0),"")</f>
        <v/>
      </c>
      <c r="EH529" t="str">
        <f>IF(NOT(ISBLANK($B529)),VLOOKUP($B529,AssetCategories!$A:$E,4,0),"")</f>
        <v/>
      </c>
      <c r="EM529" t="str">
        <f>IF(NOT(ISBLANK($B529)),VLOOKUP($B529,AssetCategories!$A:$E,2,0),"")</f>
        <v/>
      </c>
      <c r="EN529" t="str">
        <f>IF(NOT(ISBLANK($B529)),VLOOKUP($B529,AssetCategories!$A:$E,3,0),"")</f>
        <v/>
      </c>
      <c r="EP529" s="33" t="str">
        <f t="shared" si="17"/>
        <v/>
      </c>
    </row>
    <row r="530" spans="16:146" x14ac:dyDescent="0.25">
      <c r="P530" s="33" t="str" cm="1">
        <f t="array" ref="P530">IFERROR(SUM(VALUE(_xlfn.TEXTSPLIT(O530, ";"))), "")</f>
        <v/>
      </c>
      <c r="DO530" t="str">
        <f t="shared" si="16"/>
        <v/>
      </c>
      <c r="EG530" s="33" t="str">
        <f>IF(NOT(ISBLANK($B530)),VLOOKUP($B530,AssetCategories!$A:$E,5,0),"")</f>
        <v/>
      </c>
      <c r="EH530" t="str">
        <f>IF(NOT(ISBLANK($B530)),VLOOKUP($B530,AssetCategories!$A:$E,4,0),"")</f>
        <v/>
      </c>
      <c r="EM530" t="str">
        <f>IF(NOT(ISBLANK($B530)),VLOOKUP($B530,AssetCategories!$A:$E,2,0),"")</f>
        <v/>
      </c>
      <c r="EN530" t="str">
        <f>IF(NOT(ISBLANK($B530)),VLOOKUP($B530,AssetCategories!$A:$E,3,0),"")</f>
        <v/>
      </c>
      <c r="EP530" s="33" t="str">
        <f t="shared" si="17"/>
        <v/>
      </c>
    </row>
    <row r="531" spans="16:146" x14ac:dyDescent="0.25">
      <c r="P531" s="33" t="str" cm="1">
        <f t="array" ref="P531">IFERROR(SUM(VALUE(_xlfn.TEXTSPLIT(O531, ";"))), "")</f>
        <v/>
      </c>
      <c r="DO531" t="str">
        <f t="shared" si="16"/>
        <v/>
      </c>
      <c r="EG531" s="33" t="str">
        <f>IF(NOT(ISBLANK($B531)),VLOOKUP($B531,AssetCategories!$A:$E,5,0),"")</f>
        <v/>
      </c>
      <c r="EH531" t="str">
        <f>IF(NOT(ISBLANK($B531)),VLOOKUP($B531,AssetCategories!$A:$E,4,0),"")</f>
        <v/>
      </c>
      <c r="EM531" t="str">
        <f>IF(NOT(ISBLANK($B531)),VLOOKUP($B531,AssetCategories!$A:$E,2,0),"")</f>
        <v/>
      </c>
      <c r="EN531" t="str">
        <f>IF(NOT(ISBLANK($B531)),VLOOKUP($B531,AssetCategories!$A:$E,3,0),"")</f>
        <v/>
      </c>
      <c r="EP531" s="33" t="str">
        <f t="shared" si="17"/>
        <v/>
      </c>
    </row>
    <row r="532" spans="16:146" x14ac:dyDescent="0.25">
      <c r="P532" s="33" t="str" cm="1">
        <f t="array" ref="P532">IFERROR(SUM(VALUE(_xlfn.TEXTSPLIT(O532, ";"))), "")</f>
        <v/>
      </c>
      <c r="DO532" t="str">
        <f t="shared" si="16"/>
        <v/>
      </c>
      <c r="EG532" s="33" t="str">
        <f>IF(NOT(ISBLANK($B532)),VLOOKUP($B532,AssetCategories!$A:$E,5,0),"")</f>
        <v/>
      </c>
      <c r="EH532" t="str">
        <f>IF(NOT(ISBLANK($B532)),VLOOKUP($B532,AssetCategories!$A:$E,4,0),"")</f>
        <v/>
      </c>
      <c r="EM532" t="str">
        <f>IF(NOT(ISBLANK($B532)),VLOOKUP($B532,AssetCategories!$A:$E,2,0),"")</f>
        <v/>
      </c>
      <c r="EN532" t="str">
        <f>IF(NOT(ISBLANK($B532)),VLOOKUP($B532,AssetCategories!$A:$E,3,0),"")</f>
        <v/>
      </c>
      <c r="EP532" s="33" t="str">
        <f t="shared" si="17"/>
        <v/>
      </c>
    </row>
    <row r="533" spans="16:146" x14ac:dyDescent="0.25">
      <c r="P533" s="33" t="str" cm="1">
        <f t="array" ref="P533">IFERROR(SUM(VALUE(_xlfn.TEXTSPLIT(O533, ";"))), "")</f>
        <v/>
      </c>
      <c r="DO533" t="str">
        <f t="shared" si="16"/>
        <v/>
      </c>
      <c r="EG533" s="33" t="str">
        <f>IF(NOT(ISBLANK($B533)),VLOOKUP($B533,AssetCategories!$A:$E,5,0),"")</f>
        <v/>
      </c>
      <c r="EH533" t="str">
        <f>IF(NOT(ISBLANK($B533)),VLOOKUP($B533,AssetCategories!$A:$E,4,0),"")</f>
        <v/>
      </c>
      <c r="EM533" t="str">
        <f>IF(NOT(ISBLANK($B533)),VLOOKUP($B533,AssetCategories!$A:$E,2,0),"")</f>
        <v/>
      </c>
      <c r="EN533" t="str">
        <f>IF(NOT(ISBLANK($B533)),VLOOKUP($B533,AssetCategories!$A:$E,3,0),"")</f>
        <v/>
      </c>
      <c r="EP533" s="33" t="str">
        <f t="shared" si="17"/>
        <v/>
      </c>
    </row>
    <row r="534" spans="16:146" x14ac:dyDescent="0.25">
      <c r="P534" s="33" t="str" cm="1">
        <f t="array" ref="P534">IFERROR(SUM(VALUE(_xlfn.TEXTSPLIT(O534, ";"))), "")</f>
        <v/>
      </c>
      <c r="DO534" t="str">
        <f t="shared" si="16"/>
        <v/>
      </c>
      <c r="EG534" s="33" t="str">
        <f>IF(NOT(ISBLANK($B534)),VLOOKUP($B534,AssetCategories!$A:$E,5,0),"")</f>
        <v/>
      </c>
      <c r="EH534" t="str">
        <f>IF(NOT(ISBLANK($B534)),VLOOKUP($B534,AssetCategories!$A:$E,4,0),"")</f>
        <v/>
      </c>
      <c r="EM534" t="str">
        <f>IF(NOT(ISBLANK($B534)),VLOOKUP($B534,AssetCategories!$A:$E,2,0),"")</f>
        <v/>
      </c>
      <c r="EN534" t="str">
        <f>IF(NOT(ISBLANK($B534)),VLOOKUP($B534,AssetCategories!$A:$E,3,0),"")</f>
        <v/>
      </c>
      <c r="EP534" s="33" t="str">
        <f t="shared" si="17"/>
        <v/>
      </c>
    </row>
    <row r="535" spans="16:146" x14ac:dyDescent="0.25">
      <c r="P535" s="33" t="str" cm="1">
        <f t="array" ref="P535">IFERROR(SUM(VALUE(_xlfn.TEXTSPLIT(O535, ";"))), "")</f>
        <v/>
      </c>
      <c r="DO535" t="str">
        <f t="shared" si="16"/>
        <v/>
      </c>
      <c r="EG535" s="33" t="str">
        <f>IF(NOT(ISBLANK($B535)),VLOOKUP($B535,AssetCategories!$A:$E,5,0),"")</f>
        <v/>
      </c>
      <c r="EH535" t="str">
        <f>IF(NOT(ISBLANK($B535)),VLOOKUP($B535,AssetCategories!$A:$E,4,0),"")</f>
        <v/>
      </c>
      <c r="EM535" t="str">
        <f>IF(NOT(ISBLANK($B535)),VLOOKUP($B535,AssetCategories!$A:$E,2,0),"")</f>
        <v/>
      </c>
      <c r="EN535" t="str">
        <f>IF(NOT(ISBLANK($B535)),VLOOKUP($B535,AssetCategories!$A:$E,3,0),"")</f>
        <v/>
      </c>
      <c r="EP535" s="33" t="str">
        <f t="shared" si="17"/>
        <v/>
      </c>
    </row>
    <row r="536" spans="16:146" x14ac:dyDescent="0.25">
      <c r="P536" s="33" t="str" cm="1">
        <f t="array" ref="P536">IFERROR(SUM(VALUE(_xlfn.TEXTSPLIT(O536, ";"))), "")</f>
        <v/>
      </c>
      <c r="DO536" t="str">
        <f t="shared" si="16"/>
        <v/>
      </c>
      <c r="EG536" s="33" t="str">
        <f>IF(NOT(ISBLANK($B536)),VLOOKUP($B536,AssetCategories!$A:$E,5,0),"")</f>
        <v/>
      </c>
      <c r="EH536" t="str">
        <f>IF(NOT(ISBLANK($B536)),VLOOKUP($B536,AssetCategories!$A:$E,4,0),"")</f>
        <v/>
      </c>
      <c r="EM536" t="str">
        <f>IF(NOT(ISBLANK($B536)),VLOOKUP($B536,AssetCategories!$A:$E,2,0),"")</f>
        <v/>
      </c>
      <c r="EN536" t="str">
        <f>IF(NOT(ISBLANK($B536)),VLOOKUP($B536,AssetCategories!$A:$E,3,0),"")</f>
        <v/>
      </c>
      <c r="EP536" s="33" t="str">
        <f t="shared" si="17"/>
        <v/>
      </c>
    </row>
    <row r="537" spans="16:146" x14ac:dyDescent="0.25">
      <c r="P537" s="33" t="str" cm="1">
        <f t="array" ref="P537">IFERROR(SUM(VALUE(_xlfn.TEXTSPLIT(O537, ";"))), "")</f>
        <v/>
      </c>
      <c r="DO537" t="str">
        <f t="shared" si="16"/>
        <v/>
      </c>
      <c r="EG537" s="33" t="str">
        <f>IF(NOT(ISBLANK($B537)),VLOOKUP($B537,AssetCategories!$A:$E,5,0),"")</f>
        <v/>
      </c>
      <c r="EH537" t="str">
        <f>IF(NOT(ISBLANK($B537)),VLOOKUP($B537,AssetCategories!$A:$E,4,0),"")</f>
        <v/>
      </c>
      <c r="EM537" t="str">
        <f>IF(NOT(ISBLANK($B537)),VLOOKUP($B537,AssetCategories!$A:$E,2,0),"")</f>
        <v/>
      </c>
      <c r="EN537" t="str">
        <f>IF(NOT(ISBLANK($B537)),VLOOKUP($B537,AssetCategories!$A:$E,3,0),"")</f>
        <v/>
      </c>
      <c r="EP537" s="33" t="str">
        <f t="shared" si="17"/>
        <v/>
      </c>
    </row>
    <row r="538" spans="16:146" x14ac:dyDescent="0.25">
      <c r="P538" s="33" t="str" cm="1">
        <f t="array" ref="P538">IFERROR(SUM(VALUE(_xlfn.TEXTSPLIT(O538, ";"))), "")</f>
        <v/>
      </c>
      <c r="DO538" t="str">
        <f t="shared" si="16"/>
        <v/>
      </c>
      <c r="EG538" s="33" t="str">
        <f>IF(NOT(ISBLANK($B538)),VLOOKUP($B538,AssetCategories!$A:$E,5,0),"")</f>
        <v/>
      </c>
      <c r="EH538" t="str">
        <f>IF(NOT(ISBLANK($B538)),VLOOKUP($B538,AssetCategories!$A:$E,4,0),"")</f>
        <v/>
      </c>
      <c r="EM538" t="str">
        <f>IF(NOT(ISBLANK($B538)),VLOOKUP($B538,AssetCategories!$A:$E,2,0),"")</f>
        <v/>
      </c>
      <c r="EN538" t="str">
        <f>IF(NOT(ISBLANK($B538)),VLOOKUP($B538,AssetCategories!$A:$E,3,0),"")</f>
        <v/>
      </c>
      <c r="EP538" s="33" t="str">
        <f t="shared" si="17"/>
        <v/>
      </c>
    </row>
    <row r="539" spans="16:146" x14ac:dyDescent="0.25">
      <c r="P539" s="33" t="str" cm="1">
        <f t="array" ref="P539">IFERROR(SUM(VALUE(_xlfn.TEXTSPLIT(O539, ";"))), "")</f>
        <v/>
      </c>
      <c r="DO539" t="str">
        <f t="shared" si="16"/>
        <v/>
      </c>
      <c r="EG539" s="33" t="str">
        <f>IF(NOT(ISBLANK($B539)),VLOOKUP($B539,AssetCategories!$A:$E,5,0),"")</f>
        <v/>
      </c>
      <c r="EH539" t="str">
        <f>IF(NOT(ISBLANK($B539)),VLOOKUP($B539,AssetCategories!$A:$E,4,0),"")</f>
        <v/>
      </c>
      <c r="EM539" t="str">
        <f>IF(NOT(ISBLANK($B539)),VLOOKUP($B539,AssetCategories!$A:$E,2,0),"")</f>
        <v/>
      </c>
      <c r="EN539" t="str">
        <f>IF(NOT(ISBLANK($B539)),VLOOKUP($B539,AssetCategories!$A:$E,3,0),"")</f>
        <v/>
      </c>
      <c r="EP539" s="33" t="str">
        <f t="shared" si="17"/>
        <v/>
      </c>
    </row>
    <row r="540" spans="16:146" x14ac:dyDescent="0.25">
      <c r="P540" s="33" t="str" cm="1">
        <f t="array" ref="P540">IFERROR(SUM(VALUE(_xlfn.TEXTSPLIT(O540, ";"))), "")</f>
        <v/>
      </c>
      <c r="DO540" t="str">
        <f t="shared" si="16"/>
        <v/>
      </c>
      <c r="EG540" s="33" t="str">
        <f>IF(NOT(ISBLANK($B540)),VLOOKUP($B540,AssetCategories!$A:$E,5,0),"")</f>
        <v/>
      </c>
      <c r="EH540" t="str">
        <f>IF(NOT(ISBLANK($B540)),VLOOKUP($B540,AssetCategories!$A:$E,4,0),"")</f>
        <v/>
      </c>
      <c r="EM540" t="str">
        <f>IF(NOT(ISBLANK($B540)),VLOOKUP($B540,AssetCategories!$A:$E,2,0),"")</f>
        <v/>
      </c>
      <c r="EN540" t="str">
        <f>IF(NOT(ISBLANK($B540)),VLOOKUP($B540,AssetCategories!$A:$E,3,0),"")</f>
        <v/>
      </c>
      <c r="EP540" s="33" t="str">
        <f t="shared" si="17"/>
        <v/>
      </c>
    </row>
    <row r="541" spans="16:146" x14ac:dyDescent="0.25">
      <c r="P541" s="33" t="str" cm="1">
        <f t="array" ref="P541">IFERROR(SUM(VALUE(_xlfn.TEXTSPLIT(O541, ";"))), "")</f>
        <v/>
      </c>
      <c r="DO541" t="str">
        <f t="shared" si="16"/>
        <v/>
      </c>
      <c r="EG541" s="33" t="str">
        <f>IF(NOT(ISBLANK($B541)),VLOOKUP($B541,AssetCategories!$A:$E,5,0),"")</f>
        <v/>
      </c>
      <c r="EH541" t="str">
        <f>IF(NOT(ISBLANK($B541)),VLOOKUP($B541,AssetCategories!$A:$E,4,0),"")</f>
        <v/>
      </c>
      <c r="EM541" t="str">
        <f>IF(NOT(ISBLANK($B541)),VLOOKUP($B541,AssetCategories!$A:$E,2,0),"")</f>
        <v/>
      </c>
      <c r="EN541" t="str">
        <f>IF(NOT(ISBLANK($B541)),VLOOKUP($B541,AssetCategories!$A:$E,3,0),"")</f>
        <v/>
      </c>
      <c r="EP541" s="33" t="str">
        <f t="shared" si="17"/>
        <v/>
      </c>
    </row>
    <row r="542" spans="16:146" x14ac:dyDescent="0.25">
      <c r="P542" s="33" t="str" cm="1">
        <f t="array" ref="P542">IFERROR(SUM(VALUE(_xlfn.TEXTSPLIT(O542, ";"))), "")</f>
        <v/>
      </c>
      <c r="DO542" t="str">
        <f t="shared" si="16"/>
        <v/>
      </c>
      <c r="EG542" s="33" t="str">
        <f>IF(NOT(ISBLANK($B542)),VLOOKUP($B542,AssetCategories!$A:$E,5,0),"")</f>
        <v/>
      </c>
      <c r="EH542" t="str">
        <f>IF(NOT(ISBLANK($B542)),VLOOKUP($B542,AssetCategories!$A:$E,4,0),"")</f>
        <v/>
      </c>
      <c r="EM542" t="str">
        <f>IF(NOT(ISBLANK($B542)),VLOOKUP($B542,AssetCategories!$A:$E,2,0),"")</f>
        <v/>
      </c>
      <c r="EN542" t="str">
        <f>IF(NOT(ISBLANK($B542)),VLOOKUP($B542,AssetCategories!$A:$E,3,0),"")</f>
        <v/>
      </c>
      <c r="EP542" s="33" t="str">
        <f t="shared" si="17"/>
        <v/>
      </c>
    </row>
    <row r="543" spans="16:146" x14ac:dyDescent="0.25">
      <c r="P543" s="33" t="str" cm="1">
        <f t="array" ref="P543">IFERROR(SUM(VALUE(_xlfn.TEXTSPLIT(O543, ";"))), "")</f>
        <v/>
      </c>
      <c r="DO543" t="str">
        <f t="shared" si="16"/>
        <v/>
      </c>
      <c r="EG543" s="33" t="str">
        <f>IF(NOT(ISBLANK($B543)),VLOOKUP($B543,AssetCategories!$A:$E,5,0),"")</f>
        <v/>
      </c>
      <c r="EH543" t="str">
        <f>IF(NOT(ISBLANK($B543)),VLOOKUP($B543,AssetCategories!$A:$E,4,0),"")</f>
        <v/>
      </c>
      <c r="EM543" t="str">
        <f>IF(NOT(ISBLANK($B543)),VLOOKUP($B543,AssetCategories!$A:$E,2,0),"")</f>
        <v/>
      </c>
      <c r="EN543" t="str">
        <f>IF(NOT(ISBLANK($B543)),VLOOKUP($B543,AssetCategories!$A:$E,3,0),"")</f>
        <v/>
      </c>
      <c r="EP543" s="33" t="str">
        <f t="shared" si="17"/>
        <v/>
      </c>
    </row>
    <row r="544" spans="16:146" x14ac:dyDescent="0.25">
      <c r="P544" s="33" t="str" cm="1">
        <f t="array" ref="P544">IFERROR(SUM(VALUE(_xlfn.TEXTSPLIT(O544, ";"))), "")</f>
        <v/>
      </c>
      <c r="DO544" t="str">
        <f t="shared" si="16"/>
        <v/>
      </c>
      <c r="EG544" s="33" t="str">
        <f>IF(NOT(ISBLANK($B544)),VLOOKUP($B544,AssetCategories!$A:$E,5,0),"")</f>
        <v/>
      </c>
      <c r="EH544" t="str">
        <f>IF(NOT(ISBLANK($B544)),VLOOKUP($B544,AssetCategories!$A:$E,4,0),"")</f>
        <v/>
      </c>
      <c r="EM544" t="str">
        <f>IF(NOT(ISBLANK($B544)),VLOOKUP($B544,AssetCategories!$A:$E,2,0),"")</f>
        <v/>
      </c>
      <c r="EN544" t="str">
        <f>IF(NOT(ISBLANK($B544)),VLOOKUP($B544,AssetCategories!$A:$E,3,0),"")</f>
        <v/>
      </c>
      <c r="EP544" s="33" t="str">
        <f t="shared" si="17"/>
        <v/>
      </c>
    </row>
    <row r="545" spans="16:146" x14ac:dyDescent="0.25">
      <c r="P545" s="33" t="str" cm="1">
        <f t="array" ref="P545">IFERROR(SUM(VALUE(_xlfn.TEXTSPLIT(O545, ";"))), "")</f>
        <v/>
      </c>
      <c r="DO545" t="str">
        <f t="shared" si="16"/>
        <v/>
      </c>
      <c r="EG545" s="33" t="str">
        <f>IF(NOT(ISBLANK($B545)),VLOOKUP($B545,AssetCategories!$A:$E,5,0),"")</f>
        <v/>
      </c>
      <c r="EH545" t="str">
        <f>IF(NOT(ISBLANK($B545)),VLOOKUP($B545,AssetCategories!$A:$E,4,0),"")</f>
        <v/>
      </c>
      <c r="EM545" t="str">
        <f>IF(NOT(ISBLANK($B545)),VLOOKUP($B545,AssetCategories!$A:$E,2,0),"")</f>
        <v/>
      </c>
      <c r="EN545" t="str">
        <f>IF(NOT(ISBLANK($B545)),VLOOKUP($B545,AssetCategories!$A:$E,3,0),"")</f>
        <v/>
      </c>
      <c r="EP545" s="33" t="str">
        <f t="shared" si="17"/>
        <v/>
      </c>
    </row>
    <row r="546" spans="16:146" x14ac:dyDescent="0.25">
      <c r="P546" s="33" t="str" cm="1">
        <f t="array" ref="P546">IFERROR(SUM(VALUE(_xlfn.TEXTSPLIT(O546, ";"))), "")</f>
        <v/>
      </c>
      <c r="DO546" t="str">
        <f t="shared" si="16"/>
        <v/>
      </c>
      <c r="EG546" s="33" t="str">
        <f>IF(NOT(ISBLANK($B546)),VLOOKUP($B546,AssetCategories!$A:$E,5,0),"")</f>
        <v/>
      </c>
      <c r="EH546" t="str">
        <f>IF(NOT(ISBLANK($B546)),VLOOKUP($B546,AssetCategories!$A:$E,4,0),"")</f>
        <v/>
      </c>
      <c r="EM546" t="str">
        <f>IF(NOT(ISBLANK($B546)),VLOOKUP($B546,AssetCategories!$A:$E,2,0),"")</f>
        <v/>
      </c>
      <c r="EN546" t="str">
        <f>IF(NOT(ISBLANK($B546)),VLOOKUP($B546,AssetCategories!$A:$E,3,0),"")</f>
        <v/>
      </c>
      <c r="EP546" s="33" t="str">
        <f t="shared" si="17"/>
        <v/>
      </c>
    </row>
    <row r="547" spans="16:146" x14ac:dyDescent="0.25">
      <c r="P547" s="33" t="str" cm="1">
        <f t="array" ref="P547">IFERROR(SUM(VALUE(_xlfn.TEXTSPLIT(O547, ";"))), "")</f>
        <v/>
      </c>
      <c r="DO547" t="str">
        <f t="shared" si="16"/>
        <v/>
      </c>
      <c r="EG547" s="33" t="str">
        <f>IF(NOT(ISBLANK($B547)),VLOOKUP($B547,AssetCategories!$A:$E,5,0),"")</f>
        <v/>
      </c>
      <c r="EH547" t="str">
        <f>IF(NOT(ISBLANK($B547)),VLOOKUP($B547,AssetCategories!$A:$E,4,0),"")</f>
        <v/>
      </c>
      <c r="EM547" t="str">
        <f>IF(NOT(ISBLANK($B547)),VLOOKUP($B547,AssetCategories!$A:$E,2,0),"")</f>
        <v/>
      </c>
      <c r="EN547" t="str">
        <f>IF(NOT(ISBLANK($B547)),VLOOKUP($B547,AssetCategories!$A:$E,3,0),"")</f>
        <v/>
      </c>
      <c r="EP547" s="33" t="str">
        <f t="shared" si="17"/>
        <v/>
      </c>
    </row>
    <row r="548" spans="16:146" x14ac:dyDescent="0.25">
      <c r="P548" s="33" t="str" cm="1">
        <f t="array" ref="P548">IFERROR(SUM(VALUE(_xlfn.TEXTSPLIT(O548, ";"))), "")</f>
        <v/>
      </c>
      <c r="DO548" t="str">
        <f t="shared" si="16"/>
        <v/>
      </c>
      <c r="EG548" s="33" t="str">
        <f>IF(NOT(ISBLANK($B548)),VLOOKUP($B548,AssetCategories!$A:$E,5,0),"")</f>
        <v/>
      </c>
      <c r="EH548" t="str">
        <f>IF(NOT(ISBLANK($B548)),VLOOKUP($B548,AssetCategories!$A:$E,4,0),"")</f>
        <v/>
      </c>
      <c r="EM548" t="str">
        <f>IF(NOT(ISBLANK($B548)),VLOOKUP($B548,AssetCategories!$A:$E,2,0),"")</f>
        <v/>
      </c>
      <c r="EN548" t="str">
        <f>IF(NOT(ISBLANK($B548)),VLOOKUP($B548,AssetCategories!$A:$E,3,0),"")</f>
        <v/>
      </c>
      <c r="EP548" s="33" t="str">
        <f t="shared" si="17"/>
        <v/>
      </c>
    </row>
    <row r="549" spans="16:146" x14ac:dyDescent="0.25">
      <c r="P549" s="33" t="str" cm="1">
        <f t="array" ref="P549">IFERROR(SUM(VALUE(_xlfn.TEXTSPLIT(O549, ";"))), "")</f>
        <v/>
      </c>
      <c r="DO549" t="str">
        <f t="shared" si="16"/>
        <v/>
      </c>
      <c r="EG549" s="33" t="str">
        <f>IF(NOT(ISBLANK($B549)),VLOOKUP($B549,AssetCategories!$A:$E,5,0),"")</f>
        <v/>
      </c>
      <c r="EH549" t="str">
        <f>IF(NOT(ISBLANK($B549)),VLOOKUP($B549,AssetCategories!$A:$E,4,0),"")</f>
        <v/>
      </c>
      <c r="EM549" t="str">
        <f>IF(NOT(ISBLANK($B549)),VLOOKUP($B549,AssetCategories!$A:$E,2,0),"")</f>
        <v/>
      </c>
      <c r="EN549" t="str">
        <f>IF(NOT(ISBLANK($B549)),VLOOKUP($B549,AssetCategories!$A:$E,3,0),"")</f>
        <v/>
      </c>
      <c r="EP549" s="33" t="str">
        <f t="shared" si="17"/>
        <v/>
      </c>
    </row>
    <row r="550" spans="16:146" x14ac:dyDescent="0.25">
      <c r="P550" s="33" t="str" cm="1">
        <f t="array" ref="P550">IFERROR(SUM(VALUE(_xlfn.TEXTSPLIT(O550, ";"))), "")</f>
        <v/>
      </c>
      <c r="DO550" t="str">
        <f t="shared" si="16"/>
        <v/>
      </c>
      <c r="EG550" s="33" t="str">
        <f>IF(NOT(ISBLANK($B550)),VLOOKUP($B550,AssetCategories!$A:$E,5,0),"")</f>
        <v/>
      </c>
      <c r="EH550" t="str">
        <f>IF(NOT(ISBLANK($B550)),VLOOKUP($B550,AssetCategories!$A:$E,4,0),"")</f>
        <v/>
      </c>
      <c r="EM550" t="str">
        <f>IF(NOT(ISBLANK($B550)),VLOOKUP($B550,AssetCategories!$A:$E,2,0),"")</f>
        <v/>
      </c>
      <c r="EN550" t="str">
        <f>IF(NOT(ISBLANK($B550)),VLOOKUP($B550,AssetCategories!$A:$E,3,0),"")</f>
        <v/>
      </c>
      <c r="EP550" s="33" t="str">
        <f t="shared" si="17"/>
        <v/>
      </c>
    </row>
    <row r="551" spans="16:146" x14ac:dyDescent="0.25">
      <c r="P551" s="33" t="str" cm="1">
        <f t="array" ref="P551">IFERROR(SUM(VALUE(_xlfn.TEXTSPLIT(O551, ";"))), "")</f>
        <v/>
      </c>
      <c r="DO551" t="str">
        <f t="shared" si="16"/>
        <v/>
      </c>
      <c r="EG551" s="33" t="str">
        <f>IF(NOT(ISBLANK($B551)),VLOOKUP($B551,AssetCategories!$A:$E,5,0),"")</f>
        <v/>
      </c>
      <c r="EH551" t="str">
        <f>IF(NOT(ISBLANK($B551)),VLOOKUP($B551,AssetCategories!$A:$E,4,0),"")</f>
        <v/>
      </c>
      <c r="EM551" t="str">
        <f>IF(NOT(ISBLANK($B551)),VLOOKUP($B551,AssetCategories!$A:$E,2,0),"")</f>
        <v/>
      </c>
      <c r="EN551" t="str">
        <f>IF(NOT(ISBLANK($B551)),VLOOKUP($B551,AssetCategories!$A:$E,3,0),"")</f>
        <v/>
      </c>
      <c r="EP551" s="33" t="str">
        <f t="shared" si="17"/>
        <v/>
      </c>
    </row>
    <row r="552" spans="16:146" x14ac:dyDescent="0.25">
      <c r="P552" s="33" t="str" cm="1">
        <f t="array" ref="P552">IFERROR(SUM(VALUE(_xlfn.TEXTSPLIT(O552, ";"))), "")</f>
        <v/>
      </c>
      <c r="DO552" t="str">
        <f t="shared" si="16"/>
        <v/>
      </c>
      <c r="EG552" s="33" t="str">
        <f>IF(NOT(ISBLANK($B552)),VLOOKUP($B552,AssetCategories!$A:$E,5,0),"")</f>
        <v/>
      </c>
      <c r="EH552" t="str">
        <f>IF(NOT(ISBLANK($B552)),VLOOKUP($B552,AssetCategories!$A:$E,4,0),"")</f>
        <v/>
      </c>
      <c r="EM552" t="str">
        <f>IF(NOT(ISBLANK($B552)),VLOOKUP($B552,AssetCategories!$A:$E,2,0),"")</f>
        <v/>
      </c>
      <c r="EN552" t="str">
        <f>IF(NOT(ISBLANK($B552)),VLOOKUP($B552,AssetCategories!$A:$E,3,0),"")</f>
        <v/>
      </c>
      <c r="EP552" s="33" t="str">
        <f t="shared" si="17"/>
        <v/>
      </c>
    </row>
    <row r="553" spans="16:146" x14ac:dyDescent="0.25">
      <c r="P553" s="33" t="str" cm="1">
        <f t="array" ref="P553">IFERROR(SUM(VALUE(_xlfn.TEXTSPLIT(O553, ";"))), "")</f>
        <v/>
      </c>
      <c r="DO553" t="str">
        <f t="shared" si="16"/>
        <v/>
      </c>
      <c r="EG553" s="33" t="str">
        <f>IF(NOT(ISBLANK($B553)),VLOOKUP($B553,AssetCategories!$A:$E,5,0),"")</f>
        <v/>
      </c>
      <c r="EH553" t="str">
        <f>IF(NOT(ISBLANK($B553)),VLOOKUP($B553,AssetCategories!$A:$E,4,0),"")</f>
        <v/>
      </c>
      <c r="EM553" t="str">
        <f>IF(NOT(ISBLANK($B553)),VLOOKUP($B553,AssetCategories!$A:$E,2,0),"")</f>
        <v/>
      </c>
      <c r="EN553" t="str">
        <f>IF(NOT(ISBLANK($B553)),VLOOKUP($B553,AssetCategories!$A:$E,3,0),"")</f>
        <v/>
      </c>
      <c r="EP553" s="33" t="str">
        <f t="shared" si="17"/>
        <v/>
      </c>
    </row>
    <row r="554" spans="16:146" x14ac:dyDescent="0.25">
      <c r="P554" s="33" t="str" cm="1">
        <f t="array" ref="P554">IFERROR(SUM(VALUE(_xlfn.TEXTSPLIT(O554, ";"))), "")</f>
        <v/>
      </c>
      <c r="DO554" t="str">
        <f t="shared" si="16"/>
        <v/>
      </c>
      <c r="EG554" s="33" t="str">
        <f>IF(NOT(ISBLANK($B554)),VLOOKUP($B554,AssetCategories!$A:$E,5,0),"")</f>
        <v/>
      </c>
      <c r="EH554" t="str">
        <f>IF(NOT(ISBLANK($B554)),VLOOKUP($B554,AssetCategories!$A:$E,4,0),"")</f>
        <v/>
      </c>
      <c r="EM554" t="str">
        <f>IF(NOT(ISBLANK($B554)),VLOOKUP($B554,AssetCategories!$A:$E,2,0),"")</f>
        <v/>
      </c>
      <c r="EN554" t="str">
        <f>IF(NOT(ISBLANK($B554)),VLOOKUP($B554,AssetCategories!$A:$E,3,0),"")</f>
        <v/>
      </c>
      <c r="EP554" s="33" t="str">
        <f t="shared" si="17"/>
        <v/>
      </c>
    </row>
    <row r="555" spans="16:146" x14ac:dyDescent="0.25">
      <c r="P555" s="33" t="str" cm="1">
        <f t="array" ref="P555">IFERROR(SUM(VALUE(_xlfn.TEXTSPLIT(O555, ";"))), "")</f>
        <v/>
      </c>
      <c r="DO555" t="str">
        <f t="shared" si="16"/>
        <v/>
      </c>
      <c r="EG555" s="33" t="str">
        <f>IF(NOT(ISBLANK($B555)),VLOOKUP($B555,AssetCategories!$A:$E,5,0),"")</f>
        <v/>
      </c>
      <c r="EH555" t="str">
        <f>IF(NOT(ISBLANK($B555)),VLOOKUP($B555,AssetCategories!$A:$E,4,0),"")</f>
        <v/>
      </c>
      <c r="EM555" t="str">
        <f>IF(NOT(ISBLANK($B555)),VLOOKUP($B555,AssetCategories!$A:$E,2,0),"")</f>
        <v/>
      </c>
      <c r="EN555" t="str">
        <f>IF(NOT(ISBLANK($B555)),VLOOKUP($B555,AssetCategories!$A:$E,3,0),"")</f>
        <v/>
      </c>
      <c r="EP555" s="33" t="str">
        <f t="shared" si="17"/>
        <v/>
      </c>
    </row>
    <row r="556" spans="16:146" x14ac:dyDescent="0.25">
      <c r="P556" s="33" t="str" cm="1">
        <f t="array" ref="P556">IFERROR(SUM(VALUE(_xlfn.TEXTSPLIT(O556, ";"))), "")</f>
        <v/>
      </c>
      <c r="DO556" t="str">
        <f t="shared" si="16"/>
        <v/>
      </c>
      <c r="EG556" s="33" t="str">
        <f>IF(NOT(ISBLANK($B556)),VLOOKUP($B556,AssetCategories!$A:$E,5,0),"")</f>
        <v/>
      </c>
      <c r="EH556" t="str">
        <f>IF(NOT(ISBLANK($B556)),VLOOKUP($B556,AssetCategories!$A:$E,4,0),"")</f>
        <v/>
      </c>
      <c r="EM556" t="str">
        <f>IF(NOT(ISBLANK($B556)),VLOOKUP($B556,AssetCategories!$A:$E,2,0),"")</f>
        <v/>
      </c>
      <c r="EN556" t="str">
        <f>IF(NOT(ISBLANK($B556)),VLOOKUP($B556,AssetCategories!$A:$E,3,0),"")</f>
        <v/>
      </c>
      <c r="EP556" s="33" t="str">
        <f t="shared" si="17"/>
        <v/>
      </c>
    </row>
    <row r="557" spans="16:146" x14ac:dyDescent="0.25">
      <c r="P557" s="33" t="str" cm="1">
        <f t="array" ref="P557">IFERROR(SUM(VALUE(_xlfn.TEXTSPLIT(O557, ";"))), "")</f>
        <v/>
      </c>
      <c r="DO557" t="str">
        <f t="shared" si="16"/>
        <v/>
      </c>
      <c r="EG557" s="33" t="str">
        <f>IF(NOT(ISBLANK($B557)),VLOOKUP($B557,AssetCategories!$A:$E,5,0),"")</f>
        <v/>
      </c>
      <c r="EH557" t="str">
        <f>IF(NOT(ISBLANK($B557)),VLOOKUP($B557,AssetCategories!$A:$E,4,0),"")</f>
        <v/>
      </c>
      <c r="EM557" t="str">
        <f>IF(NOT(ISBLANK($B557)),VLOOKUP($B557,AssetCategories!$A:$E,2,0),"")</f>
        <v/>
      </c>
      <c r="EN557" t="str">
        <f>IF(NOT(ISBLANK($B557)),VLOOKUP($B557,AssetCategories!$A:$E,3,0),"")</f>
        <v/>
      </c>
      <c r="EP557" s="33" t="str">
        <f t="shared" si="17"/>
        <v/>
      </c>
    </row>
    <row r="558" spans="16:146" x14ac:dyDescent="0.25">
      <c r="P558" s="33" t="str" cm="1">
        <f t="array" ref="P558">IFERROR(SUM(VALUE(_xlfn.TEXTSPLIT(O558, ";"))), "")</f>
        <v/>
      </c>
      <c r="DO558" t="str">
        <f t="shared" si="16"/>
        <v/>
      </c>
      <c r="EG558" s="33" t="str">
        <f>IF(NOT(ISBLANK($B558)),VLOOKUP($B558,AssetCategories!$A:$E,5,0),"")</f>
        <v/>
      </c>
      <c r="EH558" t="str">
        <f>IF(NOT(ISBLANK($B558)),VLOOKUP($B558,AssetCategories!$A:$E,4,0),"")</f>
        <v/>
      </c>
      <c r="EM558" t="str">
        <f>IF(NOT(ISBLANK($B558)),VLOOKUP($B558,AssetCategories!$A:$E,2,0),"")</f>
        <v/>
      </c>
      <c r="EN558" t="str">
        <f>IF(NOT(ISBLANK($B558)),VLOOKUP($B558,AssetCategories!$A:$E,3,0),"")</f>
        <v/>
      </c>
      <c r="EP558" s="33" t="str">
        <f t="shared" si="17"/>
        <v/>
      </c>
    </row>
    <row r="559" spans="16:146" x14ac:dyDescent="0.25">
      <c r="P559" s="33" t="str" cm="1">
        <f t="array" ref="P559">IFERROR(SUM(VALUE(_xlfn.TEXTSPLIT(O559, ";"))), "")</f>
        <v/>
      </c>
      <c r="DO559" t="str">
        <f t="shared" si="16"/>
        <v/>
      </c>
      <c r="EG559" s="33" t="str">
        <f>IF(NOT(ISBLANK($B559)),VLOOKUP($B559,AssetCategories!$A:$E,5,0),"")</f>
        <v/>
      </c>
      <c r="EH559" t="str">
        <f>IF(NOT(ISBLANK($B559)),VLOOKUP($B559,AssetCategories!$A:$E,4,0),"")</f>
        <v/>
      </c>
      <c r="EM559" t="str">
        <f>IF(NOT(ISBLANK($B559)),VLOOKUP($B559,AssetCategories!$A:$E,2,0),"")</f>
        <v/>
      </c>
      <c r="EN559" t="str">
        <f>IF(NOT(ISBLANK($B559)),VLOOKUP($B559,AssetCategories!$A:$E,3,0),"")</f>
        <v/>
      </c>
      <c r="EP559" s="33" t="str">
        <f t="shared" si="17"/>
        <v/>
      </c>
    </row>
    <row r="560" spans="16:146" x14ac:dyDescent="0.25">
      <c r="P560" s="33" t="str" cm="1">
        <f t="array" ref="P560">IFERROR(SUM(VALUE(_xlfn.TEXTSPLIT(O560, ";"))), "")</f>
        <v/>
      </c>
      <c r="DO560" t="str">
        <f t="shared" si="16"/>
        <v/>
      </c>
      <c r="EG560" s="33" t="str">
        <f>IF(NOT(ISBLANK($B560)),VLOOKUP($B560,AssetCategories!$A:$E,5,0),"")</f>
        <v/>
      </c>
      <c r="EH560" t="str">
        <f>IF(NOT(ISBLANK($B560)),VLOOKUP($B560,AssetCategories!$A:$E,4,0),"")</f>
        <v/>
      </c>
      <c r="EM560" t="str">
        <f>IF(NOT(ISBLANK($B560)),VLOOKUP($B560,AssetCategories!$A:$E,2,0),"")</f>
        <v/>
      </c>
      <c r="EN560" t="str">
        <f>IF(NOT(ISBLANK($B560)),VLOOKUP($B560,AssetCategories!$A:$E,3,0),"")</f>
        <v/>
      </c>
      <c r="EP560" s="33" t="str">
        <f t="shared" si="17"/>
        <v/>
      </c>
    </row>
    <row r="561" spans="16:146" x14ac:dyDescent="0.25">
      <c r="P561" s="33" t="str" cm="1">
        <f t="array" ref="P561">IFERROR(SUM(VALUE(_xlfn.TEXTSPLIT(O561, ";"))), "")</f>
        <v/>
      </c>
      <c r="DO561" t="str">
        <f t="shared" si="16"/>
        <v/>
      </c>
      <c r="EG561" s="33" t="str">
        <f>IF(NOT(ISBLANK($B561)),VLOOKUP($B561,AssetCategories!$A:$E,5,0),"")</f>
        <v/>
      </c>
      <c r="EH561" t="str">
        <f>IF(NOT(ISBLANK($B561)),VLOOKUP($B561,AssetCategories!$A:$E,4,0),"")</f>
        <v/>
      </c>
      <c r="EM561" t="str">
        <f>IF(NOT(ISBLANK($B561)),VLOOKUP($B561,AssetCategories!$A:$E,2,0),"")</f>
        <v/>
      </c>
      <c r="EN561" t="str">
        <f>IF(NOT(ISBLANK($B561)),VLOOKUP($B561,AssetCategories!$A:$E,3,0),"")</f>
        <v/>
      </c>
      <c r="EP561" s="33" t="str">
        <f t="shared" si="17"/>
        <v/>
      </c>
    </row>
    <row r="562" spans="16:146" x14ac:dyDescent="0.25">
      <c r="P562" s="33" t="str" cm="1">
        <f t="array" ref="P562">IFERROR(SUM(VALUE(_xlfn.TEXTSPLIT(O562, ";"))), "")</f>
        <v/>
      </c>
      <c r="DO562" t="str">
        <f t="shared" si="16"/>
        <v/>
      </c>
      <c r="EG562" s="33" t="str">
        <f>IF(NOT(ISBLANK($B562)),VLOOKUP($B562,AssetCategories!$A:$E,5,0),"")</f>
        <v/>
      </c>
      <c r="EH562" t="str">
        <f>IF(NOT(ISBLANK($B562)),VLOOKUP($B562,AssetCategories!$A:$E,4,0),"")</f>
        <v/>
      </c>
      <c r="EM562" t="str">
        <f>IF(NOT(ISBLANK($B562)),VLOOKUP($B562,AssetCategories!$A:$E,2,0),"")</f>
        <v/>
      </c>
      <c r="EN562" t="str">
        <f>IF(NOT(ISBLANK($B562)),VLOOKUP($B562,AssetCategories!$A:$E,3,0),"")</f>
        <v/>
      </c>
      <c r="EP562" s="33" t="str">
        <f t="shared" si="17"/>
        <v/>
      </c>
    </row>
    <row r="563" spans="16:146" x14ac:dyDescent="0.25">
      <c r="P563" s="33" t="str" cm="1">
        <f t="array" ref="P563">IFERROR(SUM(VALUE(_xlfn.TEXTSPLIT(O563, ";"))), "")</f>
        <v/>
      </c>
      <c r="DO563" t="str">
        <f t="shared" si="16"/>
        <v/>
      </c>
      <c r="EG563" s="33" t="str">
        <f>IF(NOT(ISBLANK($B563)),VLOOKUP($B563,AssetCategories!$A:$E,5,0),"")</f>
        <v/>
      </c>
      <c r="EH563" t="str">
        <f>IF(NOT(ISBLANK($B563)),VLOOKUP($B563,AssetCategories!$A:$E,4,0),"")</f>
        <v/>
      </c>
      <c r="EM563" t="str">
        <f>IF(NOT(ISBLANK($B563)),VLOOKUP($B563,AssetCategories!$A:$E,2,0),"")</f>
        <v/>
      </c>
      <c r="EN563" t="str">
        <f>IF(NOT(ISBLANK($B563)),VLOOKUP($B563,AssetCategories!$A:$E,3,0),"")</f>
        <v/>
      </c>
      <c r="EP563" s="33" t="str">
        <f t="shared" si="17"/>
        <v/>
      </c>
    </row>
    <row r="564" spans="16:146" x14ac:dyDescent="0.25">
      <c r="P564" s="33" t="str" cm="1">
        <f t="array" ref="P564">IFERROR(SUM(VALUE(_xlfn.TEXTSPLIT(O564, ";"))), "")</f>
        <v/>
      </c>
      <c r="DO564" t="str">
        <f t="shared" si="16"/>
        <v/>
      </c>
      <c r="EG564" s="33" t="str">
        <f>IF(NOT(ISBLANK($B564)),VLOOKUP($B564,AssetCategories!$A:$E,5,0),"")</f>
        <v/>
      </c>
      <c r="EH564" t="str">
        <f>IF(NOT(ISBLANK($B564)),VLOOKUP($B564,AssetCategories!$A:$E,4,0),"")</f>
        <v/>
      </c>
      <c r="EM564" t="str">
        <f>IF(NOT(ISBLANK($B564)),VLOOKUP($B564,AssetCategories!$A:$E,2,0),"")</f>
        <v/>
      </c>
      <c r="EN564" t="str">
        <f>IF(NOT(ISBLANK($B564)),VLOOKUP($B564,AssetCategories!$A:$E,3,0),"")</f>
        <v/>
      </c>
      <c r="EP564" s="33" t="str">
        <f t="shared" si="17"/>
        <v/>
      </c>
    </row>
    <row r="565" spans="16:146" x14ac:dyDescent="0.25">
      <c r="P565" s="33" t="str" cm="1">
        <f t="array" ref="P565">IFERROR(SUM(VALUE(_xlfn.TEXTSPLIT(O565, ";"))), "")</f>
        <v/>
      </c>
      <c r="DO565" t="str">
        <f t="shared" si="16"/>
        <v/>
      </c>
      <c r="EG565" s="33" t="str">
        <f>IF(NOT(ISBLANK($B565)),VLOOKUP($B565,AssetCategories!$A:$E,5,0),"")</f>
        <v/>
      </c>
      <c r="EH565" t="str">
        <f>IF(NOT(ISBLANK($B565)),VLOOKUP($B565,AssetCategories!$A:$E,4,0),"")</f>
        <v/>
      </c>
      <c r="EM565" t="str">
        <f>IF(NOT(ISBLANK($B565)),VLOOKUP($B565,AssetCategories!$A:$E,2,0),"")</f>
        <v/>
      </c>
      <c r="EN565" t="str">
        <f>IF(NOT(ISBLANK($B565)),VLOOKUP($B565,AssetCategories!$A:$E,3,0),"")</f>
        <v/>
      </c>
      <c r="EP565" s="33" t="str">
        <f t="shared" si="17"/>
        <v/>
      </c>
    </row>
    <row r="566" spans="16:146" x14ac:dyDescent="0.25">
      <c r="P566" s="33" t="str" cm="1">
        <f t="array" ref="P566">IFERROR(SUM(VALUE(_xlfn.TEXTSPLIT(O566, ";"))), "")</f>
        <v/>
      </c>
      <c r="DO566" t="str">
        <f t="shared" si="16"/>
        <v/>
      </c>
      <c r="EG566" s="33" t="str">
        <f>IF(NOT(ISBLANK($B566)),VLOOKUP($B566,AssetCategories!$A:$E,5,0),"")</f>
        <v/>
      </c>
      <c r="EH566" t="str">
        <f>IF(NOT(ISBLANK($B566)),VLOOKUP($B566,AssetCategories!$A:$E,4,0),"")</f>
        <v/>
      </c>
      <c r="EM566" t="str">
        <f>IF(NOT(ISBLANK($B566)),VLOOKUP($B566,AssetCategories!$A:$E,2,0),"")</f>
        <v/>
      </c>
      <c r="EN566" t="str">
        <f>IF(NOT(ISBLANK($B566)),VLOOKUP($B566,AssetCategories!$A:$E,3,0),"")</f>
        <v/>
      </c>
      <c r="EP566" s="33" t="str">
        <f t="shared" si="17"/>
        <v/>
      </c>
    </row>
    <row r="567" spans="16:146" x14ac:dyDescent="0.25">
      <c r="P567" s="33" t="str" cm="1">
        <f t="array" ref="P567">IFERROR(SUM(VALUE(_xlfn.TEXTSPLIT(O567, ";"))), "")</f>
        <v/>
      </c>
      <c r="DO567" t="str">
        <f t="shared" si="16"/>
        <v/>
      </c>
      <c r="EG567" s="33" t="str">
        <f>IF(NOT(ISBLANK($B567)),VLOOKUP($B567,AssetCategories!$A:$E,5,0),"")</f>
        <v/>
      </c>
      <c r="EH567" t="str">
        <f>IF(NOT(ISBLANK($B567)),VLOOKUP($B567,AssetCategories!$A:$E,4,0),"")</f>
        <v/>
      </c>
      <c r="EM567" t="str">
        <f>IF(NOT(ISBLANK($B567)),VLOOKUP($B567,AssetCategories!$A:$E,2,0),"")</f>
        <v/>
      </c>
      <c r="EN567" t="str">
        <f>IF(NOT(ISBLANK($B567)),VLOOKUP($B567,AssetCategories!$A:$E,3,0),"")</f>
        <v/>
      </c>
      <c r="EP567" s="33" t="str">
        <f t="shared" si="17"/>
        <v/>
      </c>
    </row>
    <row r="568" spans="16:146" x14ac:dyDescent="0.25">
      <c r="P568" s="33" t="str" cm="1">
        <f t="array" ref="P568">IFERROR(SUM(VALUE(_xlfn.TEXTSPLIT(O568, ";"))), "")</f>
        <v/>
      </c>
      <c r="DO568" t="str">
        <f t="shared" si="16"/>
        <v/>
      </c>
      <c r="EG568" s="33" t="str">
        <f>IF(NOT(ISBLANK($B568)),VLOOKUP($B568,AssetCategories!$A:$E,5,0),"")</f>
        <v/>
      </c>
      <c r="EH568" t="str">
        <f>IF(NOT(ISBLANK($B568)),VLOOKUP($B568,AssetCategories!$A:$E,4,0),"")</f>
        <v/>
      </c>
      <c r="EM568" t="str">
        <f>IF(NOT(ISBLANK($B568)),VLOOKUP($B568,AssetCategories!$A:$E,2,0),"")</f>
        <v/>
      </c>
      <c r="EN568" t="str">
        <f>IF(NOT(ISBLANK($B568)),VLOOKUP($B568,AssetCategories!$A:$E,3,0),"")</f>
        <v/>
      </c>
      <c r="EP568" s="33" t="str">
        <f t="shared" si="17"/>
        <v/>
      </c>
    </row>
    <row r="569" spans="16:146" x14ac:dyDescent="0.25">
      <c r="P569" s="33" t="str" cm="1">
        <f t="array" ref="P569">IFERROR(SUM(VALUE(_xlfn.TEXTSPLIT(O569, ";"))), "")</f>
        <v/>
      </c>
      <c r="DO569" t="str">
        <f t="shared" si="16"/>
        <v/>
      </c>
      <c r="EG569" s="33" t="str">
        <f>IF(NOT(ISBLANK($B569)),VLOOKUP($B569,AssetCategories!$A:$E,5,0),"")</f>
        <v/>
      </c>
      <c r="EH569" t="str">
        <f>IF(NOT(ISBLANK($B569)),VLOOKUP($B569,AssetCategories!$A:$E,4,0),"")</f>
        <v/>
      </c>
      <c r="EM569" t="str">
        <f>IF(NOT(ISBLANK($B569)),VLOOKUP($B569,AssetCategories!$A:$E,2,0),"")</f>
        <v/>
      </c>
      <c r="EN569" t="str">
        <f>IF(NOT(ISBLANK($B569)),VLOOKUP($B569,AssetCategories!$A:$E,3,0),"")</f>
        <v/>
      </c>
      <c r="EP569" s="33" t="str">
        <f t="shared" si="17"/>
        <v/>
      </c>
    </row>
    <row r="570" spans="16:146" x14ac:dyDescent="0.25">
      <c r="P570" s="33" t="str" cm="1">
        <f t="array" ref="P570">IFERROR(SUM(VALUE(_xlfn.TEXTSPLIT(O570, ";"))), "")</f>
        <v/>
      </c>
      <c r="DO570" t="str">
        <f t="shared" si="16"/>
        <v/>
      </c>
      <c r="EG570" s="33" t="str">
        <f>IF(NOT(ISBLANK($B570)),VLOOKUP($B570,AssetCategories!$A:$E,5,0),"")</f>
        <v/>
      </c>
      <c r="EH570" t="str">
        <f>IF(NOT(ISBLANK($B570)),VLOOKUP($B570,AssetCategories!$A:$E,4,0),"")</f>
        <v/>
      </c>
      <c r="EM570" t="str">
        <f>IF(NOT(ISBLANK($B570)),VLOOKUP($B570,AssetCategories!$A:$E,2,0),"")</f>
        <v/>
      </c>
      <c r="EN570" t="str">
        <f>IF(NOT(ISBLANK($B570)),VLOOKUP($B570,AssetCategories!$A:$E,3,0),"")</f>
        <v/>
      </c>
      <c r="EP570" s="33" t="str">
        <f t="shared" si="17"/>
        <v/>
      </c>
    </row>
    <row r="571" spans="16:146" x14ac:dyDescent="0.25">
      <c r="P571" s="33" t="str" cm="1">
        <f t="array" ref="P571">IFERROR(SUM(VALUE(_xlfn.TEXTSPLIT(O571, ";"))), "")</f>
        <v/>
      </c>
      <c r="DO571" t="str">
        <f t="shared" si="16"/>
        <v/>
      </c>
      <c r="EG571" s="33" t="str">
        <f>IF(NOT(ISBLANK($B571)),VLOOKUP($B571,AssetCategories!$A:$E,5,0),"")</f>
        <v/>
      </c>
      <c r="EH571" t="str">
        <f>IF(NOT(ISBLANK($B571)),VLOOKUP($B571,AssetCategories!$A:$E,4,0),"")</f>
        <v/>
      </c>
      <c r="EM571" t="str">
        <f>IF(NOT(ISBLANK($B571)),VLOOKUP($B571,AssetCategories!$A:$E,2,0),"")</f>
        <v/>
      </c>
      <c r="EN571" t="str">
        <f>IF(NOT(ISBLANK($B571)),VLOOKUP($B571,AssetCategories!$A:$E,3,0),"")</f>
        <v/>
      </c>
      <c r="EP571" s="33" t="str">
        <f t="shared" si="17"/>
        <v/>
      </c>
    </row>
    <row r="572" spans="16:146" x14ac:dyDescent="0.25">
      <c r="P572" s="33" t="str" cm="1">
        <f t="array" ref="P572">IFERROR(SUM(VALUE(_xlfn.TEXTSPLIT(O572, ";"))), "")</f>
        <v/>
      </c>
      <c r="DO572" t="str">
        <f t="shared" si="16"/>
        <v/>
      </c>
      <c r="EG572" s="33" t="str">
        <f>IF(NOT(ISBLANK($B572)),VLOOKUP($B572,AssetCategories!$A:$E,5,0),"")</f>
        <v/>
      </c>
      <c r="EH572" t="str">
        <f>IF(NOT(ISBLANK($B572)),VLOOKUP($B572,AssetCategories!$A:$E,4,0),"")</f>
        <v/>
      </c>
      <c r="EM572" t="str">
        <f>IF(NOT(ISBLANK($B572)),VLOOKUP($B572,AssetCategories!$A:$E,2,0),"")</f>
        <v/>
      </c>
      <c r="EN572" t="str">
        <f>IF(NOT(ISBLANK($B572)),VLOOKUP($B572,AssetCategories!$A:$E,3,0),"")</f>
        <v/>
      </c>
      <c r="EP572" s="33" t="str">
        <f t="shared" si="17"/>
        <v/>
      </c>
    </row>
    <row r="573" spans="16:146" x14ac:dyDescent="0.25">
      <c r="P573" s="33" t="str" cm="1">
        <f t="array" ref="P573">IFERROR(SUM(VALUE(_xlfn.TEXTSPLIT(O573, ";"))), "")</f>
        <v/>
      </c>
      <c r="DO573" t="str">
        <f t="shared" si="16"/>
        <v/>
      </c>
      <c r="EG573" s="33" t="str">
        <f>IF(NOT(ISBLANK($B573)),VLOOKUP($B573,AssetCategories!$A:$E,5,0),"")</f>
        <v/>
      </c>
      <c r="EH573" t="str">
        <f>IF(NOT(ISBLANK($B573)),VLOOKUP($B573,AssetCategories!$A:$E,4,0),"")</f>
        <v/>
      </c>
      <c r="EM573" t="str">
        <f>IF(NOT(ISBLANK($B573)),VLOOKUP($B573,AssetCategories!$A:$E,2,0),"")</f>
        <v/>
      </c>
      <c r="EN573" t="str">
        <f>IF(NOT(ISBLANK($B573)),VLOOKUP($B573,AssetCategories!$A:$E,3,0),"")</f>
        <v/>
      </c>
      <c r="EP573" s="33" t="str">
        <f t="shared" si="17"/>
        <v/>
      </c>
    </row>
    <row r="574" spans="16:146" x14ac:dyDescent="0.25">
      <c r="P574" s="33" t="str" cm="1">
        <f t="array" ref="P574">IFERROR(SUM(VALUE(_xlfn.TEXTSPLIT(O574, ";"))), "")</f>
        <v/>
      </c>
      <c r="DO574" t="str">
        <f t="shared" si="16"/>
        <v/>
      </c>
      <c r="EG574" s="33" t="str">
        <f>IF(NOT(ISBLANK($B574)),VLOOKUP($B574,AssetCategories!$A:$E,5,0),"")</f>
        <v/>
      </c>
      <c r="EH574" t="str">
        <f>IF(NOT(ISBLANK($B574)),VLOOKUP($B574,AssetCategories!$A:$E,4,0),"")</f>
        <v/>
      </c>
      <c r="EM574" t="str">
        <f>IF(NOT(ISBLANK($B574)),VLOOKUP($B574,AssetCategories!$A:$E,2,0),"")</f>
        <v/>
      </c>
      <c r="EN574" t="str">
        <f>IF(NOT(ISBLANK($B574)),VLOOKUP($B574,AssetCategories!$A:$E,3,0),"")</f>
        <v/>
      </c>
      <c r="EP574" s="33" t="str">
        <f t="shared" si="17"/>
        <v/>
      </c>
    </row>
    <row r="575" spans="16:146" x14ac:dyDescent="0.25">
      <c r="P575" s="33" t="str" cm="1">
        <f t="array" ref="P575">IFERROR(SUM(VALUE(_xlfn.TEXTSPLIT(O575, ";"))), "")</f>
        <v/>
      </c>
      <c r="DO575" t="str">
        <f t="shared" si="16"/>
        <v/>
      </c>
      <c r="EG575" s="33" t="str">
        <f>IF(NOT(ISBLANK($B575)),VLOOKUP($B575,AssetCategories!$A:$E,5,0),"")</f>
        <v/>
      </c>
      <c r="EH575" t="str">
        <f>IF(NOT(ISBLANK($B575)),VLOOKUP($B575,AssetCategories!$A:$E,4,0),"")</f>
        <v/>
      </c>
      <c r="EM575" t="str">
        <f>IF(NOT(ISBLANK($B575)),VLOOKUP($B575,AssetCategories!$A:$E,2,0),"")</f>
        <v/>
      </c>
      <c r="EN575" t="str">
        <f>IF(NOT(ISBLANK($B575)),VLOOKUP($B575,AssetCategories!$A:$E,3,0),"")</f>
        <v/>
      </c>
      <c r="EP575" s="33" t="str">
        <f t="shared" si="17"/>
        <v/>
      </c>
    </row>
    <row r="576" spans="16:146" x14ac:dyDescent="0.25">
      <c r="P576" s="33" t="str" cm="1">
        <f t="array" ref="P576">IFERROR(SUM(VALUE(_xlfn.TEXTSPLIT(O576, ";"))), "")</f>
        <v/>
      </c>
      <c r="DO576" t="str">
        <f t="shared" si="16"/>
        <v/>
      </c>
      <c r="EG576" s="33" t="str">
        <f>IF(NOT(ISBLANK($B576)),VLOOKUP($B576,AssetCategories!$A:$E,5,0),"")</f>
        <v/>
      </c>
      <c r="EH576" t="str">
        <f>IF(NOT(ISBLANK($B576)),VLOOKUP($B576,AssetCategories!$A:$E,4,0),"")</f>
        <v/>
      </c>
      <c r="EM576" t="str">
        <f>IF(NOT(ISBLANK($B576)),VLOOKUP($B576,AssetCategories!$A:$E,2,0),"")</f>
        <v/>
      </c>
      <c r="EN576" t="str">
        <f>IF(NOT(ISBLANK($B576)),VLOOKUP($B576,AssetCategories!$A:$E,3,0),"")</f>
        <v/>
      </c>
      <c r="EP576" s="33" t="str">
        <f t="shared" si="17"/>
        <v/>
      </c>
    </row>
    <row r="577" spans="16:146" x14ac:dyDescent="0.25">
      <c r="P577" s="33" t="str" cm="1">
        <f t="array" ref="P577">IFERROR(SUM(VALUE(_xlfn.TEXTSPLIT(O577, ";"))), "")</f>
        <v/>
      </c>
      <c r="DO577" t="str">
        <f t="shared" si="16"/>
        <v/>
      </c>
      <c r="EG577" s="33" t="str">
        <f>IF(NOT(ISBLANK($B577)),VLOOKUP($B577,AssetCategories!$A:$E,5,0),"")</f>
        <v/>
      </c>
      <c r="EH577" t="str">
        <f>IF(NOT(ISBLANK($B577)),VLOOKUP($B577,AssetCategories!$A:$E,4,0),"")</f>
        <v/>
      </c>
      <c r="EM577" t="str">
        <f>IF(NOT(ISBLANK($B577)),VLOOKUP($B577,AssetCategories!$A:$E,2,0),"")</f>
        <v/>
      </c>
      <c r="EN577" t="str">
        <f>IF(NOT(ISBLANK($B577)),VLOOKUP($B577,AssetCategories!$A:$E,3,0),"")</f>
        <v/>
      </c>
      <c r="EP577" s="33" t="str">
        <f t="shared" si="17"/>
        <v/>
      </c>
    </row>
    <row r="578" spans="16:146" x14ac:dyDescent="0.25">
      <c r="P578" s="33" t="str" cm="1">
        <f t="array" ref="P578">IFERROR(SUM(VALUE(_xlfn.TEXTSPLIT(O578, ";"))), "")</f>
        <v/>
      </c>
      <c r="DO578" t="str">
        <f t="shared" si="16"/>
        <v/>
      </c>
      <c r="EG578" s="33" t="str">
        <f>IF(NOT(ISBLANK($B578)),VLOOKUP($B578,AssetCategories!$A:$E,5,0),"")</f>
        <v/>
      </c>
      <c r="EH578" t="str">
        <f>IF(NOT(ISBLANK($B578)),VLOOKUP($B578,AssetCategories!$A:$E,4,0),"")</f>
        <v/>
      </c>
      <c r="EM578" t="str">
        <f>IF(NOT(ISBLANK($B578)),VLOOKUP($B578,AssetCategories!$A:$E,2,0),"")</f>
        <v/>
      </c>
      <c r="EN578" t="str">
        <f>IF(NOT(ISBLANK($B578)),VLOOKUP($B578,AssetCategories!$A:$E,3,0),"")</f>
        <v/>
      </c>
      <c r="EP578" s="33" t="str">
        <f t="shared" si="17"/>
        <v/>
      </c>
    </row>
    <row r="579" spans="16:146" x14ac:dyDescent="0.25">
      <c r="P579" s="33" t="str" cm="1">
        <f t="array" ref="P579">IFERROR(SUM(VALUE(_xlfn.TEXTSPLIT(O579, ";"))), "")</f>
        <v/>
      </c>
      <c r="DO579" t="str">
        <f t="shared" si="16"/>
        <v/>
      </c>
      <c r="EG579" s="33" t="str">
        <f>IF(NOT(ISBLANK($B579)),VLOOKUP($B579,AssetCategories!$A:$E,5,0),"")</f>
        <v/>
      </c>
      <c r="EH579" t="str">
        <f>IF(NOT(ISBLANK($B579)),VLOOKUP($B579,AssetCategories!$A:$E,4,0),"")</f>
        <v/>
      </c>
      <c r="EM579" t="str">
        <f>IF(NOT(ISBLANK($B579)),VLOOKUP($B579,AssetCategories!$A:$E,2,0),"")</f>
        <v/>
      </c>
      <c r="EN579" t="str">
        <f>IF(NOT(ISBLANK($B579)),VLOOKUP($B579,AssetCategories!$A:$E,3,0),"")</f>
        <v/>
      </c>
      <c r="EP579" s="33" t="str">
        <f t="shared" si="17"/>
        <v/>
      </c>
    </row>
    <row r="580" spans="16:146" x14ac:dyDescent="0.25">
      <c r="P580" s="33" t="str" cm="1">
        <f t="array" ref="P580">IFERROR(SUM(VALUE(_xlfn.TEXTSPLIT(O580, ";"))), "")</f>
        <v/>
      </c>
      <c r="DO580" t="str">
        <f t="shared" si="16"/>
        <v/>
      </c>
      <c r="EG580" s="33" t="str">
        <f>IF(NOT(ISBLANK($B580)),VLOOKUP($B580,AssetCategories!$A:$E,5,0),"")</f>
        <v/>
      </c>
      <c r="EH580" t="str">
        <f>IF(NOT(ISBLANK($B580)),VLOOKUP($B580,AssetCategories!$A:$E,4,0),"")</f>
        <v/>
      </c>
      <c r="EM580" t="str">
        <f>IF(NOT(ISBLANK($B580)),VLOOKUP($B580,AssetCategories!$A:$E,2,0),"")</f>
        <v/>
      </c>
      <c r="EN580" t="str">
        <f>IF(NOT(ISBLANK($B580)),VLOOKUP($B580,AssetCategories!$A:$E,3,0),"")</f>
        <v/>
      </c>
      <c r="EP580" s="33" t="str">
        <f t="shared" si="17"/>
        <v/>
      </c>
    </row>
    <row r="581" spans="16:146" x14ac:dyDescent="0.25">
      <c r="P581" s="33" t="str" cm="1">
        <f t="array" ref="P581">IFERROR(SUM(VALUE(_xlfn.TEXTSPLIT(O581, ";"))), "")</f>
        <v/>
      </c>
      <c r="DO581" t="str">
        <f t="shared" ref="DO581:DO644" si="18">IF(SUM(DE581:DN581)=0, "", SUM(DE581:DN581))</f>
        <v/>
      </c>
      <c r="EG581" s="33" t="str">
        <f>IF(NOT(ISBLANK($B581)),VLOOKUP($B581,AssetCategories!$A:$E,5,0),"")</f>
        <v/>
      </c>
      <c r="EH581" t="str">
        <f>IF(NOT(ISBLANK($B581)),VLOOKUP($B581,AssetCategories!$A:$E,4,0),"")</f>
        <v/>
      </c>
      <c r="EM581" t="str">
        <f>IF(NOT(ISBLANK($B581)),VLOOKUP($B581,AssetCategories!$A:$E,2,0),"")</f>
        <v/>
      </c>
      <c r="EN581" t="str">
        <f>IF(NOT(ISBLANK($B581)),VLOOKUP($B581,AssetCategories!$A:$E,3,0),"")</f>
        <v/>
      </c>
      <c r="EP581" s="33" t="str">
        <f t="shared" ref="EP581:EP644" si="19">IFERROR(P581-EO581, "")</f>
        <v/>
      </c>
    </row>
    <row r="582" spans="16:146" x14ac:dyDescent="0.25">
      <c r="P582" s="33" t="str" cm="1">
        <f t="array" ref="P582">IFERROR(SUM(VALUE(_xlfn.TEXTSPLIT(O582, ";"))), "")</f>
        <v/>
      </c>
      <c r="DO582" t="str">
        <f t="shared" si="18"/>
        <v/>
      </c>
      <c r="EG582" s="33" t="str">
        <f>IF(NOT(ISBLANK($B582)),VLOOKUP($B582,AssetCategories!$A:$E,5,0),"")</f>
        <v/>
      </c>
      <c r="EH582" t="str">
        <f>IF(NOT(ISBLANK($B582)),VLOOKUP($B582,AssetCategories!$A:$E,4,0),"")</f>
        <v/>
      </c>
      <c r="EM582" t="str">
        <f>IF(NOT(ISBLANK($B582)),VLOOKUP($B582,AssetCategories!$A:$E,2,0),"")</f>
        <v/>
      </c>
      <c r="EN582" t="str">
        <f>IF(NOT(ISBLANK($B582)),VLOOKUP($B582,AssetCategories!$A:$E,3,0),"")</f>
        <v/>
      </c>
      <c r="EP582" s="33" t="str">
        <f t="shared" si="19"/>
        <v/>
      </c>
    </row>
    <row r="583" spans="16:146" x14ac:dyDescent="0.25">
      <c r="P583" s="33" t="str" cm="1">
        <f t="array" ref="P583">IFERROR(SUM(VALUE(_xlfn.TEXTSPLIT(O583, ";"))), "")</f>
        <v/>
      </c>
      <c r="DO583" t="str">
        <f t="shared" si="18"/>
        <v/>
      </c>
      <c r="EG583" s="33" t="str">
        <f>IF(NOT(ISBLANK($B583)),VLOOKUP($B583,AssetCategories!$A:$E,5,0),"")</f>
        <v/>
      </c>
      <c r="EH583" t="str">
        <f>IF(NOT(ISBLANK($B583)),VLOOKUP($B583,AssetCategories!$A:$E,4,0),"")</f>
        <v/>
      </c>
      <c r="EM583" t="str">
        <f>IF(NOT(ISBLANK($B583)),VLOOKUP($B583,AssetCategories!$A:$E,2,0),"")</f>
        <v/>
      </c>
      <c r="EN583" t="str">
        <f>IF(NOT(ISBLANK($B583)),VLOOKUP($B583,AssetCategories!$A:$E,3,0),"")</f>
        <v/>
      </c>
      <c r="EP583" s="33" t="str">
        <f t="shared" si="19"/>
        <v/>
      </c>
    </row>
    <row r="584" spans="16:146" x14ac:dyDescent="0.25">
      <c r="P584" s="33" t="str" cm="1">
        <f t="array" ref="P584">IFERROR(SUM(VALUE(_xlfn.TEXTSPLIT(O584, ";"))), "")</f>
        <v/>
      </c>
      <c r="DO584" t="str">
        <f t="shared" si="18"/>
        <v/>
      </c>
      <c r="EG584" s="33" t="str">
        <f>IF(NOT(ISBLANK($B584)),VLOOKUP($B584,AssetCategories!$A:$E,5,0),"")</f>
        <v/>
      </c>
      <c r="EH584" t="str">
        <f>IF(NOT(ISBLANK($B584)),VLOOKUP($B584,AssetCategories!$A:$E,4,0),"")</f>
        <v/>
      </c>
      <c r="EM584" t="str">
        <f>IF(NOT(ISBLANK($B584)),VLOOKUP($B584,AssetCategories!$A:$E,2,0),"")</f>
        <v/>
      </c>
      <c r="EN584" t="str">
        <f>IF(NOT(ISBLANK($B584)),VLOOKUP($B584,AssetCategories!$A:$E,3,0),"")</f>
        <v/>
      </c>
      <c r="EP584" s="33" t="str">
        <f t="shared" si="19"/>
        <v/>
      </c>
    </row>
    <row r="585" spans="16:146" x14ac:dyDescent="0.25">
      <c r="P585" s="33" t="str" cm="1">
        <f t="array" ref="P585">IFERROR(SUM(VALUE(_xlfn.TEXTSPLIT(O585, ";"))), "")</f>
        <v/>
      </c>
      <c r="DO585" t="str">
        <f t="shared" si="18"/>
        <v/>
      </c>
      <c r="EG585" s="33" t="str">
        <f>IF(NOT(ISBLANK($B585)),VLOOKUP($B585,AssetCategories!$A:$E,5,0),"")</f>
        <v/>
      </c>
      <c r="EH585" t="str">
        <f>IF(NOT(ISBLANK($B585)),VLOOKUP($B585,AssetCategories!$A:$E,4,0),"")</f>
        <v/>
      </c>
      <c r="EM585" t="str">
        <f>IF(NOT(ISBLANK($B585)),VLOOKUP($B585,AssetCategories!$A:$E,2,0),"")</f>
        <v/>
      </c>
      <c r="EN585" t="str">
        <f>IF(NOT(ISBLANK($B585)),VLOOKUP($B585,AssetCategories!$A:$E,3,0),"")</f>
        <v/>
      </c>
      <c r="EP585" s="33" t="str">
        <f t="shared" si="19"/>
        <v/>
      </c>
    </row>
    <row r="586" spans="16:146" x14ac:dyDescent="0.25">
      <c r="P586" s="33" t="str" cm="1">
        <f t="array" ref="P586">IFERROR(SUM(VALUE(_xlfn.TEXTSPLIT(O586, ";"))), "")</f>
        <v/>
      </c>
      <c r="DO586" t="str">
        <f t="shared" si="18"/>
        <v/>
      </c>
      <c r="EG586" s="33" t="str">
        <f>IF(NOT(ISBLANK($B586)),VLOOKUP($B586,AssetCategories!$A:$E,5,0),"")</f>
        <v/>
      </c>
      <c r="EH586" t="str">
        <f>IF(NOT(ISBLANK($B586)),VLOOKUP($B586,AssetCategories!$A:$E,4,0),"")</f>
        <v/>
      </c>
      <c r="EM586" t="str">
        <f>IF(NOT(ISBLANK($B586)),VLOOKUP($B586,AssetCategories!$A:$E,2,0),"")</f>
        <v/>
      </c>
      <c r="EN586" t="str">
        <f>IF(NOT(ISBLANK($B586)),VLOOKUP($B586,AssetCategories!$A:$E,3,0),"")</f>
        <v/>
      </c>
      <c r="EP586" s="33" t="str">
        <f t="shared" si="19"/>
        <v/>
      </c>
    </row>
    <row r="587" spans="16:146" x14ac:dyDescent="0.25">
      <c r="P587" s="33" t="str" cm="1">
        <f t="array" ref="P587">IFERROR(SUM(VALUE(_xlfn.TEXTSPLIT(O587, ";"))), "")</f>
        <v/>
      </c>
      <c r="DO587" t="str">
        <f t="shared" si="18"/>
        <v/>
      </c>
      <c r="EG587" s="33" t="str">
        <f>IF(NOT(ISBLANK($B587)),VLOOKUP($B587,AssetCategories!$A:$E,5,0),"")</f>
        <v/>
      </c>
      <c r="EH587" t="str">
        <f>IF(NOT(ISBLANK($B587)),VLOOKUP($B587,AssetCategories!$A:$E,4,0),"")</f>
        <v/>
      </c>
      <c r="EM587" t="str">
        <f>IF(NOT(ISBLANK($B587)),VLOOKUP($B587,AssetCategories!$A:$E,2,0),"")</f>
        <v/>
      </c>
      <c r="EN587" t="str">
        <f>IF(NOT(ISBLANK($B587)),VLOOKUP($B587,AssetCategories!$A:$E,3,0),"")</f>
        <v/>
      </c>
      <c r="EP587" s="33" t="str">
        <f t="shared" si="19"/>
        <v/>
      </c>
    </row>
    <row r="588" spans="16:146" x14ac:dyDescent="0.25">
      <c r="P588" s="33" t="str" cm="1">
        <f t="array" ref="P588">IFERROR(SUM(VALUE(_xlfn.TEXTSPLIT(O588, ";"))), "")</f>
        <v/>
      </c>
      <c r="DO588" t="str">
        <f t="shared" si="18"/>
        <v/>
      </c>
      <c r="EG588" s="33" t="str">
        <f>IF(NOT(ISBLANK($B588)),VLOOKUP($B588,AssetCategories!$A:$E,5,0),"")</f>
        <v/>
      </c>
      <c r="EH588" t="str">
        <f>IF(NOT(ISBLANK($B588)),VLOOKUP($B588,AssetCategories!$A:$E,4,0),"")</f>
        <v/>
      </c>
      <c r="EM588" t="str">
        <f>IF(NOT(ISBLANK($B588)),VLOOKUP($B588,AssetCategories!$A:$E,2,0),"")</f>
        <v/>
      </c>
      <c r="EN588" t="str">
        <f>IF(NOT(ISBLANK($B588)),VLOOKUP($B588,AssetCategories!$A:$E,3,0),"")</f>
        <v/>
      </c>
      <c r="EP588" s="33" t="str">
        <f t="shared" si="19"/>
        <v/>
      </c>
    </row>
    <row r="589" spans="16:146" x14ac:dyDescent="0.25">
      <c r="P589" s="33" t="str" cm="1">
        <f t="array" ref="P589">IFERROR(SUM(VALUE(_xlfn.TEXTSPLIT(O589, ";"))), "")</f>
        <v/>
      </c>
      <c r="DO589" t="str">
        <f t="shared" si="18"/>
        <v/>
      </c>
      <c r="EG589" s="33" t="str">
        <f>IF(NOT(ISBLANK($B589)),VLOOKUP($B589,AssetCategories!$A:$E,5,0),"")</f>
        <v/>
      </c>
      <c r="EH589" t="str">
        <f>IF(NOT(ISBLANK($B589)),VLOOKUP($B589,AssetCategories!$A:$E,4,0),"")</f>
        <v/>
      </c>
      <c r="EM589" t="str">
        <f>IF(NOT(ISBLANK($B589)),VLOOKUP($B589,AssetCategories!$A:$E,2,0),"")</f>
        <v/>
      </c>
      <c r="EN589" t="str">
        <f>IF(NOT(ISBLANK($B589)),VLOOKUP($B589,AssetCategories!$A:$E,3,0),"")</f>
        <v/>
      </c>
      <c r="EP589" s="33" t="str">
        <f t="shared" si="19"/>
        <v/>
      </c>
    </row>
    <row r="590" spans="16:146" x14ac:dyDescent="0.25">
      <c r="P590" s="33" t="str" cm="1">
        <f t="array" ref="P590">IFERROR(SUM(VALUE(_xlfn.TEXTSPLIT(O590, ";"))), "")</f>
        <v/>
      </c>
      <c r="DO590" t="str">
        <f t="shared" si="18"/>
        <v/>
      </c>
      <c r="EG590" s="33" t="str">
        <f>IF(NOT(ISBLANK($B590)),VLOOKUP($B590,AssetCategories!$A:$E,5,0),"")</f>
        <v/>
      </c>
      <c r="EH590" t="str">
        <f>IF(NOT(ISBLANK($B590)),VLOOKUP($B590,AssetCategories!$A:$E,4,0),"")</f>
        <v/>
      </c>
      <c r="EM590" t="str">
        <f>IF(NOT(ISBLANK($B590)),VLOOKUP($B590,AssetCategories!$A:$E,2,0),"")</f>
        <v/>
      </c>
      <c r="EN590" t="str">
        <f>IF(NOT(ISBLANK($B590)),VLOOKUP($B590,AssetCategories!$A:$E,3,0),"")</f>
        <v/>
      </c>
      <c r="EP590" s="33" t="str">
        <f t="shared" si="19"/>
        <v/>
      </c>
    </row>
    <row r="591" spans="16:146" x14ac:dyDescent="0.25">
      <c r="P591" s="33" t="str" cm="1">
        <f t="array" ref="P591">IFERROR(SUM(VALUE(_xlfn.TEXTSPLIT(O591, ";"))), "")</f>
        <v/>
      </c>
      <c r="DO591" t="str">
        <f t="shared" si="18"/>
        <v/>
      </c>
      <c r="EG591" s="33" t="str">
        <f>IF(NOT(ISBLANK($B591)),VLOOKUP($B591,AssetCategories!$A:$E,5,0),"")</f>
        <v/>
      </c>
      <c r="EH591" t="str">
        <f>IF(NOT(ISBLANK($B591)),VLOOKUP($B591,AssetCategories!$A:$E,4,0),"")</f>
        <v/>
      </c>
      <c r="EM591" t="str">
        <f>IF(NOT(ISBLANK($B591)),VLOOKUP($B591,AssetCategories!$A:$E,2,0),"")</f>
        <v/>
      </c>
      <c r="EN591" t="str">
        <f>IF(NOT(ISBLANK($B591)),VLOOKUP($B591,AssetCategories!$A:$E,3,0),"")</f>
        <v/>
      </c>
      <c r="EP591" s="33" t="str">
        <f t="shared" si="19"/>
        <v/>
      </c>
    </row>
    <row r="592" spans="16:146" x14ac:dyDescent="0.25">
      <c r="P592" s="33" t="str" cm="1">
        <f t="array" ref="P592">IFERROR(SUM(VALUE(_xlfn.TEXTSPLIT(O592, ";"))), "")</f>
        <v/>
      </c>
      <c r="DO592" t="str">
        <f t="shared" si="18"/>
        <v/>
      </c>
      <c r="EG592" s="33" t="str">
        <f>IF(NOT(ISBLANK($B592)),VLOOKUP($B592,AssetCategories!$A:$E,5,0),"")</f>
        <v/>
      </c>
      <c r="EH592" t="str">
        <f>IF(NOT(ISBLANK($B592)),VLOOKUP($B592,AssetCategories!$A:$E,4,0),"")</f>
        <v/>
      </c>
      <c r="EM592" t="str">
        <f>IF(NOT(ISBLANK($B592)),VLOOKUP($B592,AssetCategories!$A:$E,2,0),"")</f>
        <v/>
      </c>
      <c r="EN592" t="str">
        <f>IF(NOT(ISBLANK($B592)),VLOOKUP($B592,AssetCategories!$A:$E,3,0),"")</f>
        <v/>
      </c>
      <c r="EP592" s="33" t="str">
        <f t="shared" si="19"/>
        <v/>
      </c>
    </row>
    <row r="593" spans="16:146" x14ac:dyDescent="0.25">
      <c r="P593" s="33" t="str" cm="1">
        <f t="array" ref="P593">IFERROR(SUM(VALUE(_xlfn.TEXTSPLIT(O593, ";"))), "")</f>
        <v/>
      </c>
      <c r="DO593" t="str">
        <f t="shared" si="18"/>
        <v/>
      </c>
      <c r="EG593" s="33" t="str">
        <f>IF(NOT(ISBLANK($B593)),VLOOKUP($B593,AssetCategories!$A:$E,5,0),"")</f>
        <v/>
      </c>
      <c r="EH593" t="str">
        <f>IF(NOT(ISBLANK($B593)),VLOOKUP($B593,AssetCategories!$A:$E,4,0),"")</f>
        <v/>
      </c>
      <c r="EM593" t="str">
        <f>IF(NOT(ISBLANK($B593)),VLOOKUP($B593,AssetCategories!$A:$E,2,0),"")</f>
        <v/>
      </c>
      <c r="EN593" t="str">
        <f>IF(NOT(ISBLANK($B593)),VLOOKUP($B593,AssetCategories!$A:$E,3,0),"")</f>
        <v/>
      </c>
      <c r="EP593" s="33" t="str">
        <f t="shared" si="19"/>
        <v/>
      </c>
    </row>
    <row r="594" spans="16:146" x14ac:dyDescent="0.25">
      <c r="P594" s="33" t="str" cm="1">
        <f t="array" ref="P594">IFERROR(SUM(VALUE(_xlfn.TEXTSPLIT(O594, ";"))), "")</f>
        <v/>
      </c>
      <c r="DO594" t="str">
        <f t="shared" si="18"/>
        <v/>
      </c>
      <c r="EG594" s="33" t="str">
        <f>IF(NOT(ISBLANK($B594)),VLOOKUP($B594,AssetCategories!$A:$E,5,0),"")</f>
        <v/>
      </c>
      <c r="EH594" t="str">
        <f>IF(NOT(ISBLANK($B594)),VLOOKUP($B594,AssetCategories!$A:$E,4,0),"")</f>
        <v/>
      </c>
      <c r="EM594" t="str">
        <f>IF(NOT(ISBLANK($B594)),VLOOKUP($B594,AssetCategories!$A:$E,2,0),"")</f>
        <v/>
      </c>
      <c r="EN594" t="str">
        <f>IF(NOT(ISBLANK($B594)),VLOOKUP($B594,AssetCategories!$A:$E,3,0),"")</f>
        <v/>
      </c>
      <c r="EP594" s="33" t="str">
        <f t="shared" si="19"/>
        <v/>
      </c>
    </row>
    <row r="595" spans="16:146" x14ac:dyDescent="0.25">
      <c r="P595" s="33" t="str" cm="1">
        <f t="array" ref="P595">IFERROR(SUM(VALUE(_xlfn.TEXTSPLIT(O595, ";"))), "")</f>
        <v/>
      </c>
      <c r="DO595" t="str">
        <f t="shared" si="18"/>
        <v/>
      </c>
      <c r="EG595" s="33" t="str">
        <f>IF(NOT(ISBLANK($B595)),VLOOKUP($B595,AssetCategories!$A:$E,5,0),"")</f>
        <v/>
      </c>
      <c r="EH595" t="str">
        <f>IF(NOT(ISBLANK($B595)),VLOOKUP($B595,AssetCategories!$A:$E,4,0),"")</f>
        <v/>
      </c>
      <c r="EM595" t="str">
        <f>IF(NOT(ISBLANK($B595)),VLOOKUP($B595,AssetCategories!$A:$E,2,0),"")</f>
        <v/>
      </c>
      <c r="EN595" t="str">
        <f>IF(NOT(ISBLANK($B595)),VLOOKUP($B595,AssetCategories!$A:$E,3,0),"")</f>
        <v/>
      </c>
      <c r="EP595" s="33" t="str">
        <f t="shared" si="19"/>
        <v/>
      </c>
    </row>
    <row r="596" spans="16:146" x14ac:dyDescent="0.25">
      <c r="P596" s="33" t="str" cm="1">
        <f t="array" ref="P596">IFERROR(SUM(VALUE(_xlfn.TEXTSPLIT(O596, ";"))), "")</f>
        <v/>
      </c>
      <c r="DO596" t="str">
        <f t="shared" si="18"/>
        <v/>
      </c>
      <c r="EG596" s="33" t="str">
        <f>IF(NOT(ISBLANK($B596)),VLOOKUP($B596,AssetCategories!$A:$E,5,0),"")</f>
        <v/>
      </c>
      <c r="EH596" t="str">
        <f>IF(NOT(ISBLANK($B596)),VLOOKUP($B596,AssetCategories!$A:$E,4,0),"")</f>
        <v/>
      </c>
      <c r="EM596" t="str">
        <f>IF(NOT(ISBLANK($B596)),VLOOKUP($B596,AssetCategories!$A:$E,2,0),"")</f>
        <v/>
      </c>
      <c r="EN596" t="str">
        <f>IF(NOT(ISBLANK($B596)),VLOOKUP($B596,AssetCategories!$A:$E,3,0),"")</f>
        <v/>
      </c>
      <c r="EP596" s="33" t="str">
        <f t="shared" si="19"/>
        <v/>
      </c>
    </row>
    <row r="597" spans="16:146" x14ac:dyDescent="0.25">
      <c r="P597" s="33" t="str" cm="1">
        <f t="array" ref="P597">IFERROR(SUM(VALUE(_xlfn.TEXTSPLIT(O597, ";"))), "")</f>
        <v/>
      </c>
      <c r="DO597" t="str">
        <f t="shared" si="18"/>
        <v/>
      </c>
      <c r="EG597" s="33" t="str">
        <f>IF(NOT(ISBLANK($B597)),VLOOKUP($B597,AssetCategories!$A:$E,5,0),"")</f>
        <v/>
      </c>
      <c r="EH597" t="str">
        <f>IF(NOT(ISBLANK($B597)),VLOOKUP($B597,AssetCategories!$A:$E,4,0),"")</f>
        <v/>
      </c>
      <c r="EM597" t="str">
        <f>IF(NOT(ISBLANK($B597)),VLOOKUP($B597,AssetCategories!$A:$E,2,0),"")</f>
        <v/>
      </c>
      <c r="EN597" t="str">
        <f>IF(NOT(ISBLANK($B597)),VLOOKUP($B597,AssetCategories!$A:$E,3,0),"")</f>
        <v/>
      </c>
      <c r="EP597" s="33" t="str">
        <f t="shared" si="19"/>
        <v/>
      </c>
    </row>
    <row r="598" spans="16:146" x14ac:dyDescent="0.25">
      <c r="P598" s="33" t="str" cm="1">
        <f t="array" ref="P598">IFERROR(SUM(VALUE(_xlfn.TEXTSPLIT(O598, ";"))), "")</f>
        <v/>
      </c>
      <c r="DO598" t="str">
        <f t="shared" si="18"/>
        <v/>
      </c>
      <c r="EG598" s="33" t="str">
        <f>IF(NOT(ISBLANK($B598)),VLOOKUP($B598,AssetCategories!$A:$E,5,0),"")</f>
        <v/>
      </c>
      <c r="EH598" t="str">
        <f>IF(NOT(ISBLANK($B598)),VLOOKUP($B598,AssetCategories!$A:$E,4,0),"")</f>
        <v/>
      </c>
      <c r="EM598" t="str">
        <f>IF(NOT(ISBLANK($B598)),VLOOKUP($B598,AssetCategories!$A:$E,2,0),"")</f>
        <v/>
      </c>
      <c r="EN598" t="str">
        <f>IF(NOT(ISBLANK($B598)),VLOOKUP($B598,AssetCategories!$A:$E,3,0),"")</f>
        <v/>
      </c>
      <c r="EP598" s="33" t="str">
        <f t="shared" si="19"/>
        <v/>
      </c>
    </row>
    <row r="599" spans="16:146" x14ac:dyDescent="0.25">
      <c r="P599" s="33" t="str" cm="1">
        <f t="array" ref="P599">IFERROR(SUM(VALUE(_xlfn.TEXTSPLIT(O599, ";"))), "")</f>
        <v/>
      </c>
      <c r="DO599" t="str">
        <f t="shared" si="18"/>
        <v/>
      </c>
      <c r="EG599" s="33" t="str">
        <f>IF(NOT(ISBLANK($B599)),VLOOKUP($B599,AssetCategories!$A:$E,5,0),"")</f>
        <v/>
      </c>
      <c r="EH599" t="str">
        <f>IF(NOT(ISBLANK($B599)),VLOOKUP($B599,AssetCategories!$A:$E,4,0),"")</f>
        <v/>
      </c>
      <c r="EM599" t="str">
        <f>IF(NOT(ISBLANK($B599)),VLOOKUP($B599,AssetCategories!$A:$E,2,0),"")</f>
        <v/>
      </c>
      <c r="EN599" t="str">
        <f>IF(NOT(ISBLANK($B599)),VLOOKUP($B599,AssetCategories!$A:$E,3,0),"")</f>
        <v/>
      </c>
      <c r="EP599" s="33" t="str">
        <f t="shared" si="19"/>
        <v/>
      </c>
    </row>
    <row r="600" spans="16:146" x14ac:dyDescent="0.25">
      <c r="P600" s="33" t="str" cm="1">
        <f t="array" ref="P600">IFERROR(SUM(VALUE(_xlfn.TEXTSPLIT(O600, ";"))), "")</f>
        <v/>
      </c>
      <c r="DO600" t="str">
        <f t="shared" si="18"/>
        <v/>
      </c>
      <c r="EG600" s="33" t="str">
        <f>IF(NOT(ISBLANK($B600)),VLOOKUP($B600,AssetCategories!$A:$E,5,0),"")</f>
        <v/>
      </c>
      <c r="EH600" t="str">
        <f>IF(NOT(ISBLANK($B600)),VLOOKUP($B600,AssetCategories!$A:$E,4,0),"")</f>
        <v/>
      </c>
      <c r="EM600" t="str">
        <f>IF(NOT(ISBLANK($B600)),VLOOKUP($B600,AssetCategories!$A:$E,2,0),"")</f>
        <v/>
      </c>
      <c r="EN600" t="str">
        <f>IF(NOT(ISBLANK($B600)),VLOOKUP($B600,AssetCategories!$A:$E,3,0),"")</f>
        <v/>
      </c>
      <c r="EP600" s="33" t="str">
        <f t="shared" si="19"/>
        <v/>
      </c>
    </row>
    <row r="601" spans="16:146" x14ac:dyDescent="0.25">
      <c r="P601" s="33" t="str" cm="1">
        <f t="array" ref="P601">IFERROR(SUM(VALUE(_xlfn.TEXTSPLIT(O601, ";"))), "")</f>
        <v/>
      </c>
      <c r="DO601" t="str">
        <f t="shared" si="18"/>
        <v/>
      </c>
      <c r="EG601" s="33" t="str">
        <f>IF(NOT(ISBLANK($B601)),VLOOKUP($B601,AssetCategories!$A:$E,5,0),"")</f>
        <v/>
      </c>
      <c r="EH601" t="str">
        <f>IF(NOT(ISBLANK($B601)),VLOOKUP($B601,AssetCategories!$A:$E,4,0),"")</f>
        <v/>
      </c>
      <c r="EM601" t="str">
        <f>IF(NOT(ISBLANK($B601)),VLOOKUP($B601,AssetCategories!$A:$E,2,0),"")</f>
        <v/>
      </c>
      <c r="EN601" t="str">
        <f>IF(NOT(ISBLANK($B601)),VLOOKUP($B601,AssetCategories!$A:$E,3,0),"")</f>
        <v/>
      </c>
      <c r="EP601" s="33" t="str">
        <f t="shared" si="19"/>
        <v/>
      </c>
    </row>
    <row r="602" spans="16:146" x14ac:dyDescent="0.25">
      <c r="P602" s="33" t="str" cm="1">
        <f t="array" ref="P602">IFERROR(SUM(VALUE(_xlfn.TEXTSPLIT(O602, ";"))), "")</f>
        <v/>
      </c>
      <c r="DO602" t="str">
        <f t="shared" si="18"/>
        <v/>
      </c>
      <c r="EG602" s="33" t="str">
        <f>IF(NOT(ISBLANK($B602)),VLOOKUP($B602,AssetCategories!$A:$E,5,0),"")</f>
        <v/>
      </c>
      <c r="EH602" t="str">
        <f>IF(NOT(ISBLANK($B602)),VLOOKUP($B602,AssetCategories!$A:$E,4,0),"")</f>
        <v/>
      </c>
      <c r="EM602" t="str">
        <f>IF(NOT(ISBLANK($B602)),VLOOKUP($B602,AssetCategories!$A:$E,2,0),"")</f>
        <v/>
      </c>
      <c r="EN602" t="str">
        <f>IF(NOT(ISBLANK($B602)),VLOOKUP($B602,AssetCategories!$A:$E,3,0),"")</f>
        <v/>
      </c>
      <c r="EP602" s="33" t="str">
        <f t="shared" si="19"/>
        <v/>
      </c>
    </row>
    <row r="603" spans="16:146" x14ac:dyDescent="0.25">
      <c r="P603" s="33" t="str" cm="1">
        <f t="array" ref="P603">IFERROR(SUM(VALUE(_xlfn.TEXTSPLIT(O603, ";"))), "")</f>
        <v/>
      </c>
      <c r="DO603" t="str">
        <f t="shared" si="18"/>
        <v/>
      </c>
      <c r="EG603" s="33" t="str">
        <f>IF(NOT(ISBLANK($B603)),VLOOKUP($B603,AssetCategories!$A:$E,5,0),"")</f>
        <v/>
      </c>
      <c r="EH603" t="str">
        <f>IF(NOT(ISBLANK($B603)),VLOOKUP($B603,AssetCategories!$A:$E,4,0),"")</f>
        <v/>
      </c>
      <c r="EM603" t="str">
        <f>IF(NOT(ISBLANK($B603)),VLOOKUP($B603,AssetCategories!$A:$E,2,0),"")</f>
        <v/>
      </c>
      <c r="EN603" t="str">
        <f>IF(NOT(ISBLANK($B603)),VLOOKUP($B603,AssetCategories!$A:$E,3,0),"")</f>
        <v/>
      </c>
      <c r="EP603" s="33" t="str">
        <f t="shared" si="19"/>
        <v/>
      </c>
    </row>
    <row r="604" spans="16:146" x14ac:dyDescent="0.25">
      <c r="P604" s="33" t="str" cm="1">
        <f t="array" ref="P604">IFERROR(SUM(VALUE(_xlfn.TEXTSPLIT(O604, ";"))), "")</f>
        <v/>
      </c>
      <c r="DO604" t="str">
        <f t="shared" si="18"/>
        <v/>
      </c>
      <c r="EG604" s="33" t="str">
        <f>IF(NOT(ISBLANK($B604)),VLOOKUP($B604,AssetCategories!$A:$E,5,0),"")</f>
        <v/>
      </c>
      <c r="EH604" t="str">
        <f>IF(NOT(ISBLANK($B604)),VLOOKUP($B604,AssetCategories!$A:$E,4,0),"")</f>
        <v/>
      </c>
      <c r="EM604" t="str">
        <f>IF(NOT(ISBLANK($B604)),VLOOKUP($B604,AssetCategories!$A:$E,2,0),"")</f>
        <v/>
      </c>
      <c r="EN604" t="str">
        <f>IF(NOT(ISBLANK($B604)),VLOOKUP($B604,AssetCategories!$A:$E,3,0),"")</f>
        <v/>
      </c>
      <c r="EP604" s="33" t="str">
        <f t="shared" si="19"/>
        <v/>
      </c>
    </row>
    <row r="605" spans="16:146" x14ac:dyDescent="0.25">
      <c r="P605" s="33" t="str" cm="1">
        <f t="array" ref="P605">IFERROR(SUM(VALUE(_xlfn.TEXTSPLIT(O605, ";"))), "")</f>
        <v/>
      </c>
      <c r="DO605" t="str">
        <f t="shared" si="18"/>
        <v/>
      </c>
      <c r="EG605" s="33" t="str">
        <f>IF(NOT(ISBLANK($B605)),VLOOKUP($B605,AssetCategories!$A:$E,5,0),"")</f>
        <v/>
      </c>
      <c r="EH605" t="str">
        <f>IF(NOT(ISBLANK($B605)),VLOOKUP($B605,AssetCategories!$A:$E,4,0),"")</f>
        <v/>
      </c>
      <c r="EM605" t="str">
        <f>IF(NOT(ISBLANK($B605)),VLOOKUP($B605,AssetCategories!$A:$E,2,0),"")</f>
        <v/>
      </c>
      <c r="EN605" t="str">
        <f>IF(NOT(ISBLANK($B605)),VLOOKUP($B605,AssetCategories!$A:$E,3,0),"")</f>
        <v/>
      </c>
      <c r="EP605" s="33" t="str">
        <f t="shared" si="19"/>
        <v/>
      </c>
    </row>
    <row r="606" spans="16:146" x14ac:dyDescent="0.25">
      <c r="P606" s="33" t="str" cm="1">
        <f t="array" ref="P606">IFERROR(SUM(VALUE(_xlfn.TEXTSPLIT(O606, ";"))), "")</f>
        <v/>
      </c>
      <c r="DO606" t="str">
        <f t="shared" si="18"/>
        <v/>
      </c>
      <c r="EG606" s="33" t="str">
        <f>IF(NOT(ISBLANK($B606)),VLOOKUP($B606,AssetCategories!$A:$E,5,0),"")</f>
        <v/>
      </c>
      <c r="EH606" t="str">
        <f>IF(NOT(ISBLANK($B606)),VLOOKUP($B606,AssetCategories!$A:$E,4,0),"")</f>
        <v/>
      </c>
      <c r="EM606" t="str">
        <f>IF(NOT(ISBLANK($B606)),VLOOKUP($B606,AssetCategories!$A:$E,2,0),"")</f>
        <v/>
      </c>
      <c r="EN606" t="str">
        <f>IF(NOT(ISBLANK($B606)),VLOOKUP($B606,AssetCategories!$A:$E,3,0),"")</f>
        <v/>
      </c>
      <c r="EP606" s="33" t="str">
        <f t="shared" si="19"/>
        <v/>
      </c>
    </row>
    <row r="607" spans="16:146" x14ac:dyDescent="0.25">
      <c r="P607" s="33" t="str" cm="1">
        <f t="array" ref="P607">IFERROR(SUM(VALUE(_xlfn.TEXTSPLIT(O607, ";"))), "")</f>
        <v/>
      </c>
      <c r="DO607" t="str">
        <f t="shared" si="18"/>
        <v/>
      </c>
      <c r="EG607" s="33" t="str">
        <f>IF(NOT(ISBLANK($B607)),VLOOKUP($B607,AssetCategories!$A:$E,5,0),"")</f>
        <v/>
      </c>
      <c r="EH607" t="str">
        <f>IF(NOT(ISBLANK($B607)),VLOOKUP($B607,AssetCategories!$A:$E,4,0),"")</f>
        <v/>
      </c>
      <c r="EM607" t="str">
        <f>IF(NOT(ISBLANK($B607)),VLOOKUP($B607,AssetCategories!$A:$E,2,0),"")</f>
        <v/>
      </c>
      <c r="EN607" t="str">
        <f>IF(NOT(ISBLANK($B607)),VLOOKUP($B607,AssetCategories!$A:$E,3,0),"")</f>
        <v/>
      </c>
      <c r="EP607" s="33" t="str">
        <f t="shared" si="19"/>
        <v/>
      </c>
    </row>
    <row r="608" spans="16:146" x14ac:dyDescent="0.25">
      <c r="P608" s="33" t="str" cm="1">
        <f t="array" ref="P608">IFERROR(SUM(VALUE(_xlfn.TEXTSPLIT(O608, ";"))), "")</f>
        <v/>
      </c>
      <c r="DO608" t="str">
        <f t="shared" si="18"/>
        <v/>
      </c>
      <c r="EG608" s="33" t="str">
        <f>IF(NOT(ISBLANK($B608)),VLOOKUP($B608,AssetCategories!$A:$E,5,0),"")</f>
        <v/>
      </c>
      <c r="EH608" t="str">
        <f>IF(NOT(ISBLANK($B608)),VLOOKUP($B608,AssetCategories!$A:$E,4,0),"")</f>
        <v/>
      </c>
      <c r="EM608" t="str">
        <f>IF(NOT(ISBLANK($B608)),VLOOKUP($B608,AssetCategories!$A:$E,2,0),"")</f>
        <v/>
      </c>
      <c r="EN608" t="str">
        <f>IF(NOT(ISBLANK($B608)),VLOOKUP($B608,AssetCategories!$A:$E,3,0),"")</f>
        <v/>
      </c>
      <c r="EP608" s="33" t="str">
        <f t="shared" si="19"/>
        <v/>
      </c>
    </row>
    <row r="609" spans="16:146" x14ac:dyDescent="0.25">
      <c r="P609" s="33" t="str" cm="1">
        <f t="array" ref="P609">IFERROR(SUM(VALUE(_xlfn.TEXTSPLIT(O609, ";"))), "")</f>
        <v/>
      </c>
      <c r="DO609" t="str">
        <f t="shared" si="18"/>
        <v/>
      </c>
      <c r="EG609" s="33" t="str">
        <f>IF(NOT(ISBLANK($B609)),VLOOKUP($B609,AssetCategories!$A:$E,5,0),"")</f>
        <v/>
      </c>
      <c r="EH609" t="str">
        <f>IF(NOT(ISBLANK($B609)),VLOOKUP($B609,AssetCategories!$A:$E,4,0),"")</f>
        <v/>
      </c>
      <c r="EM609" t="str">
        <f>IF(NOT(ISBLANK($B609)),VLOOKUP($B609,AssetCategories!$A:$E,2,0),"")</f>
        <v/>
      </c>
      <c r="EN609" t="str">
        <f>IF(NOT(ISBLANK($B609)),VLOOKUP($B609,AssetCategories!$A:$E,3,0),"")</f>
        <v/>
      </c>
      <c r="EP609" s="33" t="str">
        <f t="shared" si="19"/>
        <v/>
      </c>
    </row>
    <row r="610" spans="16:146" x14ac:dyDescent="0.25">
      <c r="P610" s="33" t="str" cm="1">
        <f t="array" ref="P610">IFERROR(SUM(VALUE(_xlfn.TEXTSPLIT(O610, ";"))), "")</f>
        <v/>
      </c>
      <c r="DO610" t="str">
        <f t="shared" si="18"/>
        <v/>
      </c>
      <c r="EG610" s="33" t="str">
        <f>IF(NOT(ISBLANK($B610)),VLOOKUP($B610,AssetCategories!$A:$E,5,0),"")</f>
        <v/>
      </c>
      <c r="EH610" t="str">
        <f>IF(NOT(ISBLANK($B610)),VLOOKUP($B610,AssetCategories!$A:$E,4,0),"")</f>
        <v/>
      </c>
      <c r="EM610" t="str">
        <f>IF(NOT(ISBLANK($B610)),VLOOKUP($B610,AssetCategories!$A:$E,2,0),"")</f>
        <v/>
      </c>
      <c r="EN610" t="str">
        <f>IF(NOT(ISBLANK($B610)),VLOOKUP($B610,AssetCategories!$A:$E,3,0),"")</f>
        <v/>
      </c>
      <c r="EP610" s="33" t="str">
        <f t="shared" si="19"/>
        <v/>
      </c>
    </row>
    <row r="611" spans="16:146" x14ac:dyDescent="0.25">
      <c r="P611" s="33" t="str" cm="1">
        <f t="array" ref="P611">IFERROR(SUM(VALUE(_xlfn.TEXTSPLIT(O611, ";"))), "")</f>
        <v/>
      </c>
      <c r="DO611" t="str">
        <f t="shared" si="18"/>
        <v/>
      </c>
      <c r="EG611" s="33" t="str">
        <f>IF(NOT(ISBLANK($B611)),VLOOKUP($B611,AssetCategories!$A:$E,5,0),"")</f>
        <v/>
      </c>
      <c r="EH611" t="str">
        <f>IF(NOT(ISBLANK($B611)),VLOOKUP($B611,AssetCategories!$A:$E,4,0),"")</f>
        <v/>
      </c>
      <c r="EM611" t="str">
        <f>IF(NOT(ISBLANK($B611)),VLOOKUP($B611,AssetCategories!$A:$E,2,0),"")</f>
        <v/>
      </c>
      <c r="EN611" t="str">
        <f>IF(NOT(ISBLANK($B611)),VLOOKUP($B611,AssetCategories!$A:$E,3,0),"")</f>
        <v/>
      </c>
      <c r="EP611" s="33" t="str">
        <f t="shared" si="19"/>
        <v/>
      </c>
    </row>
    <row r="612" spans="16:146" x14ac:dyDescent="0.25">
      <c r="P612" s="33" t="str" cm="1">
        <f t="array" ref="P612">IFERROR(SUM(VALUE(_xlfn.TEXTSPLIT(O612, ";"))), "")</f>
        <v/>
      </c>
      <c r="DO612" t="str">
        <f t="shared" si="18"/>
        <v/>
      </c>
      <c r="EG612" s="33" t="str">
        <f>IF(NOT(ISBLANK($B612)),VLOOKUP($B612,AssetCategories!$A:$E,5,0),"")</f>
        <v/>
      </c>
      <c r="EH612" t="str">
        <f>IF(NOT(ISBLANK($B612)),VLOOKUP($B612,AssetCategories!$A:$E,4,0),"")</f>
        <v/>
      </c>
      <c r="EM612" t="str">
        <f>IF(NOT(ISBLANK($B612)),VLOOKUP($B612,AssetCategories!$A:$E,2,0),"")</f>
        <v/>
      </c>
      <c r="EN612" t="str">
        <f>IF(NOT(ISBLANK($B612)),VLOOKUP($B612,AssetCategories!$A:$E,3,0),"")</f>
        <v/>
      </c>
      <c r="EP612" s="33" t="str">
        <f t="shared" si="19"/>
        <v/>
      </c>
    </row>
    <row r="613" spans="16:146" x14ac:dyDescent="0.25">
      <c r="P613" s="33" t="str" cm="1">
        <f t="array" ref="P613">IFERROR(SUM(VALUE(_xlfn.TEXTSPLIT(O613, ";"))), "")</f>
        <v/>
      </c>
      <c r="DO613" t="str">
        <f t="shared" si="18"/>
        <v/>
      </c>
      <c r="EG613" s="33" t="str">
        <f>IF(NOT(ISBLANK($B613)),VLOOKUP($B613,AssetCategories!$A:$E,5,0),"")</f>
        <v/>
      </c>
      <c r="EH613" t="str">
        <f>IF(NOT(ISBLANK($B613)),VLOOKUP($B613,AssetCategories!$A:$E,4,0),"")</f>
        <v/>
      </c>
      <c r="EM613" t="str">
        <f>IF(NOT(ISBLANK($B613)),VLOOKUP($B613,AssetCategories!$A:$E,2,0),"")</f>
        <v/>
      </c>
      <c r="EN613" t="str">
        <f>IF(NOT(ISBLANK($B613)),VLOOKUP($B613,AssetCategories!$A:$E,3,0),"")</f>
        <v/>
      </c>
      <c r="EP613" s="33" t="str">
        <f t="shared" si="19"/>
        <v/>
      </c>
    </row>
    <row r="614" spans="16:146" x14ac:dyDescent="0.25">
      <c r="P614" s="33" t="str" cm="1">
        <f t="array" ref="P614">IFERROR(SUM(VALUE(_xlfn.TEXTSPLIT(O614, ";"))), "")</f>
        <v/>
      </c>
      <c r="DO614" t="str">
        <f t="shared" si="18"/>
        <v/>
      </c>
      <c r="EG614" s="33" t="str">
        <f>IF(NOT(ISBLANK($B614)),VLOOKUP($B614,AssetCategories!$A:$E,5,0),"")</f>
        <v/>
      </c>
      <c r="EH614" t="str">
        <f>IF(NOT(ISBLANK($B614)),VLOOKUP($B614,AssetCategories!$A:$E,4,0),"")</f>
        <v/>
      </c>
      <c r="EM614" t="str">
        <f>IF(NOT(ISBLANK($B614)),VLOOKUP($B614,AssetCategories!$A:$E,2,0),"")</f>
        <v/>
      </c>
      <c r="EN614" t="str">
        <f>IF(NOT(ISBLANK($B614)),VLOOKUP($B614,AssetCategories!$A:$E,3,0),"")</f>
        <v/>
      </c>
      <c r="EP614" s="33" t="str">
        <f t="shared" si="19"/>
        <v/>
      </c>
    </row>
    <row r="615" spans="16:146" x14ac:dyDescent="0.25">
      <c r="P615" s="33" t="str" cm="1">
        <f t="array" ref="P615">IFERROR(SUM(VALUE(_xlfn.TEXTSPLIT(O615, ";"))), "")</f>
        <v/>
      </c>
      <c r="DO615" t="str">
        <f t="shared" si="18"/>
        <v/>
      </c>
      <c r="EG615" s="33" t="str">
        <f>IF(NOT(ISBLANK($B615)),VLOOKUP($B615,AssetCategories!$A:$E,5,0),"")</f>
        <v/>
      </c>
      <c r="EH615" t="str">
        <f>IF(NOT(ISBLANK($B615)),VLOOKUP($B615,AssetCategories!$A:$E,4,0),"")</f>
        <v/>
      </c>
      <c r="EM615" t="str">
        <f>IF(NOT(ISBLANK($B615)),VLOOKUP($B615,AssetCategories!$A:$E,2,0),"")</f>
        <v/>
      </c>
      <c r="EN615" t="str">
        <f>IF(NOT(ISBLANK($B615)),VLOOKUP($B615,AssetCategories!$A:$E,3,0),"")</f>
        <v/>
      </c>
      <c r="EP615" s="33" t="str">
        <f t="shared" si="19"/>
        <v/>
      </c>
    </row>
    <row r="616" spans="16:146" x14ac:dyDescent="0.25">
      <c r="P616" s="33" t="str" cm="1">
        <f t="array" ref="P616">IFERROR(SUM(VALUE(_xlfn.TEXTSPLIT(O616, ";"))), "")</f>
        <v/>
      </c>
      <c r="DO616" t="str">
        <f t="shared" si="18"/>
        <v/>
      </c>
      <c r="EG616" s="33" t="str">
        <f>IF(NOT(ISBLANK($B616)),VLOOKUP($B616,AssetCategories!$A:$E,5,0),"")</f>
        <v/>
      </c>
      <c r="EH616" t="str">
        <f>IF(NOT(ISBLANK($B616)),VLOOKUP($B616,AssetCategories!$A:$E,4,0),"")</f>
        <v/>
      </c>
      <c r="EM616" t="str">
        <f>IF(NOT(ISBLANK($B616)),VLOOKUP($B616,AssetCategories!$A:$E,2,0),"")</f>
        <v/>
      </c>
      <c r="EN616" t="str">
        <f>IF(NOT(ISBLANK($B616)),VLOOKUP($B616,AssetCategories!$A:$E,3,0),"")</f>
        <v/>
      </c>
      <c r="EP616" s="33" t="str">
        <f t="shared" si="19"/>
        <v/>
      </c>
    </row>
    <row r="617" spans="16:146" x14ac:dyDescent="0.25">
      <c r="P617" s="33" t="str" cm="1">
        <f t="array" ref="P617">IFERROR(SUM(VALUE(_xlfn.TEXTSPLIT(O617, ";"))), "")</f>
        <v/>
      </c>
      <c r="DO617" t="str">
        <f t="shared" si="18"/>
        <v/>
      </c>
      <c r="EG617" s="33" t="str">
        <f>IF(NOT(ISBLANK($B617)),VLOOKUP($B617,AssetCategories!$A:$E,5,0),"")</f>
        <v/>
      </c>
      <c r="EH617" t="str">
        <f>IF(NOT(ISBLANK($B617)),VLOOKUP($B617,AssetCategories!$A:$E,4,0),"")</f>
        <v/>
      </c>
      <c r="EM617" t="str">
        <f>IF(NOT(ISBLANK($B617)),VLOOKUP($B617,AssetCategories!$A:$E,2,0),"")</f>
        <v/>
      </c>
      <c r="EN617" t="str">
        <f>IF(NOT(ISBLANK($B617)),VLOOKUP($B617,AssetCategories!$A:$E,3,0),"")</f>
        <v/>
      </c>
      <c r="EP617" s="33" t="str">
        <f t="shared" si="19"/>
        <v/>
      </c>
    </row>
    <row r="618" spans="16:146" x14ac:dyDescent="0.25">
      <c r="P618" s="33" t="str" cm="1">
        <f t="array" ref="P618">IFERROR(SUM(VALUE(_xlfn.TEXTSPLIT(O618, ";"))), "")</f>
        <v/>
      </c>
      <c r="DO618" t="str">
        <f t="shared" si="18"/>
        <v/>
      </c>
      <c r="EG618" s="33" t="str">
        <f>IF(NOT(ISBLANK($B618)),VLOOKUP($B618,AssetCategories!$A:$E,5,0),"")</f>
        <v/>
      </c>
      <c r="EH618" t="str">
        <f>IF(NOT(ISBLANK($B618)),VLOOKUP($B618,AssetCategories!$A:$E,4,0),"")</f>
        <v/>
      </c>
      <c r="EM618" t="str">
        <f>IF(NOT(ISBLANK($B618)),VLOOKUP($B618,AssetCategories!$A:$E,2,0),"")</f>
        <v/>
      </c>
      <c r="EN618" t="str">
        <f>IF(NOT(ISBLANK($B618)),VLOOKUP($B618,AssetCategories!$A:$E,3,0),"")</f>
        <v/>
      </c>
      <c r="EP618" s="33" t="str">
        <f t="shared" si="19"/>
        <v/>
      </c>
    </row>
    <row r="619" spans="16:146" x14ac:dyDescent="0.25">
      <c r="P619" s="33" t="str" cm="1">
        <f t="array" ref="P619">IFERROR(SUM(VALUE(_xlfn.TEXTSPLIT(O619, ";"))), "")</f>
        <v/>
      </c>
      <c r="DO619" t="str">
        <f t="shared" si="18"/>
        <v/>
      </c>
      <c r="EG619" s="33" t="str">
        <f>IF(NOT(ISBLANK($B619)),VLOOKUP($B619,AssetCategories!$A:$E,5,0),"")</f>
        <v/>
      </c>
      <c r="EH619" t="str">
        <f>IF(NOT(ISBLANK($B619)),VLOOKUP($B619,AssetCategories!$A:$E,4,0),"")</f>
        <v/>
      </c>
      <c r="EM619" t="str">
        <f>IF(NOT(ISBLANK($B619)),VLOOKUP($B619,AssetCategories!$A:$E,2,0),"")</f>
        <v/>
      </c>
      <c r="EN619" t="str">
        <f>IF(NOT(ISBLANK($B619)),VLOOKUP($B619,AssetCategories!$A:$E,3,0),"")</f>
        <v/>
      </c>
      <c r="EP619" s="33" t="str">
        <f t="shared" si="19"/>
        <v/>
      </c>
    </row>
    <row r="620" spans="16:146" x14ac:dyDescent="0.25">
      <c r="P620" s="33" t="str" cm="1">
        <f t="array" ref="P620">IFERROR(SUM(VALUE(_xlfn.TEXTSPLIT(O620, ";"))), "")</f>
        <v/>
      </c>
      <c r="DO620" t="str">
        <f t="shared" si="18"/>
        <v/>
      </c>
      <c r="EG620" s="33" t="str">
        <f>IF(NOT(ISBLANK($B620)),VLOOKUP($B620,AssetCategories!$A:$E,5,0),"")</f>
        <v/>
      </c>
      <c r="EH620" t="str">
        <f>IF(NOT(ISBLANK($B620)),VLOOKUP($B620,AssetCategories!$A:$E,4,0),"")</f>
        <v/>
      </c>
      <c r="EM620" t="str">
        <f>IF(NOT(ISBLANK($B620)),VLOOKUP($B620,AssetCategories!$A:$E,2,0),"")</f>
        <v/>
      </c>
      <c r="EN620" t="str">
        <f>IF(NOT(ISBLANK($B620)),VLOOKUP($B620,AssetCategories!$A:$E,3,0),"")</f>
        <v/>
      </c>
      <c r="EP620" s="33" t="str">
        <f t="shared" si="19"/>
        <v/>
      </c>
    </row>
    <row r="621" spans="16:146" x14ac:dyDescent="0.25">
      <c r="P621" s="33" t="str" cm="1">
        <f t="array" ref="P621">IFERROR(SUM(VALUE(_xlfn.TEXTSPLIT(O621, ";"))), "")</f>
        <v/>
      </c>
      <c r="DO621" t="str">
        <f t="shared" si="18"/>
        <v/>
      </c>
      <c r="EG621" s="33" t="str">
        <f>IF(NOT(ISBLANK($B621)),VLOOKUP($B621,AssetCategories!$A:$E,5,0),"")</f>
        <v/>
      </c>
      <c r="EH621" t="str">
        <f>IF(NOT(ISBLANK($B621)),VLOOKUP($B621,AssetCategories!$A:$E,4,0),"")</f>
        <v/>
      </c>
      <c r="EM621" t="str">
        <f>IF(NOT(ISBLANK($B621)),VLOOKUP($B621,AssetCategories!$A:$E,2,0),"")</f>
        <v/>
      </c>
      <c r="EN621" t="str">
        <f>IF(NOT(ISBLANK($B621)),VLOOKUP($B621,AssetCategories!$A:$E,3,0),"")</f>
        <v/>
      </c>
      <c r="EP621" s="33" t="str">
        <f t="shared" si="19"/>
        <v/>
      </c>
    </row>
    <row r="622" spans="16:146" x14ac:dyDescent="0.25">
      <c r="P622" s="33" t="str" cm="1">
        <f t="array" ref="P622">IFERROR(SUM(VALUE(_xlfn.TEXTSPLIT(O622, ";"))), "")</f>
        <v/>
      </c>
      <c r="DO622" t="str">
        <f t="shared" si="18"/>
        <v/>
      </c>
      <c r="EG622" s="33" t="str">
        <f>IF(NOT(ISBLANK($B622)),VLOOKUP($B622,AssetCategories!$A:$E,5,0),"")</f>
        <v/>
      </c>
      <c r="EH622" t="str">
        <f>IF(NOT(ISBLANK($B622)),VLOOKUP($B622,AssetCategories!$A:$E,4,0),"")</f>
        <v/>
      </c>
      <c r="EM622" t="str">
        <f>IF(NOT(ISBLANK($B622)),VLOOKUP($B622,AssetCategories!$A:$E,2,0),"")</f>
        <v/>
      </c>
      <c r="EN622" t="str">
        <f>IF(NOT(ISBLANK($B622)),VLOOKUP($B622,AssetCategories!$A:$E,3,0),"")</f>
        <v/>
      </c>
      <c r="EP622" s="33" t="str">
        <f t="shared" si="19"/>
        <v/>
      </c>
    </row>
    <row r="623" spans="16:146" x14ac:dyDescent="0.25">
      <c r="P623" s="33" t="str" cm="1">
        <f t="array" ref="P623">IFERROR(SUM(VALUE(_xlfn.TEXTSPLIT(O623, ";"))), "")</f>
        <v/>
      </c>
      <c r="DO623" t="str">
        <f t="shared" si="18"/>
        <v/>
      </c>
      <c r="EG623" s="33" t="str">
        <f>IF(NOT(ISBLANK($B623)),VLOOKUP($B623,AssetCategories!$A:$E,5,0),"")</f>
        <v/>
      </c>
      <c r="EH623" t="str">
        <f>IF(NOT(ISBLANK($B623)),VLOOKUP($B623,AssetCategories!$A:$E,4,0),"")</f>
        <v/>
      </c>
      <c r="EM623" t="str">
        <f>IF(NOT(ISBLANK($B623)),VLOOKUP($B623,AssetCategories!$A:$E,2,0),"")</f>
        <v/>
      </c>
      <c r="EN623" t="str">
        <f>IF(NOT(ISBLANK($B623)),VLOOKUP($B623,AssetCategories!$A:$E,3,0),"")</f>
        <v/>
      </c>
      <c r="EP623" s="33" t="str">
        <f t="shared" si="19"/>
        <v/>
      </c>
    </row>
    <row r="624" spans="16:146" x14ac:dyDescent="0.25">
      <c r="P624" s="33" t="str" cm="1">
        <f t="array" ref="P624">IFERROR(SUM(VALUE(_xlfn.TEXTSPLIT(O624, ";"))), "")</f>
        <v/>
      </c>
      <c r="DO624" t="str">
        <f t="shared" si="18"/>
        <v/>
      </c>
      <c r="EG624" s="33" t="str">
        <f>IF(NOT(ISBLANK($B624)),VLOOKUP($B624,AssetCategories!$A:$E,5,0),"")</f>
        <v/>
      </c>
      <c r="EH624" t="str">
        <f>IF(NOT(ISBLANK($B624)),VLOOKUP($B624,AssetCategories!$A:$E,4,0),"")</f>
        <v/>
      </c>
      <c r="EM624" t="str">
        <f>IF(NOT(ISBLANK($B624)),VLOOKUP($B624,AssetCategories!$A:$E,2,0),"")</f>
        <v/>
      </c>
      <c r="EN624" t="str">
        <f>IF(NOT(ISBLANK($B624)),VLOOKUP($B624,AssetCategories!$A:$E,3,0),"")</f>
        <v/>
      </c>
      <c r="EP624" s="33" t="str">
        <f t="shared" si="19"/>
        <v/>
      </c>
    </row>
    <row r="625" spans="16:146" x14ac:dyDescent="0.25">
      <c r="P625" s="33" t="str" cm="1">
        <f t="array" ref="P625">IFERROR(SUM(VALUE(_xlfn.TEXTSPLIT(O625, ";"))), "")</f>
        <v/>
      </c>
      <c r="DO625" t="str">
        <f t="shared" si="18"/>
        <v/>
      </c>
      <c r="EG625" s="33" t="str">
        <f>IF(NOT(ISBLANK($B625)),VLOOKUP($B625,AssetCategories!$A:$E,5,0),"")</f>
        <v/>
      </c>
      <c r="EH625" t="str">
        <f>IF(NOT(ISBLANK($B625)),VLOOKUP($B625,AssetCategories!$A:$E,4,0),"")</f>
        <v/>
      </c>
      <c r="EM625" t="str">
        <f>IF(NOT(ISBLANK($B625)),VLOOKUP($B625,AssetCategories!$A:$E,2,0),"")</f>
        <v/>
      </c>
      <c r="EN625" t="str">
        <f>IF(NOT(ISBLANK($B625)),VLOOKUP($B625,AssetCategories!$A:$E,3,0),"")</f>
        <v/>
      </c>
      <c r="EP625" s="33" t="str">
        <f t="shared" si="19"/>
        <v/>
      </c>
    </row>
    <row r="626" spans="16:146" x14ac:dyDescent="0.25">
      <c r="P626" s="33" t="str" cm="1">
        <f t="array" ref="P626">IFERROR(SUM(VALUE(_xlfn.TEXTSPLIT(O626, ";"))), "")</f>
        <v/>
      </c>
      <c r="DO626" t="str">
        <f t="shared" si="18"/>
        <v/>
      </c>
      <c r="EG626" s="33" t="str">
        <f>IF(NOT(ISBLANK($B626)),VLOOKUP($B626,AssetCategories!$A:$E,5,0),"")</f>
        <v/>
      </c>
      <c r="EH626" t="str">
        <f>IF(NOT(ISBLANK($B626)),VLOOKUP($B626,AssetCategories!$A:$E,4,0),"")</f>
        <v/>
      </c>
      <c r="EM626" t="str">
        <f>IF(NOT(ISBLANK($B626)),VLOOKUP($B626,AssetCategories!$A:$E,2,0),"")</f>
        <v/>
      </c>
      <c r="EN626" t="str">
        <f>IF(NOT(ISBLANK($B626)),VLOOKUP($B626,AssetCategories!$A:$E,3,0),"")</f>
        <v/>
      </c>
      <c r="EP626" s="33" t="str">
        <f t="shared" si="19"/>
        <v/>
      </c>
    </row>
    <row r="627" spans="16:146" x14ac:dyDescent="0.25">
      <c r="P627" s="33" t="str" cm="1">
        <f t="array" ref="P627">IFERROR(SUM(VALUE(_xlfn.TEXTSPLIT(O627, ";"))), "")</f>
        <v/>
      </c>
      <c r="DO627" t="str">
        <f t="shared" si="18"/>
        <v/>
      </c>
      <c r="EG627" s="33" t="str">
        <f>IF(NOT(ISBLANK($B627)),VLOOKUP($B627,AssetCategories!$A:$E,5,0),"")</f>
        <v/>
      </c>
      <c r="EH627" t="str">
        <f>IF(NOT(ISBLANK($B627)),VLOOKUP($B627,AssetCategories!$A:$E,4,0),"")</f>
        <v/>
      </c>
      <c r="EM627" t="str">
        <f>IF(NOT(ISBLANK($B627)),VLOOKUP($B627,AssetCategories!$A:$E,2,0),"")</f>
        <v/>
      </c>
      <c r="EN627" t="str">
        <f>IF(NOT(ISBLANK($B627)),VLOOKUP($B627,AssetCategories!$A:$E,3,0),"")</f>
        <v/>
      </c>
      <c r="EP627" s="33" t="str">
        <f t="shared" si="19"/>
        <v/>
      </c>
    </row>
    <row r="628" spans="16:146" x14ac:dyDescent="0.25">
      <c r="P628" s="33" t="str" cm="1">
        <f t="array" ref="P628">IFERROR(SUM(VALUE(_xlfn.TEXTSPLIT(O628, ";"))), "")</f>
        <v/>
      </c>
      <c r="DO628" t="str">
        <f t="shared" si="18"/>
        <v/>
      </c>
      <c r="EG628" s="33" t="str">
        <f>IF(NOT(ISBLANK($B628)),VLOOKUP($B628,AssetCategories!$A:$E,5,0),"")</f>
        <v/>
      </c>
      <c r="EH628" t="str">
        <f>IF(NOT(ISBLANK($B628)),VLOOKUP($B628,AssetCategories!$A:$E,4,0),"")</f>
        <v/>
      </c>
      <c r="EM628" t="str">
        <f>IF(NOT(ISBLANK($B628)),VLOOKUP($B628,AssetCategories!$A:$E,2,0),"")</f>
        <v/>
      </c>
      <c r="EN628" t="str">
        <f>IF(NOT(ISBLANK($B628)),VLOOKUP($B628,AssetCategories!$A:$E,3,0),"")</f>
        <v/>
      </c>
      <c r="EP628" s="33" t="str">
        <f t="shared" si="19"/>
        <v/>
      </c>
    </row>
    <row r="629" spans="16:146" x14ac:dyDescent="0.25">
      <c r="P629" s="33" t="str" cm="1">
        <f t="array" ref="P629">IFERROR(SUM(VALUE(_xlfn.TEXTSPLIT(O629, ";"))), "")</f>
        <v/>
      </c>
      <c r="DO629" t="str">
        <f t="shared" si="18"/>
        <v/>
      </c>
      <c r="EG629" s="33" t="str">
        <f>IF(NOT(ISBLANK($B629)),VLOOKUP($B629,AssetCategories!$A:$E,5,0),"")</f>
        <v/>
      </c>
      <c r="EH629" t="str">
        <f>IF(NOT(ISBLANK($B629)),VLOOKUP($B629,AssetCategories!$A:$E,4,0),"")</f>
        <v/>
      </c>
      <c r="EM629" t="str">
        <f>IF(NOT(ISBLANK($B629)),VLOOKUP($B629,AssetCategories!$A:$E,2,0),"")</f>
        <v/>
      </c>
      <c r="EN629" t="str">
        <f>IF(NOT(ISBLANK($B629)),VLOOKUP($B629,AssetCategories!$A:$E,3,0),"")</f>
        <v/>
      </c>
      <c r="EP629" s="33" t="str">
        <f t="shared" si="19"/>
        <v/>
      </c>
    </row>
    <row r="630" spans="16:146" x14ac:dyDescent="0.25">
      <c r="P630" s="33" t="str" cm="1">
        <f t="array" ref="P630">IFERROR(SUM(VALUE(_xlfn.TEXTSPLIT(O630, ";"))), "")</f>
        <v/>
      </c>
      <c r="DO630" t="str">
        <f t="shared" si="18"/>
        <v/>
      </c>
      <c r="EG630" s="33" t="str">
        <f>IF(NOT(ISBLANK($B630)),VLOOKUP($B630,AssetCategories!$A:$E,5,0),"")</f>
        <v/>
      </c>
      <c r="EH630" t="str">
        <f>IF(NOT(ISBLANK($B630)),VLOOKUP($B630,AssetCategories!$A:$E,4,0),"")</f>
        <v/>
      </c>
      <c r="EM630" t="str">
        <f>IF(NOT(ISBLANK($B630)),VLOOKUP($B630,AssetCategories!$A:$E,2,0),"")</f>
        <v/>
      </c>
      <c r="EN630" t="str">
        <f>IF(NOT(ISBLANK($B630)),VLOOKUP($B630,AssetCategories!$A:$E,3,0),"")</f>
        <v/>
      </c>
      <c r="EP630" s="33" t="str">
        <f t="shared" si="19"/>
        <v/>
      </c>
    </row>
    <row r="631" spans="16:146" x14ac:dyDescent="0.25">
      <c r="P631" s="33" t="str" cm="1">
        <f t="array" ref="P631">IFERROR(SUM(VALUE(_xlfn.TEXTSPLIT(O631, ";"))), "")</f>
        <v/>
      </c>
      <c r="DO631" t="str">
        <f t="shared" si="18"/>
        <v/>
      </c>
      <c r="EG631" s="33" t="str">
        <f>IF(NOT(ISBLANK($B631)),VLOOKUP($B631,AssetCategories!$A:$E,5,0),"")</f>
        <v/>
      </c>
      <c r="EH631" t="str">
        <f>IF(NOT(ISBLANK($B631)),VLOOKUP($B631,AssetCategories!$A:$E,4,0),"")</f>
        <v/>
      </c>
      <c r="EM631" t="str">
        <f>IF(NOT(ISBLANK($B631)),VLOOKUP($B631,AssetCategories!$A:$E,2,0),"")</f>
        <v/>
      </c>
      <c r="EN631" t="str">
        <f>IF(NOT(ISBLANK($B631)),VLOOKUP($B631,AssetCategories!$A:$E,3,0),"")</f>
        <v/>
      </c>
      <c r="EP631" s="33" t="str">
        <f t="shared" si="19"/>
        <v/>
      </c>
    </row>
    <row r="632" spans="16:146" x14ac:dyDescent="0.25">
      <c r="P632" s="33" t="str" cm="1">
        <f t="array" ref="P632">IFERROR(SUM(VALUE(_xlfn.TEXTSPLIT(O632, ";"))), "")</f>
        <v/>
      </c>
      <c r="DO632" t="str">
        <f t="shared" si="18"/>
        <v/>
      </c>
      <c r="EG632" s="33" t="str">
        <f>IF(NOT(ISBLANK($B632)),VLOOKUP($B632,AssetCategories!$A:$E,5,0),"")</f>
        <v/>
      </c>
      <c r="EH632" t="str">
        <f>IF(NOT(ISBLANK($B632)),VLOOKUP($B632,AssetCategories!$A:$E,4,0),"")</f>
        <v/>
      </c>
      <c r="EM632" t="str">
        <f>IF(NOT(ISBLANK($B632)),VLOOKUP($B632,AssetCategories!$A:$E,2,0),"")</f>
        <v/>
      </c>
      <c r="EN632" t="str">
        <f>IF(NOT(ISBLANK($B632)),VLOOKUP($B632,AssetCategories!$A:$E,3,0),"")</f>
        <v/>
      </c>
      <c r="EP632" s="33" t="str">
        <f t="shared" si="19"/>
        <v/>
      </c>
    </row>
    <row r="633" spans="16:146" x14ac:dyDescent="0.25">
      <c r="P633" s="33" t="str" cm="1">
        <f t="array" ref="P633">IFERROR(SUM(VALUE(_xlfn.TEXTSPLIT(O633, ";"))), "")</f>
        <v/>
      </c>
      <c r="DO633" t="str">
        <f t="shared" si="18"/>
        <v/>
      </c>
      <c r="EG633" s="33" t="str">
        <f>IF(NOT(ISBLANK($B633)),VLOOKUP($B633,AssetCategories!$A:$E,5,0),"")</f>
        <v/>
      </c>
      <c r="EH633" t="str">
        <f>IF(NOT(ISBLANK($B633)),VLOOKUP($B633,AssetCategories!$A:$E,4,0),"")</f>
        <v/>
      </c>
      <c r="EM633" t="str">
        <f>IF(NOT(ISBLANK($B633)),VLOOKUP($B633,AssetCategories!$A:$E,2,0),"")</f>
        <v/>
      </c>
      <c r="EN633" t="str">
        <f>IF(NOT(ISBLANK($B633)),VLOOKUP($B633,AssetCategories!$A:$E,3,0),"")</f>
        <v/>
      </c>
      <c r="EP633" s="33" t="str">
        <f t="shared" si="19"/>
        <v/>
      </c>
    </row>
    <row r="634" spans="16:146" x14ac:dyDescent="0.25">
      <c r="P634" s="33" t="str" cm="1">
        <f t="array" ref="P634">IFERROR(SUM(VALUE(_xlfn.TEXTSPLIT(O634, ";"))), "")</f>
        <v/>
      </c>
      <c r="DO634" t="str">
        <f t="shared" si="18"/>
        <v/>
      </c>
      <c r="EG634" s="33" t="str">
        <f>IF(NOT(ISBLANK($B634)),VLOOKUP($B634,AssetCategories!$A:$E,5,0),"")</f>
        <v/>
      </c>
      <c r="EH634" t="str">
        <f>IF(NOT(ISBLANK($B634)),VLOOKUP($B634,AssetCategories!$A:$E,4,0),"")</f>
        <v/>
      </c>
      <c r="EM634" t="str">
        <f>IF(NOT(ISBLANK($B634)),VLOOKUP($B634,AssetCategories!$A:$E,2,0),"")</f>
        <v/>
      </c>
      <c r="EN634" t="str">
        <f>IF(NOT(ISBLANK($B634)),VLOOKUP($B634,AssetCategories!$A:$E,3,0),"")</f>
        <v/>
      </c>
      <c r="EP634" s="33" t="str">
        <f t="shared" si="19"/>
        <v/>
      </c>
    </row>
    <row r="635" spans="16:146" x14ac:dyDescent="0.25">
      <c r="P635" s="33" t="str" cm="1">
        <f t="array" ref="P635">IFERROR(SUM(VALUE(_xlfn.TEXTSPLIT(O635, ";"))), "")</f>
        <v/>
      </c>
      <c r="DO635" t="str">
        <f t="shared" si="18"/>
        <v/>
      </c>
      <c r="EG635" s="33" t="str">
        <f>IF(NOT(ISBLANK($B635)),VLOOKUP($B635,AssetCategories!$A:$E,5,0),"")</f>
        <v/>
      </c>
      <c r="EH635" t="str">
        <f>IF(NOT(ISBLANK($B635)),VLOOKUP($B635,AssetCategories!$A:$E,4,0),"")</f>
        <v/>
      </c>
      <c r="EM635" t="str">
        <f>IF(NOT(ISBLANK($B635)),VLOOKUP($B635,AssetCategories!$A:$E,2,0),"")</f>
        <v/>
      </c>
      <c r="EN635" t="str">
        <f>IF(NOT(ISBLANK($B635)),VLOOKUP($B635,AssetCategories!$A:$E,3,0),"")</f>
        <v/>
      </c>
      <c r="EP635" s="33" t="str">
        <f t="shared" si="19"/>
        <v/>
      </c>
    </row>
    <row r="636" spans="16:146" x14ac:dyDescent="0.25">
      <c r="P636" s="33" t="str" cm="1">
        <f t="array" ref="P636">IFERROR(SUM(VALUE(_xlfn.TEXTSPLIT(O636, ";"))), "")</f>
        <v/>
      </c>
      <c r="DO636" t="str">
        <f t="shared" si="18"/>
        <v/>
      </c>
      <c r="EG636" s="33" t="str">
        <f>IF(NOT(ISBLANK($B636)),VLOOKUP($B636,AssetCategories!$A:$E,5,0),"")</f>
        <v/>
      </c>
      <c r="EH636" t="str">
        <f>IF(NOT(ISBLANK($B636)),VLOOKUP($B636,AssetCategories!$A:$E,4,0),"")</f>
        <v/>
      </c>
      <c r="EM636" t="str">
        <f>IF(NOT(ISBLANK($B636)),VLOOKUP($B636,AssetCategories!$A:$E,2,0),"")</f>
        <v/>
      </c>
      <c r="EN636" t="str">
        <f>IF(NOT(ISBLANK($B636)),VLOOKUP($B636,AssetCategories!$A:$E,3,0),"")</f>
        <v/>
      </c>
      <c r="EP636" s="33" t="str">
        <f t="shared" si="19"/>
        <v/>
      </c>
    </row>
    <row r="637" spans="16:146" x14ac:dyDescent="0.25">
      <c r="P637" s="33" t="str" cm="1">
        <f t="array" ref="P637">IFERROR(SUM(VALUE(_xlfn.TEXTSPLIT(O637, ";"))), "")</f>
        <v/>
      </c>
      <c r="DO637" t="str">
        <f t="shared" si="18"/>
        <v/>
      </c>
      <c r="EG637" s="33" t="str">
        <f>IF(NOT(ISBLANK($B637)),VLOOKUP($B637,AssetCategories!$A:$E,5,0),"")</f>
        <v/>
      </c>
      <c r="EH637" t="str">
        <f>IF(NOT(ISBLANK($B637)),VLOOKUP($B637,AssetCategories!$A:$E,4,0),"")</f>
        <v/>
      </c>
      <c r="EM637" t="str">
        <f>IF(NOT(ISBLANK($B637)),VLOOKUP($B637,AssetCategories!$A:$E,2,0),"")</f>
        <v/>
      </c>
      <c r="EN637" t="str">
        <f>IF(NOT(ISBLANK($B637)),VLOOKUP($B637,AssetCategories!$A:$E,3,0),"")</f>
        <v/>
      </c>
      <c r="EP637" s="33" t="str">
        <f t="shared" si="19"/>
        <v/>
      </c>
    </row>
    <row r="638" spans="16:146" x14ac:dyDescent="0.25">
      <c r="P638" s="33" t="str" cm="1">
        <f t="array" ref="P638">IFERROR(SUM(VALUE(_xlfn.TEXTSPLIT(O638, ";"))), "")</f>
        <v/>
      </c>
      <c r="DO638" t="str">
        <f t="shared" si="18"/>
        <v/>
      </c>
      <c r="EG638" s="33" t="str">
        <f>IF(NOT(ISBLANK($B638)),VLOOKUP($B638,AssetCategories!$A:$E,5,0),"")</f>
        <v/>
      </c>
      <c r="EH638" t="str">
        <f>IF(NOT(ISBLANK($B638)),VLOOKUP($B638,AssetCategories!$A:$E,4,0),"")</f>
        <v/>
      </c>
      <c r="EM638" t="str">
        <f>IF(NOT(ISBLANK($B638)),VLOOKUP($B638,AssetCategories!$A:$E,2,0),"")</f>
        <v/>
      </c>
      <c r="EN638" t="str">
        <f>IF(NOT(ISBLANK($B638)),VLOOKUP($B638,AssetCategories!$A:$E,3,0),"")</f>
        <v/>
      </c>
      <c r="EP638" s="33" t="str">
        <f t="shared" si="19"/>
        <v/>
      </c>
    </row>
    <row r="639" spans="16:146" x14ac:dyDescent="0.25">
      <c r="P639" s="33" t="str" cm="1">
        <f t="array" ref="P639">IFERROR(SUM(VALUE(_xlfn.TEXTSPLIT(O639, ";"))), "")</f>
        <v/>
      </c>
      <c r="DO639" t="str">
        <f t="shared" si="18"/>
        <v/>
      </c>
      <c r="EG639" s="33" t="str">
        <f>IF(NOT(ISBLANK($B639)),VLOOKUP($B639,AssetCategories!$A:$E,5,0),"")</f>
        <v/>
      </c>
      <c r="EH639" t="str">
        <f>IF(NOT(ISBLANK($B639)),VLOOKUP($B639,AssetCategories!$A:$E,4,0),"")</f>
        <v/>
      </c>
      <c r="EM639" t="str">
        <f>IF(NOT(ISBLANK($B639)),VLOOKUP($B639,AssetCategories!$A:$E,2,0),"")</f>
        <v/>
      </c>
      <c r="EN639" t="str">
        <f>IF(NOT(ISBLANK($B639)),VLOOKUP($B639,AssetCategories!$A:$E,3,0),"")</f>
        <v/>
      </c>
      <c r="EP639" s="33" t="str">
        <f t="shared" si="19"/>
        <v/>
      </c>
    </row>
    <row r="640" spans="16:146" x14ac:dyDescent="0.25">
      <c r="P640" s="33" t="str" cm="1">
        <f t="array" ref="P640">IFERROR(SUM(VALUE(_xlfn.TEXTSPLIT(O640, ";"))), "")</f>
        <v/>
      </c>
      <c r="DO640" t="str">
        <f t="shared" si="18"/>
        <v/>
      </c>
      <c r="EG640" s="33" t="str">
        <f>IF(NOT(ISBLANK($B640)),VLOOKUP($B640,AssetCategories!$A:$E,5,0),"")</f>
        <v/>
      </c>
      <c r="EH640" t="str">
        <f>IF(NOT(ISBLANK($B640)),VLOOKUP($B640,AssetCategories!$A:$E,4,0),"")</f>
        <v/>
      </c>
      <c r="EM640" t="str">
        <f>IF(NOT(ISBLANK($B640)),VLOOKUP($B640,AssetCategories!$A:$E,2,0),"")</f>
        <v/>
      </c>
      <c r="EN640" t="str">
        <f>IF(NOT(ISBLANK($B640)),VLOOKUP($B640,AssetCategories!$A:$E,3,0),"")</f>
        <v/>
      </c>
      <c r="EP640" s="33" t="str">
        <f t="shared" si="19"/>
        <v/>
      </c>
    </row>
    <row r="641" spans="16:146" x14ac:dyDescent="0.25">
      <c r="P641" s="33" t="str" cm="1">
        <f t="array" ref="P641">IFERROR(SUM(VALUE(_xlfn.TEXTSPLIT(O641, ";"))), "")</f>
        <v/>
      </c>
      <c r="DO641" t="str">
        <f t="shared" si="18"/>
        <v/>
      </c>
      <c r="EG641" s="33" t="str">
        <f>IF(NOT(ISBLANK($B641)),VLOOKUP($B641,AssetCategories!$A:$E,5,0),"")</f>
        <v/>
      </c>
      <c r="EH641" t="str">
        <f>IF(NOT(ISBLANK($B641)),VLOOKUP($B641,AssetCategories!$A:$E,4,0),"")</f>
        <v/>
      </c>
      <c r="EM641" t="str">
        <f>IF(NOT(ISBLANK($B641)),VLOOKUP($B641,AssetCategories!$A:$E,2,0),"")</f>
        <v/>
      </c>
      <c r="EN641" t="str">
        <f>IF(NOT(ISBLANK($B641)),VLOOKUP($B641,AssetCategories!$A:$E,3,0),"")</f>
        <v/>
      </c>
      <c r="EP641" s="33" t="str">
        <f t="shared" si="19"/>
        <v/>
      </c>
    </row>
    <row r="642" spans="16:146" x14ac:dyDescent="0.25">
      <c r="P642" s="33" t="str" cm="1">
        <f t="array" ref="P642">IFERROR(SUM(VALUE(_xlfn.TEXTSPLIT(O642, ";"))), "")</f>
        <v/>
      </c>
      <c r="DO642" t="str">
        <f t="shared" si="18"/>
        <v/>
      </c>
      <c r="EG642" s="33" t="str">
        <f>IF(NOT(ISBLANK($B642)),VLOOKUP($B642,AssetCategories!$A:$E,5,0),"")</f>
        <v/>
      </c>
      <c r="EH642" t="str">
        <f>IF(NOT(ISBLANK($B642)),VLOOKUP($B642,AssetCategories!$A:$E,4,0),"")</f>
        <v/>
      </c>
      <c r="EM642" t="str">
        <f>IF(NOT(ISBLANK($B642)),VLOOKUP($B642,AssetCategories!$A:$E,2,0),"")</f>
        <v/>
      </c>
      <c r="EN642" t="str">
        <f>IF(NOT(ISBLANK($B642)),VLOOKUP($B642,AssetCategories!$A:$E,3,0),"")</f>
        <v/>
      </c>
      <c r="EP642" s="33" t="str">
        <f t="shared" si="19"/>
        <v/>
      </c>
    </row>
    <row r="643" spans="16:146" x14ac:dyDescent="0.25">
      <c r="P643" s="33" t="str" cm="1">
        <f t="array" ref="P643">IFERROR(SUM(VALUE(_xlfn.TEXTSPLIT(O643, ";"))), "")</f>
        <v/>
      </c>
      <c r="DO643" t="str">
        <f t="shared" si="18"/>
        <v/>
      </c>
      <c r="EG643" s="33" t="str">
        <f>IF(NOT(ISBLANK($B643)),VLOOKUP($B643,AssetCategories!$A:$E,5,0),"")</f>
        <v/>
      </c>
      <c r="EH643" t="str">
        <f>IF(NOT(ISBLANK($B643)),VLOOKUP($B643,AssetCategories!$A:$E,4,0),"")</f>
        <v/>
      </c>
      <c r="EM643" t="str">
        <f>IF(NOT(ISBLANK($B643)),VLOOKUP($B643,AssetCategories!$A:$E,2,0),"")</f>
        <v/>
      </c>
      <c r="EN643" t="str">
        <f>IF(NOT(ISBLANK($B643)),VLOOKUP($B643,AssetCategories!$A:$E,3,0),"")</f>
        <v/>
      </c>
      <c r="EP643" s="33" t="str">
        <f t="shared" si="19"/>
        <v/>
      </c>
    </row>
    <row r="644" spans="16:146" x14ac:dyDescent="0.25">
      <c r="P644" s="33" t="str" cm="1">
        <f t="array" ref="P644">IFERROR(SUM(VALUE(_xlfn.TEXTSPLIT(O644, ";"))), "")</f>
        <v/>
      </c>
      <c r="DO644" t="str">
        <f t="shared" si="18"/>
        <v/>
      </c>
      <c r="EG644" s="33" t="str">
        <f>IF(NOT(ISBLANK($B644)),VLOOKUP($B644,AssetCategories!$A:$E,5,0),"")</f>
        <v/>
      </c>
      <c r="EH644" t="str">
        <f>IF(NOT(ISBLANK($B644)),VLOOKUP($B644,AssetCategories!$A:$E,4,0),"")</f>
        <v/>
      </c>
      <c r="EM644" t="str">
        <f>IF(NOT(ISBLANK($B644)),VLOOKUP($B644,AssetCategories!$A:$E,2,0),"")</f>
        <v/>
      </c>
      <c r="EN644" t="str">
        <f>IF(NOT(ISBLANK($B644)),VLOOKUP($B644,AssetCategories!$A:$E,3,0),"")</f>
        <v/>
      </c>
      <c r="EP644" s="33" t="str">
        <f t="shared" si="19"/>
        <v/>
      </c>
    </row>
    <row r="645" spans="16:146" x14ac:dyDescent="0.25">
      <c r="P645" s="33" t="str" cm="1">
        <f t="array" ref="P645">IFERROR(SUM(VALUE(_xlfn.TEXTSPLIT(O645, ";"))), "")</f>
        <v/>
      </c>
      <c r="DO645" t="str">
        <f t="shared" ref="DO645:DO708" si="20">IF(SUM(DE645:DN645)=0, "", SUM(DE645:DN645))</f>
        <v/>
      </c>
      <c r="EG645" s="33" t="str">
        <f>IF(NOT(ISBLANK($B645)),VLOOKUP($B645,AssetCategories!$A:$E,5,0),"")</f>
        <v/>
      </c>
      <c r="EH645" t="str">
        <f>IF(NOT(ISBLANK($B645)),VLOOKUP($B645,AssetCategories!$A:$E,4,0),"")</f>
        <v/>
      </c>
      <c r="EM645" t="str">
        <f>IF(NOT(ISBLANK($B645)),VLOOKUP($B645,AssetCategories!$A:$E,2,0),"")</f>
        <v/>
      </c>
      <c r="EN645" t="str">
        <f>IF(NOT(ISBLANK($B645)),VLOOKUP($B645,AssetCategories!$A:$E,3,0),"")</f>
        <v/>
      </c>
      <c r="EP645" s="33" t="str">
        <f t="shared" ref="EP645:EP708" si="21">IFERROR(P645-EO645, "")</f>
        <v/>
      </c>
    </row>
    <row r="646" spans="16:146" x14ac:dyDescent="0.25">
      <c r="P646" s="33" t="str" cm="1">
        <f t="array" ref="P646">IFERROR(SUM(VALUE(_xlfn.TEXTSPLIT(O646, ";"))), "")</f>
        <v/>
      </c>
      <c r="DO646" t="str">
        <f t="shared" si="20"/>
        <v/>
      </c>
      <c r="EG646" s="33" t="str">
        <f>IF(NOT(ISBLANK($B646)),VLOOKUP($B646,AssetCategories!$A:$E,5,0),"")</f>
        <v/>
      </c>
      <c r="EH646" t="str">
        <f>IF(NOT(ISBLANK($B646)),VLOOKUP($B646,AssetCategories!$A:$E,4,0),"")</f>
        <v/>
      </c>
      <c r="EM646" t="str">
        <f>IF(NOT(ISBLANK($B646)),VLOOKUP($B646,AssetCategories!$A:$E,2,0),"")</f>
        <v/>
      </c>
      <c r="EN646" t="str">
        <f>IF(NOT(ISBLANK($B646)),VLOOKUP($B646,AssetCategories!$A:$E,3,0),"")</f>
        <v/>
      </c>
      <c r="EP646" s="33" t="str">
        <f t="shared" si="21"/>
        <v/>
      </c>
    </row>
    <row r="647" spans="16:146" x14ac:dyDescent="0.25">
      <c r="P647" s="33" t="str" cm="1">
        <f t="array" ref="P647">IFERROR(SUM(VALUE(_xlfn.TEXTSPLIT(O647, ";"))), "")</f>
        <v/>
      </c>
      <c r="DO647" t="str">
        <f t="shared" si="20"/>
        <v/>
      </c>
      <c r="EG647" s="33" t="str">
        <f>IF(NOT(ISBLANK($B647)),VLOOKUP($B647,AssetCategories!$A:$E,5,0),"")</f>
        <v/>
      </c>
      <c r="EH647" t="str">
        <f>IF(NOT(ISBLANK($B647)),VLOOKUP($B647,AssetCategories!$A:$E,4,0),"")</f>
        <v/>
      </c>
      <c r="EM647" t="str">
        <f>IF(NOT(ISBLANK($B647)),VLOOKUP($B647,AssetCategories!$A:$E,2,0),"")</f>
        <v/>
      </c>
      <c r="EN647" t="str">
        <f>IF(NOT(ISBLANK($B647)),VLOOKUP($B647,AssetCategories!$A:$E,3,0),"")</f>
        <v/>
      </c>
      <c r="EP647" s="33" t="str">
        <f t="shared" si="21"/>
        <v/>
      </c>
    </row>
    <row r="648" spans="16:146" x14ac:dyDescent="0.25">
      <c r="P648" s="33" t="str" cm="1">
        <f t="array" ref="P648">IFERROR(SUM(VALUE(_xlfn.TEXTSPLIT(O648, ";"))), "")</f>
        <v/>
      </c>
      <c r="DO648" t="str">
        <f t="shared" si="20"/>
        <v/>
      </c>
      <c r="EG648" s="33" t="str">
        <f>IF(NOT(ISBLANK($B648)),VLOOKUP($B648,AssetCategories!$A:$E,5,0),"")</f>
        <v/>
      </c>
      <c r="EH648" t="str">
        <f>IF(NOT(ISBLANK($B648)),VLOOKUP($B648,AssetCategories!$A:$E,4,0),"")</f>
        <v/>
      </c>
      <c r="EM648" t="str">
        <f>IF(NOT(ISBLANK($B648)),VLOOKUP($B648,AssetCategories!$A:$E,2,0),"")</f>
        <v/>
      </c>
      <c r="EN648" t="str">
        <f>IF(NOT(ISBLANK($B648)),VLOOKUP($B648,AssetCategories!$A:$E,3,0),"")</f>
        <v/>
      </c>
      <c r="EP648" s="33" t="str">
        <f t="shared" si="21"/>
        <v/>
      </c>
    </row>
    <row r="649" spans="16:146" x14ac:dyDescent="0.25">
      <c r="P649" s="33" t="str" cm="1">
        <f t="array" ref="P649">IFERROR(SUM(VALUE(_xlfn.TEXTSPLIT(O649, ";"))), "")</f>
        <v/>
      </c>
      <c r="DO649" t="str">
        <f t="shared" si="20"/>
        <v/>
      </c>
      <c r="EG649" s="33" t="str">
        <f>IF(NOT(ISBLANK($B649)),VLOOKUP($B649,AssetCategories!$A:$E,5,0),"")</f>
        <v/>
      </c>
      <c r="EH649" t="str">
        <f>IF(NOT(ISBLANK($B649)),VLOOKUP($B649,AssetCategories!$A:$E,4,0),"")</f>
        <v/>
      </c>
      <c r="EM649" t="str">
        <f>IF(NOT(ISBLANK($B649)),VLOOKUP($B649,AssetCategories!$A:$E,2,0),"")</f>
        <v/>
      </c>
      <c r="EN649" t="str">
        <f>IF(NOT(ISBLANK($B649)),VLOOKUP($B649,AssetCategories!$A:$E,3,0),"")</f>
        <v/>
      </c>
      <c r="EP649" s="33" t="str">
        <f t="shared" si="21"/>
        <v/>
      </c>
    </row>
    <row r="650" spans="16:146" x14ac:dyDescent="0.25">
      <c r="P650" s="33" t="str" cm="1">
        <f t="array" ref="P650">IFERROR(SUM(VALUE(_xlfn.TEXTSPLIT(O650, ";"))), "")</f>
        <v/>
      </c>
      <c r="DO650" t="str">
        <f t="shared" si="20"/>
        <v/>
      </c>
      <c r="EG650" s="33" t="str">
        <f>IF(NOT(ISBLANK($B650)),VLOOKUP($B650,AssetCategories!$A:$E,5,0),"")</f>
        <v/>
      </c>
      <c r="EH650" t="str">
        <f>IF(NOT(ISBLANK($B650)),VLOOKUP($B650,AssetCategories!$A:$E,4,0),"")</f>
        <v/>
      </c>
      <c r="EM650" t="str">
        <f>IF(NOT(ISBLANK($B650)),VLOOKUP($B650,AssetCategories!$A:$E,2,0),"")</f>
        <v/>
      </c>
      <c r="EN650" t="str">
        <f>IF(NOT(ISBLANK($B650)),VLOOKUP($B650,AssetCategories!$A:$E,3,0),"")</f>
        <v/>
      </c>
      <c r="EP650" s="33" t="str">
        <f t="shared" si="21"/>
        <v/>
      </c>
    </row>
    <row r="651" spans="16:146" x14ac:dyDescent="0.25">
      <c r="P651" s="33" t="str" cm="1">
        <f t="array" ref="P651">IFERROR(SUM(VALUE(_xlfn.TEXTSPLIT(O651, ";"))), "")</f>
        <v/>
      </c>
      <c r="DO651" t="str">
        <f t="shared" si="20"/>
        <v/>
      </c>
      <c r="EG651" s="33" t="str">
        <f>IF(NOT(ISBLANK($B651)),VLOOKUP($B651,AssetCategories!$A:$E,5,0),"")</f>
        <v/>
      </c>
      <c r="EH651" t="str">
        <f>IF(NOT(ISBLANK($B651)),VLOOKUP($B651,AssetCategories!$A:$E,4,0),"")</f>
        <v/>
      </c>
      <c r="EM651" t="str">
        <f>IF(NOT(ISBLANK($B651)),VLOOKUP($B651,AssetCategories!$A:$E,2,0),"")</f>
        <v/>
      </c>
      <c r="EN651" t="str">
        <f>IF(NOT(ISBLANK($B651)),VLOOKUP($B651,AssetCategories!$A:$E,3,0),"")</f>
        <v/>
      </c>
      <c r="EP651" s="33" t="str">
        <f t="shared" si="21"/>
        <v/>
      </c>
    </row>
    <row r="652" spans="16:146" x14ac:dyDescent="0.25">
      <c r="P652" s="33" t="str" cm="1">
        <f t="array" ref="P652">IFERROR(SUM(VALUE(_xlfn.TEXTSPLIT(O652, ";"))), "")</f>
        <v/>
      </c>
      <c r="DO652" t="str">
        <f t="shared" si="20"/>
        <v/>
      </c>
      <c r="EG652" s="33" t="str">
        <f>IF(NOT(ISBLANK($B652)),VLOOKUP($B652,AssetCategories!$A:$E,5,0),"")</f>
        <v/>
      </c>
      <c r="EH652" t="str">
        <f>IF(NOT(ISBLANK($B652)),VLOOKUP($B652,AssetCategories!$A:$E,4,0),"")</f>
        <v/>
      </c>
      <c r="EM652" t="str">
        <f>IF(NOT(ISBLANK($B652)),VLOOKUP($B652,AssetCategories!$A:$E,2,0),"")</f>
        <v/>
      </c>
      <c r="EN652" t="str">
        <f>IF(NOT(ISBLANK($B652)),VLOOKUP($B652,AssetCategories!$A:$E,3,0),"")</f>
        <v/>
      </c>
      <c r="EP652" s="33" t="str">
        <f t="shared" si="21"/>
        <v/>
      </c>
    </row>
    <row r="653" spans="16:146" x14ac:dyDescent="0.25">
      <c r="P653" s="33" t="str" cm="1">
        <f t="array" ref="P653">IFERROR(SUM(VALUE(_xlfn.TEXTSPLIT(O653, ";"))), "")</f>
        <v/>
      </c>
      <c r="DO653" t="str">
        <f t="shared" si="20"/>
        <v/>
      </c>
      <c r="EG653" s="33" t="str">
        <f>IF(NOT(ISBLANK($B653)),VLOOKUP($B653,AssetCategories!$A:$E,5,0),"")</f>
        <v/>
      </c>
      <c r="EH653" t="str">
        <f>IF(NOT(ISBLANK($B653)),VLOOKUP($B653,AssetCategories!$A:$E,4,0),"")</f>
        <v/>
      </c>
      <c r="EM653" t="str">
        <f>IF(NOT(ISBLANK($B653)),VLOOKUP($B653,AssetCategories!$A:$E,2,0),"")</f>
        <v/>
      </c>
      <c r="EN653" t="str">
        <f>IF(NOT(ISBLANK($B653)),VLOOKUP($B653,AssetCategories!$A:$E,3,0),"")</f>
        <v/>
      </c>
      <c r="EP653" s="33" t="str">
        <f t="shared" si="21"/>
        <v/>
      </c>
    </row>
    <row r="654" spans="16:146" x14ac:dyDescent="0.25">
      <c r="P654" s="33" t="str" cm="1">
        <f t="array" ref="P654">IFERROR(SUM(VALUE(_xlfn.TEXTSPLIT(O654, ";"))), "")</f>
        <v/>
      </c>
      <c r="DO654" t="str">
        <f t="shared" si="20"/>
        <v/>
      </c>
      <c r="EG654" s="33" t="str">
        <f>IF(NOT(ISBLANK($B654)),VLOOKUP($B654,AssetCategories!$A:$E,5,0),"")</f>
        <v/>
      </c>
      <c r="EH654" t="str">
        <f>IF(NOT(ISBLANK($B654)),VLOOKUP($B654,AssetCategories!$A:$E,4,0),"")</f>
        <v/>
      </c>
      <c r="EM654" t="str">
        <f>IF(NOT(ISBLANK($B654)),VLOOKUP($B654,AssetCategories!$A:$E,2,0),"")</f>
        <v/>
      </c>
      <c r="EN654" t="str">
        <f>IF(NOT(ISBLANK($B654)),VLOOKUP($B654,AssetCategories!$A:$E,3,0),"")</f>
        <v/>
      </c>
      <c r="EP654" s="33" t="str">
        <f t="shared" si="21"/>
        <v/>
      </c>
    </row>
    <row r="655" spans="16:146" x14ac:dyDescent="0.25">
      <c r="P655" s="33" t="str" cm="1">
        <f t="array" ref="P655">IFERROR(SUM(VALUE(_xlfn.TEXTSPLIT(O655, ";"))), "")</f>
        <v/>
      </c>
      <c r="DO655" t="str">
        <f t="shared" si="20"/>
        <v/>
      </c>
      <c r="EG655" s="33" t="str">
        <f>IF(NOT(ISBLANK($B655)),VLOOKUP($B655,AssetCategories!$A:$E,5,0),"")</f>
        <v/>
      </c>
      <c r="EH655" t="str">
        <f>IF(NOT(ISBLANK($B655)),VLOOKUP($B655,AssetCategories!$A:$E,4,0),"")</f>
        <v/>
      </c>
      <c r="EM655" t="str">
        <f>IF(NOT(ISBLANK($B655)),VLOOKUP($B655,AssetCategories!$A:$E,2,0),"")</f>
        <v/>
      </c>
      <c r="EN655" t="str">
        <f>IF(NOT(ISBLANK($B655)),VLOOKUP($B655,AssetCategories!$A:$E,3,0),"")</f>
        <v/>
      </c>
      <c r="EP655" s="33" t="str">
        <f t="shared" si="21"/>
        <v/>
      </c>
    </row>
    <row r="656" spans="16:146" x14ac:dyDescent="0.25">
      <c r="P656" s="33" t="str" cm="1">
        <f t="array" ref="P656">IFERROR(SUM(VALUE(_xlfn.TEXTSPLIT(O656, ";"))), "")</f>
        <v/>
      </c>
      <c r="DO656" t="str">
        <f t="shared" si="20"/>
        <v/>
      </c>
      <c r="EG656" s="33" t="str">
        <f>IF(NOT(ISBLANK($B656)),VLOOKUP($B656,AssetCategories!$A:$E,5,0),"")</f>
        <v/>
      </c>
      <c r="EH656" t="str">
        <f>IF(NOT(ISBLANK($B656)),VLOOKUP($B656,AssetCategories!$A:$E,4,0),"")</f>
        <v/>
      </c>
      <c r="EM656" t="str">
        <f>IF(NOT(ISBLANK($B656)),VLOOKUP($B656,AssetCategories!$A:$E,2,0),"")</f>
        <v/>
      </c>
      <c r="EN656" t="str">
        <f>IF(NOT(ISBLANK($B656)),VLOOKUP($B656,AssetCategories!$A:$E,3,0),"")</f>
        <v/>
      </c>
      <c r="EP656" s="33" t="str">
        <f t="shared" si="21"/>
        <v/>
      </c>
    </row>
    <row r="657" spans="16:146" x14ac:dyDescent="0.25">
      <c r="P657" s="33" t="str" cm="1">
        <f t="array" ref="P657">IFERROR(SUM(VALUE(_xlfn.TEXTSPLIT(O657, ";"))), "")</f>
        <v/>
      </c>
      <c r="DO657" t="str">
        <f t="shared" si="20"/>
        <v/>
      </c>
      <c r="EG657" s="33" t="str">
        <f>IF(NOT(ISBLANK($B657)),VLOOKUP($B657,AssetCategories!$A:$E,5,0),"")</f>
        <v/>
      </c>
      <c r="EH657" t="str">
        <f>IF(NOT(ISBLANK($B657)),VLOOKUP($B657,AssetCategories!$A:$E,4,0),"")</f>
        <v/>
      </c>
      <c r="EM657" t="str">
        <f>IF(NOT(ISBLANK($B657)),VLOOKUP($B657,AssetCategories!$A:$E,2,0),"")</f>
        <v/>
      </c>
      <c r="EN657" t="str">
        <f>IF(NOT(ISBLANK($B657)),VLOOKUP($B657,AssetCategories!$A:$E,3,0),"")</f>
        <v/>
      </c>
      <c r="EP657" s="33" t="str">
        <f t="shared" si="21"/>
        <v/>
      </c>
    </row>
    <row r="658" spans="16:146" x14ac:dyDescent="0.25">
      <c r="P658" s="33" t="str" cm="1">
        <f t="array" ref="P658">IFERROR(SUM(VALUE(_xlfn.TEXTSPLIT(O658, ";"))), "")</f>
        <v/>
      </c>
      <c r="DO658" t="str">
        <f t="shared" si="20"/>
        <v/>
      </c>
      <c r="EG658" s="33" t="str">
        <f>IF(NOT(ISBLANK($B658)),VLOOKUP($B658,AssetCategories!$A:$E,5,0),"")</f>
        <v/>
      </c>
      <c r="EH658" t="str">
        <f>IF(NOT(ISBLANK($B658)),VLOOKUP($B658,AssetCategories!$A:$E,4,0),"")</f>
        <v/>
      </c>
      <c r="EM658" t="str">
        <f>IF(NOT(ISBLANK($B658)),VLOOKUP($B658,AssetCategories!$A:$E,2,0),"")</f>
        <v/>
      </c>
      <c r="EN658" t="str">
        <f>IF(NOT(ISBLANK($B658)),VLOOKUP($B658,AssetCategories!$A:$E,3,0),"")</f>
        <v/>
      </c>
      <c r="EP658" s="33" t="str">
        <f t="shared" si="21"/>
        <v/>
      </c>
    </row>
    <row r="659" spans="16:146" x14ac:dyDescent="0.25">
      <c r="P659" s="33" t="str" cm="1">
        <f t="array" ref="P659">IFERROR(SUM(VALUE(_xlfn.TEXTSPLIT(O659, ";"))), "")</f>
        <v/>
      </c>
      <c r="DO659" t="str">
        <f t="shared" si="20"/>
        <v/>
      </c>
      <c r="EG659" s="33" t="str">
        <f>IF(NOT(ISBLANK($B659)),VLOOKUP($B659,AssetCategories!$A:$E,5,0),"")</f>
        <v/>
      </c>
      <c r="EH659" t="str">
        <f>IF(NOT(ISBLANK($B659)),VLOOKUP($B659,AssetCategories!$A:$E,4,0),"")</f>
        <v/>
      </c>
      <c r="EM659" t="str">
        <f>IF(NOT(ISBLANK($B659)),VLOOKUP($B659,AssetCategories!$A:$E,2,0),"")</f>
        <v/>
      </c>
      <c r="EN659" t="str">
        <f>IF(NOT(ISBLANK($B659)),VLOOKUP($B659,AssetCategories!$A:$E,3,0),"")</f>
        <v/>
      </c>
      <c r="EP659" s="33" t="str">
        <f t="shared" si="21"/>
        <v/>
      </c>
    </row>
    <row r="660" spans="16:146" x14ac:dyDescent="0.25">
      <c r="P660" s="33" t="str" cm="1">
        <f t="array" ref="P660">IFERROR(SUM(VALUE(_xlfn.TEXTSPLIT(O660, ";"))), "")</f>
        <v/>
      </c>
      <c r="DO660" t="str">
        <f t="shared" si="20"/>
        <v/>
      </c>
      <c r="EG660" s="33" t="str">
        <f>IF(NOT(ISBLANK($B660)),VLOOKUP($B660,AssetCategories!$A:$E,5,0),"")</f>
        <v/>
      </c>
      <c r="EH660" t="str">
        <f>IF(NOT(ISBLANK($B660)),VLOOKUP($B660,AssetCategories!$A:$E,4,0),"")</f>
        <v/>
      </c>
      <c r="EM660" t="str">
        <f>IF(NOT(ISBLANK($B660)),VLOOKUP($B660,AssetCategories!$A:$E,2,0),"")</f>
        <v/>
      </c>
      <c r="EN660" t="str">
        <f>IF(NOT(ISBLANK($B660)),VLOOKUP($B660,AssetCategories!$A:$E,3,0),"")</f>
        <v/>
      </c>
      <c r="EP660" s="33" t="str">
        <f t="shared" si="21"/>
        <v/>
      </c>
    </row>
    <row r="661" spans="16:146" x14ac:dyDescent="0.25">
      <c r="P661" s="33" t="str" cm="1">
        <f t="array" ref="P661">IFERROR(SUM(VALUE(_xlfn.TEXTSPLIT(O661, ";"))), "")</f>
        <v/>
      </c>
      <c r="DO661" t="str">
        <f t="shared" si="20"/>
        <v/>
      </c>
      <c r="EG661" s="33" t="str">
        <f>IF(NOT(ISBLANK($B661)),VLOOKUP($B661,AssetCategories!$A:$E,5,0),"")</f>
        <v/>
      </c>
      <c r="EH661" t="str">
        <f>IF(NOT(ISBLANK($B661)),VLOOKUP($B661,AssetCategories!$A:$E,4,0),"")</f>
        <v/>
      </c>
      <c r="EM661" t="str">
        <f>IF(NOT(ISBLANK($B661)),VLOOKUP($B661,AssetCategories!$A:$E,2,0),"")</f>
        <v/>
      </c>
      <c r="EN661" t="str">
        <f>IF(NOT(ISBLANK($B661)),VLOOKUP($B661,AssetCategories!$A:$E,3,0),"")</f>
        <v/>
      </c>
      <c r="EP661" s="33" t="str">
        <f t="shared" si="21"/>
        <v/>
      </c>
    </row>
    <row r="662" spans="16:146" x14ac:dyDescent="0.25">
      <c r="P662" s="33" t="str" cm="1">
        <f t="array" ref="P662">IFERROR(SUM(VALUE(_xlfn.TEXTSPLIT(O662, ";"))), "")</f>
        <v/>
      </c>
      <c r="DO662" t="str">
        <f t="shared" si="20"/>
        <v/>
      </c>
      <c r="EG662" s="33" t="str">
        <f>IF(NOT(ISBLANK($B662)),VLOOKUP($B662,AssetCategories!$A:$E,5,0),"")</f>
        <v/>
      </c>
      <c r="EH662" t="str">
        <f>IF(NOT(ISBLANK($B662)),VLOOKUP($B662,AssetCategories!$A:$E,4,0),"")</f>
        <v/>
      </c>
      <c r="EM662" t="str">
        <f>IF(NOT(ISBLANK($B662)),VLOOKUP($B662,AssetCategories!$A:$E,2,0),"")</f>
        <v/>
      </c>
      <c r="EN662" t="str">
        <f>IF(NOT(ISBLANK($B662)),VLOOKUP($B662,AssetCategories!$A:$E,3,0),"")</f>
        <v/>
      </c>
      <c r="EP662" s="33" t="str">
        <f t="shared" si="21"/>
        <v/>
      </c>
    </row>
    <row r="663" spans="16:146" x14ac:dyDescent="0.25">
      <c r="P663" s="33" t="str" cm="1">
        <f t="array" ref="P663">IFERROR(SUM(VALUE(_xlfn.TEXTSPLIT(O663, ";"))), "")</f>
        <v/>
      </c>
      <c r="DO663" t="str">
        <f t="shared" si="20"/>
        <v/>
      </c>
      <c r="EG663" s="33" t="str">
        <f>IF(NOT(ISBLANK($B663)),VLOOKUP($B663,AssetCategories!$A:$E,5,0),"")</f>
        <v/>
      </c>
      <c r="EH663" t="str">
        <f>IF(NOT(ISBLANK($B663)),VLOOKUP($B663,AssetCategories!$A:$E,4,0),"")</f>
        <v/>
      </c>
      <c r="EM663" t="str">
        <f>IF(NOT(ISBLANK($B663)),VLOOKUP($B663,AssetCategories!$A:$E,2,0),"")</f>
        <v/>
      </c>
      <c r="EN663" t="str">
        <f>IF(NOT(ISBLANK($B663)),VLOOKUP($B663,AssetCategories!$A:$E,3,0),"")</f>
        <v/>
      </c>
      <c r="EP663" s="33" t="str">
        <f t="shared" si="21"/>
        <v/>
      </c>
    </row>
    <row r="664" spans="16:146" x14ac:dyDescent="0.25">
      <c r="P664" s="33" t="str" cm="1">
        <f t="array" ref="P664">IFERROR(SUM(VALUE(_xlfn.TEXTSPLIT(O664, ";"))), "")</f>
        <v/>
      </c>
      <c r="DO664" t="str">
        <f t="shared" si="20"/>
        <v/>
      </c>
      <c r="EG664" s="33" t="str">
        <f>IF(NOT(ISBLANK($B664)),VLOOKUP($B664,AssetCategories!$A:$E,5,0),"")</f>
        <v/>
      </c>
      <c r="EH664" t="str">
        <f>IF(NOT(ISBLANK($B664)),VLOOKUP($B664,AssetCategories!$A:$E,4,0),"")</f>
        <v/>
      </c>
      <c r="EM664" t="str">
        <f>IF(NOT(ISBLANK($B664)),VLOOKUP($B664,AssetCategories!$A:$E,2,0),"")</f>
        <v/>
      </c>
      <c r="EN664" t="str">
        <f>IF(NOT(ISBLANK($B664)),VLOOKUP($B664,AssetCategories!$A:$E,3,0),"")</f>
        <v/>
      </c>
      <c r="EP664" s="33" t="str">
        <f t="shared" si="21"/>
        <v/>
      </c>
    </row>
    <row r="665" spans="16:146" x14ac:dyDescent="0.25">
      <c r="P665" s="33" t="str" cm="1">
        <f t="array" ref="P665">IFERROR(SUM(VALUE(_xlfn.TEXTSPLIT(O665, ";"))), "")</f>
        <v/>
      </c>
      <c r="DO665" t="str">
        <f t="shared" si="20"/>
        <v/>
      </c>
      <c r="EG665" s="33" t="str">
        <f>IF(NOT(ISBLANK($B665)),VLOOKUP($B665,AssetCategories!$A:$E,5,0),"")</f>
        <v/>
      </c>
      <c r="EH665" t="str">
        <f>IF(NOT(ISBLANK($B665)),VLOOKUP($B665,AssetCategories!$A:$E,4,0),"")</f>
        <v/>
      </c>
      <c r="EM665" t="str">
        <f>IF(NOT(ISBLANK($B665)),VLOOKUP($B665,AssetCategories!$A:$E,2,0),"")</f>
        <v/>
      </c>
      <c r="EN665" t="str">
        <f>IF(NOT(ISBLANK($B665)),VLOOKUP($B665,AssetCategories!$A:$E,3,0),"")</f>
        <v/>
      </c>
      <c r="EP665" s="33" t="str">
        <f t="shared" si="21"/>
        <v/>
      </c>
    </row>
    <row r="666" spans="16:146" x14ac:dyDescent="0.25">
      <c r="P666" s="33" t="str" cm="1">
        <f t="array" ref="P666">IFERROR(SUM(VALUE(_xlfn.TEXTSPLIT(O666, ";"))), "")</f>
        <v/>
      </c>
      <c r="DO666" t="str">
        <f t="shared" si="20"/>
        <v/>
      </c>
      <c r="EG666" s="33" t="str">
        <f>IF(NOT(ISBLANK($B666)),VLOOKUP($B666,AssetCategories!$A:$E,5,0),"")</f>
        <v/>
      </c>
      <c r="EH666" t="str">
        <f>IF(NOT(ISBLANK($B666)),VLOOKUP($B666,AssetCategories!$A:$E,4,0),"")</f>
        <v/>
      </c>
      <c r="EM666" t="str">
        <f>IF(NOT(ISBLANK($B666)),VLOOKUP($B666,AssetCategories!$A:$E,2,0),"")</f>
        <v/>
      </c>
      <c r="EN666" t="str">
        <f>IF(NOT(ISBLANK($B666)),VLOOKUP($B666,AssetCategories!$A:$E,3,0),"")</f>
        <v/>
      </c>
      <c r="EP666" s="33" t="str">
        <f t="shared" si="21"/>
        <v/>
      </c>
    </row>
    <row r="667" spans="16:146" x14ac:dyDescent="0.25">
      <c r="P667" s="33" t="str" cm="1">
        <f t="array" ref="P667">IFERROR(SUM(VALUE(_xlfn.TEXTSPLIT(O667, ";"))), "")</f>
        <v/>
      </c>
      <c r="DO667" t="str">
        <f t="shared" si="20"/>
        <v/>
      </c>
      <c r="EG667" s="33" t="str">
        <f>IF(NOT(ISBLANK($B667)),VLOOKUP($B667,AssetCategories!$A:$E,5,0),"")</f>
        <v/>
      </c>
      <c r="EH667" t="str">
        <f>IF(NOT(ISBLANK($B667)),VLOOKUP($B667,AssetCategories!$A:$E,4,0),"")</f>
        <v/>
      </c>
      <c r="EM667" t="str">
        <f>IF(NOT(ISBLANK($B667)),VLOOKUP($B667,AssetCategories!$A:$E,2,0),"")</f>
        <v/>
      </c>
      <c r="EN667" t="str">
        <f>IF(NOT(ISBLANK($B667)),VLOOKUP($B667,AssetCategories!$A:$E,3,0),"")</f>
        <v/>
      </c>
      <c r="EP667" s="33" t="str">
        <f t="shared" si="21"/>
        <v/>
      </c>
    </row>
    <row r="668" spans="16:146" x14ac:dyDescent="0.25">
      <c r="P668" s="33" t="str" cm="1">
        <f t="array" ref="P668">IFERROR(SUM(VALUE(_xlfn.TEXTSPLIT(O668, ";"))), "")</f>
        <v/>
      </c>
      <c r="DO668" t="str">
        <f t="shared" si="20"/>
        <v/>
      </c>
      <c r="EG668" s="33" t="str">
        <f>IF(NOT(ISBLANK($B668)),VLOOKUP($B668,AssetCategories!$A:$E,5,0),"")</f>
        <v/>
      </c>
      <c r="EH668" t="str">
        <f>IF(NOT(ISBLANK($B668)),VLOOKUP($B668,AssetCategories!$A:$E,4,0),"")</f>
        <v/>
      </c>
      <c r="EM668" t="str">
        <f>IF(NOT(ISBLANK($B668)),VLOOKUP($B668,AssetCategories!$A:$E,2,0),"")</f>
        <v/>
      </c>
      <c r="EN668" t="str">
        <f>IF(NOT(ISBLANK($B668)),VLOOKUP($B668,AssetCategories!$A:$E,3,0),"")</f>
        <v/>
      </c>
      <c r="EP668" s="33" t="str">
        <f t="shared" si="21"/>
        <v/>
      </c>
    </row>
    <row r="669" spans="16:146" x14ac:dyDescent="0.25">
      <c r="P669" s="33" t="str" cm="1">
        <f t="array" ref="P669">IFERROR(SUM(VALUE(_xlfn.TEXTSPLIT(O669, ";"))), "")</f>
        <v/>
      </c>
      <c r="DO669" t="str">
        <f t="shared" si="20"/>
        <v/>
      </c>
      <c r="EG669" s="33" t="str">
        <f>IF(NOT(ISBLANK($B669)),VLOOKUP($B669,AssetCategories!$A:$E,5,0),"")</f>
        <v/>
      </c>
      <c r="EH669" t="str">
        <f>IF(NOT(ISBLANK($B669)),VLOOKUP($B669,AssetCategories!$A:$E,4,0),"")</f>
        <v/>
      </c>
      <c r="EM669" t="str">
        <f>IF(NOT(ISBLANK($B669)),VLOOKUP($B669,AssetCategories!$A:$E,2,0),"")</f>
        <v/>
      </c>
      <c r="EN669" t="str">
        <f>IF(NOT(ISBLANK($B669)),VLOOKUP($B669,AssetCategories!$A:$E,3,0),"")</f>
        <v/>
      </c>
      <c r="EP669" s="33" t="str">
        <f t="shared" si="21"/>
        <v/>
      </c>
    </row>
    <row r="670" spans="16:146" x14ac:dyDescent="0.25">
      <c r="P670" s="33" t="str" cm="1">
        <f t="array" ref="P670">IFERROR(SUM(VALUE(_xlfn.TEXTSPLIT(O670, ";"))), "")</f>
        <v/>
      </c>
      <c r="DO670" t="str">
        <f t="shared" si="20"/>
        <v/>
      </c>
      <c r="EG670" s="33" t="str">
        <f>IF(NOT(ISBLANK($B670)),VLOOKUP($B670,AssetCategories!$A:$E,5,0),"")</f>
        <v/>
      </c>
      <c r="EH670" t="str">
        <f>IF(NOT(ISBLANK($B670)),VLOOKUP($B670,AssetCategories!$A:$E,4,0),"")</f>
        <v/>
      </c>
      <c r="EM670" t="str">
        <f>IF(NOT(ISBLANK($B670)),VLOOKUP($B670,AssetCategories!$A:$E,2,0),"")</f>
        <v/>
      </c>
      <c r="EN670" t="str">
        <f>IF(NOT(ISBLANK($B670)),VLOOKUP($B670,AssetCategories!$A:$E,3,0),"")</f>
        <v/>
      </c>
      <c r="EP670" s="33" t="str">
        <f t="shared" si="21"/>
        <v/>
      </c>
    </row>
    <row r="671" spans="16:146" x14ac:dyDescent="0.25">
      <c r="P671" s="33" t="str" cm="1">
        <f t="array" ref="P671">IFERROR(SUM(VALUE(_xlfn.TEXTSPLIT(O671, ";"))), "")</f>
        <v/>
      </c>
      <c r="DO671" t="str">
        <f t="shared" si="20"/>
        <v/>
      </c>
      <c r="EG671" s="33" t="str">
        <f>IF(NOT(ISBLANK($B671)),VLOOKUP($B671,AssetCategories!$A:$E,5,0),"")</f>
        <v/>
      </c>
      <c r="EH671" t="str">
        <f>IF(NOT(ISBLANK($B671)),VLOOKUP($B671,AssetCategories!$A:$E,4,0),"")</f>
        <v/>
      </c>
      <c r="EM671" t="str">
        <f>IF(NOT(ISBLANK($B671)),VLOOKUP($B671,AssetCategories!$A:$E,2,0),"")</f>
        <v/>
      </c>
      <c r="EN671" t="str">
        <f>IF(NOT(ISBLANK($B671)),VLOOKUP($B671,AssetCategories!$A:$E,3,0),"")</f>
        <v/>
      </c>
      <c r="EP671" s="33" t="str">
        <f t="shared" si="21"/>
        <v/>
      </c>
    </row>
    <row r="672" spans="16:146" x14ac:dyDescent="0.25">
      <c r="P672" s="33" t="str" cm="1">
        <f t="array" ref="P672">IFERROR(SUM(VALUE(_xlfn.TEXTSPLIT(O672, ";"))), "")</f>
        <v/>
      </c>
      <c r="DO672" t="str">
        <f t="shared" si="20"/>
        <v/>
      </c>
      <c r="EG672" s="33" t="str">
        <f>IF(NOT(ISBLANK($B672)),VLOOKUP($B672,AssetCategories!$A:$E,5,0),"")</f>
        <v/>
      </c>
      <c r="EH672" t="str">
        <f>IF(NOT(ISBLANK($B672)),VLOOKUP($B672,AssetCategories!$A:$E,4,0),"")</f>
        <v/>
      </c>
      <c r="EM672" t="str">
        <f>IF(NOT(ISBLANK($B672)),VLOOKUP($B672,AssetCategories!$A:$E,2,0),"")</f>
        <v/>
      </c>
      <c r="EN672" t="str">
        <f>IF(NOT(ISBLANK($B672)),VLOOKUP($B672,AssetCategories!$A:$E,3,0),"")</f>
        <v/>
      </c>
      <c r="EP672" s="33" t="str">
        <f t="shared" si="21"/>
        <v/>
      </c>
    </row>
    <row r="673" spans="16:146" x14ac:dyDescent="0.25">
      <c r="P673" s="33" t="str" cm="1">
        <f t="array" ref="P673">IFERROR(SUM(VALUE(_xlfn.TEXTSPLIT(O673, ";"))), "")</f>
        <v/>
      </c>
      <c r="DO673" t="str">
        <f t="shared" si="20"/>
        <v/>
      </c>
      <c r="EG673" s="33" t="str">
        <f>IF(NOT(ISBLANK($B673)),VLOOKUP($B673,AssetCategories!$A:$E,5,0),"")</f>
        <v/>
      </c>
      <c r="EH673" t="str">
        <f>IF(NOT(ISBLANK($B673)),VLOOKUP($B673,AssetCategories!$A:$E,4,0),"")</f>
        <v/>
      </c>
      <c r="EM673" t="str">
        <f>IF(NOT(ISBLANK($B673)),VLOOKUP($B673,AssetCategories!$A:$E,2,0),"")</f>
        <v/>
      </c>
      <c r="EN673" t="str">
        <f>IF(NOT(ISBLANK($B673)),VLOOKUP($B673,AssetCategories!$A:$E,3,0),"")</f>
        <v/>
      </c>
      <c r="EP673" s="33" t="str">
        <f t="shared" si="21"/>
        <v/>
      </c>
    </row>
    <row r="674" spans="16:146" x14ac:dyDescent="0.25">
      <c r="P674" s="33" t="str" cm="1">
        <f t="array" ref="P674">IFERROR(SUM(VALUE(_xlfn.TEXTSPLIT(O674, ";"))), "")</f>
        <v/>
      </c>
      <c r="DO674" t="str">
        <f t="shared" si="20"/>
        <v/>
      </c>
      <c r="EG674" s="33" t="str">
        <f>IF(NOT(ISBLANK($B674)),VLOOKUP($B674,AssetCategories!$A:$E,5,0),"")</f>
        <v/>
      </c>
      <c r="EH674" t="str">
        <f>IF(NOT(ISBLANK($B674)),VLOOKUP($B674,AssetCategories!$A:$E,4,0),"")</f>
        <v/>
      </c>
      <c r="EM674" t="str">
        <f>IF(NOT(ISBLANK($B674)),VLOOKUP($B674,AssetCategories!$A:$E,2,0),"")</f>
        <v/>
      </c>
      <c r="EN674" t="str">
        <f>IF(NOT(ISBLANK($B674)),VLOOKUP($B674,AssetCategories!$A:$E,3,0),"")</f>
        <v/>
      </c>
      <c r="EP674" s="33" t="str">
        <f t="shared" si="21"/>
        <v/>
      </c>
    </row>
    <row r="675" spans="16:146" x14ac:dyDescent="0.25">
      <c r="P675" s="33" t="str" cm="1">
        <f t="array" ref="P675">IFERROR(SUM(VALUE(_xlfn.TEXTSPLIT(O675, ";"))), "")</f>
        <v/>
      </c>
      <c r="DO675" t="str">
        <f t="shared" si="20"/>
        <v/>
      </c>
      <c r="EG675" s="33" t="str">
        <f>IF(NOT(ISBLANK($B675)),VLOOKUP($B675,AssetCategories!$A:$E,5,0),"")</f>
        <v/>
      </c>
      <c r="EH675" t="str">
        <f>IF(NOT(ISBLANK($B675)),VLOOKUP($B675,AssetCategories!$A:$E,4,0),"")</f>
        <v/>
      </c>
      <c r="EM675" t="str">
        <f>IF(NOT(ISBLANK($B675)),VLOOKUP($B675,AssetCategories!$A:$E,2,0),"")</f>
        <v/>
      </c>
      <c r="EN675" t="str">
        <f>IF(NOT(ISBLANK($B675)),VLOOKUP($B675,AssetCategories!$A:$E,3,0),"")</f>
        <v/>
      </c>
      <c r="EP675" s="33" t="str">
        <f t="shared" si="21"/>
        <v/>
      </c>
    </row>
    <row r="676" spans="16:146" x14ac:dyDescent="0.25">
      <c r="P676" s="33" t="str" cm="1">
        <f t="array" ref="P676">IFERROR(SUM(VALUE(_xlfn.TEXTSPLIT(O676, ";"))), "")</f>
        <v/>
      </c>
      <c r="DO676" t="str">
        <f t="shared" si="20"/>
        <v/>
      </c>
      <c r="EG676" s="33" t="str">
        <f>IF(NOT(ISBLANK($B676)),VLOOKUP($B676,AssetCategories!$A:$E,5,0),"")</f>
        <v/>
      </c>
      <c r="EH676" t="str">
        <f>IF(NOT(ISBLANK($B676)),VLOOKUP($B676,AssetCategories!$A:$E,4,0),"")</f>
        <v/>
      </c>
      <c r="EM676" t="str">
        <f>IF(NOT(ISBLANK($B676)),VLOOKUP($B676,AssetCategories!$A:$E,2,0),"")</f>
        <v/>
      </c>
      <c r="EN676" t="str">
        <f>IF(NOT(ISBLANK($B676)),VLOOKUP($B676,AssetCategories!$A:$E,3,0),"")</f>
        <v/>
      </c>
      <c r="EP676" s="33" t="str">
        <f t="shared" si="21"/>
        <v/>
      </c>
    </row>
    <row r="677" spans="16:146" x14ac:dyDescent="0.25">
      <c r="P677" s="33" t="str" cm="1">
        <f t="array" ref="P677">IFERROR(SUM(VALUE(_xlfn.TEXTSPLIT(O677, ";"))), "")</f>
        <v/>
      </c>
      <c r="DO677" t="str">
        <f t="shared" si="20"/>
        <v/>
      </c>
      <c r="EG677" s="33" t="str">
        <f>IF(NOT(ISBLANK($B677)),VLOOKUP($B677,AssetCategories!$A:$E,5,0),"")</f>
        <v/>
      </c>
      <c r="EH677" t="str">
        <f>IF(NOT(ISBLANK($B677)),VLOOKUP($B677,AssetCategories!$A:$E,4,0),"")</f>
        <v/>
      </c>
      <c r="EM677" t="str">
        <f>IF(NOT(ISBLANK($B677)),VLOOKUP($B677,AssetCategories!$A:$E,2,0),"")</f>
        <v/>
      </c>
      <c r="EN677" t="str">
        <f>IF(NOT(ISBLANK($B677)),VLOOKUP($B677,AssetCategories!$A:$E,3,0),"")</f>
        <v/>
      </c>
      <c r="EP677" s="33" t="str">
        <f t="shared" si="21"/>
        <v/>
      </c>
    </row>
    <row r="678" spans="16:146" x14ac:dyDescent="0.25">
      <c r="P678" s="33" t="str" cm="1">
        <f t="array" ref="P678">IFERROR(SUM(VALUE(_xlfn.TEXTSPLIT(O678, ";"))), "")</f>
        <v/>
      </c>
      <c r="DO678" t="str">
        <f t="shared" si="20"/>
        <v/>
      </c>
      <c r="EG678" s="33" t="str">
        <f>IF(NOT(ISBLANK($B678)),VLOOKUP($B678,AssetCategories!$A:$E,5,0),"")</f>
        <v/>
      </c>
      <c r="EH678" t="str">
        <f>IF(NOT(ISBLANK($B678)),VLOOKUP($B678,AssetCategories!$A:$E,4,0),"")</f>
        <v/>
      </c>
      <c r="EM678" t="str">
        <f>IF(NOT(ISBLANK($B678)),VLOOKUP($B678,AssetCategories!$A:$E,2,0),"")</f>
        <v/>
      </c>
      <c r="EN678" t="str">
        <f>IF(NOT(ISBLANK($B678)),VLOOKUP($B678,AssetCategories!$A:$E,3,0),"")</f>
        <v/>
      </c>
      <c r="EP678" s="33" t="str">
        <f t="shared" si="21"/>
        <v/>
      </c>
    </row>
    <row r="679" spans="16:146" x14ac:dyDescent="0.25">
      <c r="P679" s="33" t="str" cm="1">
        <f t="array" ref="P679">IFERROR(SUM(VALUE(_xlfn.TEXTSPLIT(O679, ";"))), "")</f>
        <v/>
      </c>
      <c r="DO679" t="str">
        <f t="shared" si="20"/>
        <v/>
      </c>
      <c r="EG679" s="33" t="str">
        <f>IF(NOT(ISBLANK($B679)),VLOOKUP($B679,AssetCategories!$A:$E,5,0),"")</f>
        <v/>
      </c>
      <c r="EH679" t="str">
        <f>IF(NOT(ISBLANK($B679)),VLOOKUP($B679,AssetCategories!$A:$E,4,0),"")</f>
        <v/>
      </c>
      <c r="EM679" t="str">
        <f>IF(NOT(ISBLANK($B679)),VLOOKUP($B679,AssetCategories!$A:$E,2,0),"")</f>
        <v/>
      </c>
      <c r="EN679" t="str">
        <f>IF(NOT(ISBLANK($B679)),VLOOKUP($B679,AssetCategories!$A:$E,3,0),"")</f>
        <v/>
      </c>
      <c r="EP679" s="33" t="str">
        <f t="shared" si="21"/>
        <v/>
      </c>
    </row>
    <row r="680" spans="16:146" x14ac:dyDescent="0.25">
      <c r="P680" s="33" t="str" cm="1">
        <f t="array" ref="P680">IFERROR(SUM(VALUE(_xlfn.TEXTSPLIT(O680, ";"))), "")</f>
        <v/>
      </c>
      <c r="DO680" t="str">
        <f t="shared" si="20"/>
        <v/>
      </c>
      <c r="EG680" s="33" t="str">
        <f>IF(NOT(ISBLANK($B680)),VLOOKUP($B680,AssetCategories!$A:$E,5,0),"")</f>
        <v/>
      </c>
      <c r="EH680" t="str">
        <f>IF(NOT(ISBLANK($B680)),VLOOKUP($B680,AssetCategories!$A:$E,4,0),"")</f>
        <v/>
      </c>
      <c r="EM680" t="str">
        <f>IF(NOT(ISBLANK($B680)),VLOOKUP($B680,AssetCategories!$A:$E,2,0),"")</f>
        <v/>
      </c>
      <c r="EN680" t="str">
        <f>IF(NOT(ISBLANK($B680)),VLOOKUP($B680,AssetCategories!$A:$E,3,0),"")</f>
        <v/>
      </c>
      <c r="EP680" s="33" t="str">
        <f t="shared" si="21"/>
        <v/>
      </c>
    </row>
    <row r="681" spans="16:146" x14ac:dyDescent="0.25">
      <c r="P681" s="33" t="str" cm="1">
        <f t="array" ref="P681">IFERROR(SUM(VALUE(_xlfn.TEXTSPLIT(O681, ";"))), "")</f>
        <v/>
      </c>
      <c r="DO681" t="str">
        <f t="shared" si="20"/>
        <v/>
      </c>
      <c r="EG681" s="33" t="str">
        <f>IF(NOT(ISBLANK($B681)),VLOOKUP($B681,AssetCategories!$A:$E,5,0),"")</f>
        <v/>
      </c>
      <c r="EH681" t="str">
        <f>IF(NOT(ISBLANK($B681)),VLOOKUP($B681,AssetCategories!$A:$E,4,0),"")</f>
        <v/>
      </c>
      <c r="EM681" t="str">
        <f>IF(NOT(ISBLANK($B681)),VLOOKUP($B681,AssetCategories!$A:$E,2,0),"")</f>
        <v/>
      </c>
      <c r="EN681" t="str">
        <f>IF(NOT(ISBLANK($B681)),VLOOKUP($B681,AssetCategories!$A:$E,3,0),"")</f>
        <v/>
      </c>
      <c r="EP681" s="33" t="str">
        <f t="shared" si="21"/>
        <v/>
      </c>
    </row>
    <row r="682" spans="16:146" x14ac:dyDescent="0.25">
      <c r="P682" s="33" t="str" cm="1">
        <f t="array" ref="P682">IFERROR(SUM(VALUE(_xlfn.TEXTSPLIT(O682, ";"))), "")</f>
        <v/>
      </c>
      <c r="DO682" t="str">
        <f t="shared" si="20"/>
        <v/>
      </c>
      <c r="EG682" s="33" t="str">
        <f>IF(NOT(ISBLANK($B682)),VLOOKUP($B682,AssetCategories!$A:$E,5,0),"")</f>
        <v/>
      </c>
      <c r="EH682" t="str">
        <f>IF(NOT(ISBLANK($B682)),VLOOKUP($B682,AssetCategories!$A:$E,4,0),"")</f>
        <v/>
      </c>
      <c r="EM682" t="str">
        <f>IF(NOT(ISBLANK($B682)),VLOOKUP($B682,AssetCategories!$A:$E,2,0),"")</f>
        <v/>
      </c>
      <c r="EN682" t="str">
        <f>IF(NOT(ISBLANK($B682)),VLOOKUP($B682,AssetCategories!$A:$E,3,0),"")</f>
        <v/>
      </c>
      <c r="EP682" s="33" t="str">
        <f t="shared" si="21"/>
        <v/>
      </c>
    </row>
    <row r="683" spans="16:146" x14ac:dyDescent="0.25">
      <c r="P683" s="33" t="str" cm="1">
        <f t="array" ref="P683">IFERROR(SUM(VALUE(_xlfn.TEXTSPLIT(O683, ";"))), "")</f>
        <v/>
      </c>
      <c r="DO683" t="str">
        <f t="shared" si="20"/>
        <v/>
      </c>
      <c r="EG683" s="33" t="str">
        <f>IF(NOT(ISBLANK($B683)),VLOOKUP($B683,AssetCategories!$A:$E,5,0),"")</f>
        <v/>
      </c>
      <c r="EH683" t="str">
        <f>IF(NOT(ISBLANK($B683)),VLOOKUP($B683,AssetCategories!$A:$E,4,0),"")</f>
        <v/>
      </c>
      <c r="EM683" t="str">
        <f>IF(NOT(ISBLANK($B683)),VLOOKUP($B683,AssetCategories!$A:$E,2,0),"")</f>
        <v/>
      </c>
      <c r="EN683" t="str">
        <f>IF(NOT(ISBLANK($B683)),VLOOKUP($B683,AssetCategories!$A:$E,3,0),"")</f>
        <v/>
      </c>
      <c r="EP683" s="33" t="str">
        <f t="shared" si="21"/>
        <v/>
      </c>
    </row>
    <row r="684" spans="16:146" x14ac:dyDescent="0.25">
      <c r="P684" s="33" t="str" cm="1">
        <f t="array" ref="P684">IFERROR(SUM(VALUE(_xlfn.TEXTSPLIT(O684, ";"))), "")</f>
        <v/>
      </c>
      <c r="DO684" t="str">
        <f t="shared" si="20"/>
        <v/>
      </c>
      <c r="EG684" s="33" t="str">
        <f>IF(NOT(ISBLANK($B684)),VLOOKUP($B684,AssetCategories!$A:$E,5,0),"")</f>
        <v/>
      </c>
      <c r="EH684" t="str">
        <f>IF(NOT(ISBLANK($B684)),VLOOKUP($B684,AssetCategories!$A:$E,4,0),"")</f>
        <v/>
      </c>
      <c r="EM684" t="str">
        <f>IF(NOT(ISBLANK($B684)),VLOOKUP($B684,AssetCategories!$A:$E,2,0),"")</f>
        <v/>
      </c>
      <c r="EN684" t="str">
        <f>IF(NOT(ISBLANK($B684)),VLOOKUP($B684,AssetCategories!$A:$E,3,0),"")</f>
        <v/>
      </c>
      <c r="EP684" s="33" t="str">
        <f t="shared" si="21"/>
        <v/>
      </c>
    </row>
    <row r="685" spans="16:146" x14ac:dyDescent="0.25">
      <c r="P685" s="33" t="str" cm="1">
        <f t="array" ref="P685">IFERROR(SUM(VALUE(_xlfn.TEXTSPLIT(O685, ";"))), "")</f>
        <v/>
      </c>
      <c r="DO685" t="str">
        <f t="shared" si="20"/>
        <v/>
      </c>
      <c r="EG685" s="33" t="str">
        <f>IF(NOT(ISBLANK($B685)),VLOOKUP($B685,AssetCategories!$A:$E,5,0),"")</f>
        <v/>
      </c>
      <c r="EH685" t="str">
        <f>IF(NOT(ISBLANK($B685)),VLOOKUP($B685,AssetCategories!$A:$E,4,0),"")</f>
        <v/>
      </c>
      <c r="EM685" t="str">
        <f>IF(NOT(ISBLANK($B685)),VLOOKUP($B685,AssetCategories!$A:$E,2,0),"")</f>
        <v/>
      </c>
      <c r="EN685" t="str">
        <f>IF(NOT(ISBLANK($B685)),VLOOKUP($B685,AssetCategories!$A:$E,3,0),"")</f>
        <v/>
      </c>
      <c r="EP685" s="33" t="str">
        <f t="shared" si="21"/>
        <v/>
      </c>
    </row>
    <row r="686" spans="16:146" x14ac:dyDescent="0.25">
      <c r="P686" s="33" t="str" cm="1">
        <f t="array" ref="P686">IFERROR(SUM(VALUE(_xlfn.TEXTSPLIT(O686, ";"))), "")</f>
        <v/>
      </c>
      <c r="DO686" t="str">
        <f t="shared" si="20"/>
        <v/>
      </c>
      <c r="EG686" s="33" t="str">
        <f>IF(NOT(ISBLANK($B686)),VLOOKUP($B686,AssetCategories!$A:$E,5,0),"")</f>
        <v/>
      </c>
      <c r="EH686" t="str">
        <f>IF(NOT(ISBLANK($B686)),VLOOKUP($B686,AssetCategories!$A:$E,4,0),"")</f>
        <v/>
      </c>
      <c r="EM686" t="str">
        <f>IF(NOT(ISBLANK($B686)),VLOOKUP($B686,AssetCategories!$A:$E,2,0),"")</f>
        <v/>
      </c>
      <c r="EN686" t="str">
        <f>IF(NOT(ISBLANK($B686)),VLOOKUP($B686,AssetCategories!$A:$E,3,0),"")</f>
        <v/>
      </c>
      <c r="EP686" s="33" t="str">
        <f t="shared" si="21"/>
        <v/>
      </c>
    </row>
    <row r="687" spans="16:146" x14ac:dyDescent="0.25">
      <c r="P687" s="33" t="str" cm="1">
        <f t="array" ref="P687">IFERROR(SUM(VALUE(_xlfn.TEXTSPLIT(O687, ";"))), "")</f>
        <v/>
      </c>
      <c r="DO687" t="str">
        <f t="shared" si="20"/>
        <v/>
      </c>
      <c r="EG687" s="33" t="str">
        <f>IF(NOT(ISBLANK($B687)),VLOOKUP($B687,AssetCategories!$A:$E,5,0),"")</f>
        <v/>
      </c>
      <c r="EH687" t="str">
        <f>IF(NOT(ISBLANK($B687)),VLOOKUP($B687,AssetCategories!$A:$E,4,0),"")</f>
        <v/>
      </c>
      <c r="EM687" t="str">
        <f>IF(NOT(ISBLANK($B687)),VLOOKUP($B687,AssetCategories!$A:$E,2,0),"")</f>
        <v/>
      </c>
      <c r="EN687" t="str">
        <f>IF(NOT(ISBLANK($B687)),VLOOKUP($B687,AssetCategories!$A:$E,3,0),"")</f>
        <v/>
      </c>
      <c r="EP687" s="33" t="str">
        <f t="shared" si="21"/>
        <v/>
      </c>
    </row>
    <row r="688" spans="16:146" x14ac:dyDescent="0.25">
      <c r="P688" s="33" t="str" cm="1">
        <f t="array" ref="P688">IFERROR(SUM(VALUE(_xlfn.TEXTSPLIT(O688, ";"))), "")</f>
        <v/>
      </c>
      <c r="DO688" t="str">
        <f t="shared" si="20"/>
        <v/>
      </c>
      <c r="EG688" s="33" t="str">
        <f>IF(NOT(ISBLANK($B688)),VLOOKUP($B688,AssetCategories!$A:$E,5,0),"")</f>
        <v/>
      </c>
      <c r="EH688" t="str">
        <f>IF(NOT(ISBLANK($B688)),VLOOKUP($B688,AssetCategories!$A:$E,4,0),"")</f>
        <v/>
      </c>
      <c r="EM688" t="str">
        <f>IF(NOT(ISBLANK($B688)),VLOOKUP($B688,AssetCategories!$A:$E,2,0),"")</f>
        <v/>
      </c>
      <c r="EN688" t="str">
        <f>IF(NOT(ISBLANK($B688)),VLOOKUP($B688,AssetCategories!$A:$E,3,0),"")</f>
        <v/>
      </c>
      <c r="EP688" s="33" t="str">
        <f t="shared" si="21"/>
        <v/>
      </c>
    </row>
    <row r="689" spans="16:146" x14ac:dyDescent="0.25">
      <c r="P689" s="33" t="str" cm="1">
        <f t="array" ref="P689">IFERROR(SUM(VALUE(_xlfn.TEXTSPLIT(O689, ";"))), "")</f>
        <v/>
      </c>
      <c r="DO689" t="str">
        <f t="shared" si="20"/>
        <v/>
      </c>
      <c r="EG689" s="33" t="str">
        <f>IF(NOT(ISBLANK($B689)),VLOOKUP($B689,AssetCategories!$A:$E,5,0),"")</f>
        <v/>
      </c>
      <c r="EH689" t="str">
        <f>IF(NOT(ISBLANK($B689)),VLOOKUP($B689,AssetCategories!$A:$E,4,0),"")</f>
        <v/>
      </c>
      <c r="EM689" t="str">
        <f>IF(NOT(ISBLANK($B689)),VLOOKUP($B689,AssetCategories!$A:$E,2,0),"")</f>
        <v/>
      </c>
      <c r="EN689" t="str">
        <f>IF(NOT(ISBLANK($B689)),VLOOKUP($B689,AssetCategories!$A:$E,3,0),"")</f>
        <v/>
      </c>
      <c r="EP689" s="33" t="str">
        <f t="shared" si="21"/>
        <v/>
      </c>
    </row>
    <row r="690" spans="16:146" x14ac:dyDescent="0.25">
      <c r="P690" s="33" t="str" cm="1">
        <f t="array" ref="P690">IFERROR(SUM(VALUE(_xlfn.TEXTSPLIT(O690, ";"))), "")</f>
        <v/>
      </c>
      <c r="DO690" t="str">
        <f t="shared" si="20"/>
        <v/>
      </c>
      <c r="EG690" s="33" t="str">
        <f>IF(NOT(ISBLANK($B690)),VLOOKUP($B690,AssetCategories!$A:$E,5,0),"")</f>
        <v/>
      </c>
      <c r="EH690" t="str">
        <f>IF(NOT(ISBLANK($B690)),VLOOKUP($B690,AssetCategories!$A:$E,4,0),"")</f>
        <v/>
      </c>
      <c r="EM690" t="str">
        <f>IF(NOT(ISBLANK($B690)),VLOOKUP($B690,AssetCategories!$A:$E,2,0),"")</f>
        <v/>
      </c>
      <c r="EN690" t="str">
        <f>IF(NOT(ISBLANK($B690)),VLOOKUP($B690,AssetCategories!$A:$E,3,0),"")</f>
        <v/>
      </c>
      <c r="EP690" s="33" t="str">
        <f t="shared" si="21"/>
        <v/>
      </c>
    </row>
    <row r="691" spans="16:146" x14ac:dyDescent="0.25">
      <c r="P691" s="33" t="str" cm="1">
        <f t="array" ref="P691">IFERROR(SUM(VALUE(_xlfn.TEXTSPLIT(O691, ";"))), "")</f>
        <v/>
      </c>
      <c r="DO691" t="str">
        <f t="shared" si="20"/>
        <v/>
      </c>
      <c r="EG691" s="33" t="str">
        <f>IF(NOT(ISBLANK($B691)),VLOOKUP($B691,AssetCategories!$A:$E,5,0),"")</f>
        <v/>
      </c>
      <c r="EH691" t="str">
        <f>IF(NOT(ISBLANK($B691)),VLOOKUP($B691,AssetCategories!$A:$E,4,0),"")</f>
        <v/>
      </c>
      <c r="EM691" t="str">
        <f>IF(NOT(ISBLANK($B691)),VLOOKUP($B691,AssetCategories!$A:$E,2,0),"")</f>
        <v/>
      </c>
      <c r="EN691" t="str">
        <f>IF(NOT(ISBLANK($B691)),VLOOKUP($B691,AssetCategories!$A:$E,3,0),"")</f>
        <v/>
      </c>
      <c r="EP691" s="33" t="str">
        <f t="shared" si="21"/>
        <v/>
      </c>
    </row>
    <row r="692" spans="16:146" x14ac:dyDescent="0.25">
      <c r="P692" s="33" t="str" cm="1">
        <f t="array" ref="P692">IFERROR(SUM(VALUE(_xlfn.TEXTSPLIT(O692, ";"))), "")</f>
        <v/>
      </c>
      <c r="DO692" t="str">
        <f t="shared" si="20"/>
        <v/>
      </c>
      <c r="EG692" s="33" t="str">
        <f>IF(NOT(ISBLANK($B692)),VLOOKUP($B692,AssetCategories!$A:$E,5,0),"")</f>
        <v/>
      </c>
      <c r="EH692" t="str">
        <f>IF(NOT(ISBLANK($B692)),VLOOKUP($B692,AssetCategories!$A:$E,4,0),"")</f>
        <v/>
      </c>
      <c r="EM692" t="str">
        <f>IF(NOT(ISBLANK($B692)),VLOOKUP($B692,AssetCategories!$A:$E,2,0),"")</f>
        <v/>
      </c>
      <c r="EN692" t="str">
        <f>IF(NOT(ISBLANK($B692)),VLOOKUP($B692,AssetCategories!$A:$E,3,0),"")</f>
        <v/>
      </c>
      <c r="EP692" s="33" t="str">
        <f t="shared" si="21"/>
        <v/>
      </c>
    </row>
    <row r="693" spans="16:146" x14ac:dyDescent="0.25">
      <c r="P693" s="33" t="str" cm="1">
        <f t="array" ref="P693">IFERROR(SUM(VALUE(_xlfn.TEXTSPLIT(O693, ";"))), "")</f>
        <v/>
      </c>
      <c r="DO693" t="str">
        <f t="shared" si="20"/>
        <v/>
      </c>
      <c r="EG693" s="33" t="str">
        <f>IF(NOT(ISBLANK($B693)),VLOOKUP($B693,AssetCategories!$A:$E,5,0),"")</f>
        <v/>
      </c>
      <c r="EH693" t="str">
        <f>IF(NOT(ISBLANK($B693)),VLOOKUP($B693,AssetCategories!$A:$E,4,0),"")</f>
        <v/>
      </c>
      <c r="EM693" t="str">
        <f>IF(NOT(ISBLANK($B693)),VLOOKUP($B693,AssetCategories!$A:$E,2,0),"")</f>
        <v/>
      </c>
      <c r="EN693" t="str">
        <f>IF(NOT(ISBLANK($B693)),VLOOKUP($B693,AssetCategories!$A:$E,3,0),"")</f>
        <v/>
      </c>
      <c r="EP693" s="33" t="str">
        <f t="shared" si="21"/>
        <v/>
      </c>
    </row>
    <row r="694" spans="16:146" x14ac:dyDescent="0.25">
      <c r="P694" s="33" t="str" cm="1">
        <f t="array" ref="P694">IFERROR(SUM(VALUE(_xlfn.TEXTSPLIT(O694, ";"))), "")</f>
        <v/>
      </c>
      <c r="DO694" t="str">
        <f t="shared" si="20"/>
        <v/>
      </c>
      <c r="EG694" s="33" t="str">
        <f>IF(NOT(ISBLANK($B694)),VLOOKUP($B694,AssetCategories!$A:$E,5,0),"")</f>
        <v/>
      </c>
      <c r="EH694" t="str">
        <f>IF(NOT(ISBLANK($B694)),VLOOKUP($B694,AssetCategories!$A:$E,4,0),"")</f>
        <v/>
      </c>
      <c r="EM694" t="str">
        <f>IF(NOT(ISBLANK($B694)),VLOOKUP($B694,AssetCategories!$A:$E,2,0),"")</f>
        <v/>
      </c>
      <c r="EN694" t="str">
        <f>IF(NOT(ISBLANK($B694)),VLOOKUP($B694,AssetCategories!$A:$E,3,0),"")</f>
        <v/>
      </c>
      <c r="EP694" s="33" t="str">
        <f t="shared" si="21"/>
        <v/>
      </c>
    </row>
    <row r="695" spans="16:146" x14ac:dyDescent="0.25">
      <c r="P695" s="33" t="str" cm="1">
        <f t="array" ref="P695">IFERROR(SUM(VALUE(_xlfn.TEXTSPLIT(O695, ";"))), "")</f>
        <v/>
      </c>
      <c r="DO695" t="str">
        <f t="shared" si="20"/>
        <v/>
      </c>
      <c r="EG695" s="33" t="str">
        <f>IF(NOT(ISBLANK($B695)),VLOOKUP($B695,AssetCategories!$A:$E,5,0),"")</f>
        <v/>
      </c>
      <c r="EH695" t="str">
        <f>IF(NOT(ISBLANK($B695)),VLOOKUP($B695,AssetCategories!$A:$E,4,0),"")</f>
        <v/>
      </c>
      <c r="EM695" t="str">
        <f>IF(NOT(ISBLANK($B695)),VLOOKUP($B695,AssetCategories!$A:$E,2,0),"")</f>
        <v/>
      </c>
      <c r="EN695" t="str">
        <f>IF(NOT(ISBLANK($B695)),VLOOKUP($B695,AssetCategories!$A:$E,3,0),"")</f>
        <v/>
      </c>
      <c r="EP695" s="33" t="str">
        <f t="shared" si="21"/>
        <v/>
      </c>
    </row>
    <row r="696" spans="16:146" x14ac:dyDescent="0.25">
      <c r="P696" s="33" t="str" cm="1">
        <f t="array" ref="P696">IFERROR(SUM(VALUE(_xlfn.TEXTSPLIT(O696, ";"))), "")</f>
        <v/>
      </c>
      <c r="DO696" t="str">
        <f t="shared" si="20"/>
        <v/>
      </c>
      <c r="EG696" s="33" t="str">
        <f>IF(NOT(ISBLANK($B696)),VLOOKUP($B696,AssetCategories!$A:$E,5,0),"")</f>
        <v/>
      </c>
      <c r="EH696" t="str">
        <f>IF(NOT(ISBLANK($B696)),VLOOKUP($B696,AssetCategories!$A:$E,4,0),"")</f>
        <v/>
      </c>
      <c r="EM696" t="str">
        <f>IF(NOT(ISBLANK($B696)),VLOOKUP($B696,AssetCategories!$A:$E,2,0),"")</f>
        <v/>
      </c>
      <c r="EN696" t="str">
        <f>IF(NOT(ISBLANK($B696)),VLOOKUP($B696,AssetCategories!$A:$E,3,0),"")</f>
        <v/>
      </c>
      <c r="EP696" s="33" t="str">
        <f t="shared" si="21"/>
        <v/>
      </c>
    </row>
    <row r="697" spans="16:146" x14ac:dyDescent="0.25">
      <c r="P697" s="33" t="str" cm="1">
        <f t="array" ref="P697">IFERROR(SUM(VALUE(_xlfn.TEXTSPLIT(O697, ";"))), "")</f>
        <v/>
      </c>
      <c r="DO697" t="str">
        <f t="shared" si="20"/>
        <v/>
      </c>
      <c r="EG697" s="33" t="str">
        <f>IF(NOT(ISBLANK($B697)),VLOOKUP($B697,AssetCategories!$A:$E,5,0),"")</f>
        <v/>
      </c>
      <c r="EH697" t="str">
        <f>IF(NOT(ISBLANK($B697)),VLOOKUP($B697,AssetCategories!$A:$E,4,0),"")</f>
        <v/>
      </c>
      <c r="EM697" t="str">
        <f>IF(NOT(ISBLANK($B697)),VLOOKUP($B697,AssetCategories!$A:$E,2,0),"")</f>
        <v/>
      </c>
      <c r="EN697" t="str">
        <f>IF(NOT(ISBLANK($B697)),VLOOKUP($B697,AssetCategories!$A:$E,3,0),"")</f>
        <v/>
      </c>
      <c r="EP697" s="33" t="str">
        <f t="shared" si="21"/>
        <v/>
      </c>
    </row>
    <row r="698" spans="16:146" x14ac:dyDescent="0.25">
      <c r="P698" s="33" t="str" cm="1">
        <f t="array" ref="P698">IFERROR(SUM(VALUE(_xlfn.TEXTSPLIT(O698, ";"))), "")</f>
        <v/>
      </c>
      <c r="DO698" t="str">
        <f t="shared" si="20"/>
        <v/>
      </c>
      <c r="EG698" s="33" t="str">
        <f>IF(NOT(ISBLANK($B698)),VLOOKUP($B698,AssetCategories!$A:$E,5,0),"")</f>
        <v/>
      </c>
      <c r="EH698" t="str">
        <f>IF(NOT(ISBLANK($B698)),VLOOKUP($B698,AssetCategories!$A:$E,4,0),"")</f>
        <v/>
      </c>
      <c r="EM698" t="str">
        <f>IF(NOT(ISBLANK($B698)),VLOOKUP($B698,AssetCategories!$A:$E,2,0),"")</f>
        <v/>
      </c>
      <c r="EN698" t="str">
        <f>IF(NOT(ISBLANK($B698)),VLOOKUP($B698,AssetCategories!$A:$E,3,0),"")</f>
        <v/>
      </c>
      <c r="EP698" s="33" t="str">
        <f t="shared" si="21"/>
        <v/>
      </c>
    </row>
    <row r="699" spans="16:146" x14ac:dyDescent="0.25">
      <c r="P699" s="33" t="str" cm="1">
        <f t="array" ref="P699">IFERROR(SUM(VALUE(_xlfn.TEXTSPLIT(O699, ";"))), "")</f>
        <v/>
      </c>
      <c r="DO699" t="str">
        <f t="shared" si="20"/>
        <v/>
      </c>
      <c r="EG699" s="33" t="str">
        <f>IF(NOT(ISBLANK($B699)),VLOOKUP($B699,AssetCategories!$A:$E,5,0),"")</f>
        <v/>
      </c>
      <c r="EH699" t="str">
        <f>IF(NOT(ISBLANK($B699)),VLOOKUP($B699,AssetCategories!$A:$E,4,0),"")</f>
        <v/>
      </c>
      <c r="EM699" t="str">
        <f>IF(NOT(ISBLANK($B699)),VLOOKUP($B699,AssetCategories!$A:$E,2,0),"")</f>
        <v/>
      </c>
      <c r="EN699" t="str">
        <f>IF(NOT(ISBLANK($B699)),VLOOKUP($B699,AssetCategories!$A:$E,3,0),"")</f>
        <v/>
      </c>
      <c r="EP699" s="33" t="str">
        <f t="shared" si="21"/>
        <v/>
      </c>
    </row>
    <row r="700" spans="16:146" x14ac:dyDescent="0.25">
      <c r="P700" s="33" t="str" cm="1">
        <f t="array" ref="P700">IFERROR(SUM(VALUE(_xlfn.TEXTSPLIT(O700, ";"))), "")</f>
        <v/>
      </c>
      <c r="DO700" t="str">
        <f t="shared" si="20"/>
        <v/>
      </c>
      <c r="EG700" s="33" t="str">
        <f>IF(NOT(ISBLANK($B700)),VLOOKUP($B700,AssetCategories!$A:$E,5,0),"")</f>
        <v/>
      </c>
      <c r="EH700" t="str">
        <f>IF(NOT(ISBLANK($B700)),VLOOKUP($B700,AssetCategories!$A:$E,4,0),"")</f>
        <v/>
      </c>
      <c r="EM700" t="str">
        <f>IF(NOT(ISBLANK($B700)),VLOOKUP($B700,AssetCategories!$A:$E,2,0),"")</f>
        <v/>
      </c>
      <c r="EN700" t="str">
        <f>IF(NOT(ISBLANK($B700)),VLOOKUP($B700,AssetCategories!$A:$E,3,0),"")</f>
        <v/>
      </c>
      <c r="EP700" s="33" t="str">
        <f t="shared" si="21"/>
        <v/>
      </c>
    </row>
    <row r="701" spans="16:146" x14ac:dyDescent="0.25">
      <c r="P701" s="33" t="str" cm="1">
        <f t="array" ref="P701">IFERROR(SUM(VALUE(_xlfn.TEXTSPLIT(O701, ";"))), "")</f>
        <v/>
      </c>
      <c r="DO701" t="str">
        <f t="shared" si="20"/>
        <v/>
      </c>
      <c r="EG701" s="33" t="str">
        <f>IF(NOT(ISBLANK($B701)),VLOOKUP($B701,AssetCategories!$A:$E,5,0),"")</f>
        <v/>
      </c>
      <c r="EH701" t="str">
        <f>IF(NOT(ISBLANK($B701)),VLOOKUP($B701,AssetCategories!$A:$E,4,0),"")</f>
        <v/>
      </c>
      <c r="EM701" t="str">
        <f>IF(NOT(ISBLANK($B701)),VLOOKUP($B701,AssetCategories!$A:$E,2,0),"")</f>
        <v/>
      </c>
      <c r="EN701" t="str">
        <f>IF(NOT(ISBLANK($B701)),VLOOKUP($B701,AssetCategories!$A:$E,3,0),"")</f>
        <v/>
      </c>
      <c r="EP701" s="33" t="str">
        <f t="shared" si="21"/>
        <v/>
      </c>
    </row>
    <row r="702" spans="16:146" x14ac:dyDescent="0.25">
      <c r="P702" s="33" t="str" cm="1">
        <f t="array" ref="P702">IFERROR(SUM(VALUE(_xlfn.TEXTSPLIT(O702, ";"))), "")</f>
        <v/>
      </c>
      <c r="DO702" t="str">
        <f t="shared" si="20"/>
        <v/>
      </c>
      <c r="EG702" s="33" t="str">
        <f>IF(NOT(ISBLANK($B702)),VLOOKUP($B702,AssetCategories!$A:$E,5,0),"")</f>
        <v/>
      </c>
      <c r="EH702" t="str">
        <f>IF(NOT(ISBLANK($B702)),VLOOKUP($B702,AssetCategories!$A:$E,4,0),"")</f>
        <v/>
      </c>
      <c r="EM702" t="str">
        <f>IF(NOT(ISBLANK($B702)),VLOOKUP($B702,AssetCategories!$A:$E,2,0),"")</f>
        <v/>
      </c>
      <c r="EN702" t="str">
        <f>IF(NOT(ISBLANK($B702)),VLOOKUP($B702,AssetCategories!$A:$E,3,0),"")</f>
        <v/>
      </c>
      <c r="EP702" s="33" t="str">
        <f t="shared" si="21"/>
        <v/>
      </c>
    </row>
    <row r="703" spans="16:146" x14ac:dyDescent="0.25">
      <c r="P703" s="33" t="str" cm="1">
        <f t="array" ref="P703">IFERROR(SUM(VALUE(_xlfn.TEXTSPLIT(O703, ";"))), "")</f>
        <v/>
      </c>
      <c r="DO703" t="str">
        <f t="shared" si="20"/>
        <v/>
      </c>
      <c r="EG703" s="33" t="str">
        <f>IF(NOT(ISBLANK($B703)),VLOOKUP($B703,AssetCategories!$A:$E,5,0),"")</f>
        <v/>
      </c>
      <c r="EH703" t="str">
        <f>IF(NOT(ISBLANK($B703)),VLOOKUP($B703,AssetCategories!$A:$E,4,0),"")</f>
        <v/>
      </c>
      <c r="EM703" t="str">
        <f>IF(NOT(ISBLANK($B703)),VLOOKUP($B703,AssetCategories!$A:$E,2,0),"")</f>
        <v/>
      </c>
      <c r="EN703" t="str">
        <f>IF(NOT(ISBLANK($B703)),VLOOKUP($B703,AssetCategories!$A:$E,3,0),"")</f>
        <v/>
      </c>
      <c r="EP703" s="33" t="str">
        <f t="shared" si="21"/>
        <v/>
      </c>
    </row>
    <row r="704" spans="16:146" x14ac:dyDescent="0.25">
      <c r="P704" s="33" t="str" cm="1">
        <f t="array" ref="P704">IFERROR(SUM(VALUE(_xlfn.TEXTSPLIT(O704, ";"))), "")</f>
        <v/>
      </c>
      <c r="DO704" t="str">
        <f t="shared" si="20"/>
        <v/>
      </c>
      <c r="EG704" s="33" t="str">
        <f>IF(NOT(ISBLANK($B704)),VLOOKUP($B704,AssetCategories!$A:$E,5,0),"")</f>
        <v/>
      </c>
      <c r="EH704" t="str">
        <f>IF(NOT(ISBLANK($B704)),VLOOKUP($B704,AssetCategories!$A:$E,4,0),"")</f>
        <v/>
      </c>
      <c r="EM704" t="str">
        <f>IF(NOT(ISBLANK($B704)),VLOOKUP($B704,AssetCategories!$A:$E,2,0),"")</f>
        <v/>
      </c>
      <c r="EN704" t="str">
        <f>IF(NOT(ISBLANK($B704)),VLOOKUP($B704,AssetCategories!$A:$E,3,0),"")</f>
        <v/>
      </c>
      <c r="EP704" s="33" t="str">
        <f t="shared" si="21"/>
        <v/>
      </c>
    </row>
    <row r="705" spans="16:146" x14ac:dyDescent="0.25">
      <c r="P705" s="33" t="str" cm="1">
        <f t="array" ref="P705">IFERROR(SUM(VALUE(_xlfn.TEXTSPLIT(O705, ";"))), "")</f>
        <v/>
      </c>
      <c r="DO705" t="str">
        <f t="shared" si="20"/>
        <v/>
      </c>
      <c r="EG705" s="33" t="str">
        <f>IF(NOT(ISBLANK($B705)),VLOOKUP($B705,AssetCategories!$A:$E,5,0),"")</f>
        <v/>
      </c>
      <c r="EH705" t="str">
        <f>IF(NOT(ISBLANK($B705)),VLOOKUP($B705,AssetCategories!$A:$E,4,0),"")</f>
        <v/>
      </c>
      <c r="EM705" t="str">
        <f>IF(NOT(ISBLANK($B705)),VLOOKUP($B705,AssetCategories!$A:$E,2,0),"")</f>
        <v/>
      </c>
      <c r="EN705" t="str">
        <f>IF(NOT(ISBLANK($B705)),VLOOKUP($B705,AssetCategories!$A:$E,3,0),"")</f>
        <v/>
      </c>
      <c r="EP705" s="33" t="str">
        <f t="shared" si="21"/>
        <v/>
      </c>
    </row>
    <row r="706" spans="16:146" x14ac:dyDescent="0.25">
      <c r="P706" s="33" t="str" cm="1">
        <f t="array" ref="P706">IFERROR(SUM(VALUE(_xlfn.TEXTSPLIT(O706, ";"))), "")</f>
        <v/>
      </c>
      <c r="DO706" t="str">
        <f t="shared" si="20"/>
        <v/>
      </c>
      <c r="EG706" s="33" t="str">
        <f>IF(NOT(ISBLANK($B706)),VLOOKUP($B706,AssetCategories!$A:$E,5,0),"")</f>
        <v/>
      </c>
      <c r="EH706" t="str">
        <f>IF(NOT(ISBLANK($B706)),VLOOKUP($B706,AssetCategories!$A:$E,4,0),"")</f>
        <v/>
      </c>
      <c r="EM706" t="str">
        <f>IF(NOT(ISBLANK($B706)),VLOOKUP($B706,AssetCategories!$A:$E,2,0),"")</f>
        <v/>
      </c>
      <c r="EN706" t="str">
        <f>IF(NOT(ISBLANK($B706)),VLOOKUP($B706,AssetCategories!$A:$E,3,0),"")</f>
        <v/>
      </c>
      <c r="EP706" s="33" t="str">
        <f t="shared" si="21"/>
        <v/>
      </c>
    </row>
    <row r="707" spans="16:146" x14ac:dyDescent="0.25">
      <c r="P707" s="33" t="str" cm="1">
        <f t="array" ref="P707">IFERROR(SUM(VALUE(_xlfn.TEXTSPLIT(O707, ";"))), "")</f>
        <v/>
      </c>
      <c r="DO707" t="str">
        <f t="shared" si="20"/>
        <v/>
      </c>
      <c r="EG707" s="33" t="str">
        <f>IF(NOT(ISBLANK($B707)),VLOOKUP($B707,AssetCategories!$A:$E,5,0),"")</f>
        <v/>
      </c>
      <c r="EH707" t="str">
        <f>IF(NOT(ISBLANK($B707)),VLOOKUP($B707,AssetCategories!$A:$E,4,0),"")</f>
        <v/>
      </c>
      <c r="EM707" t="str">
        <f>IF(NOT(ISBLANK($B707)),VLOOKUP($B707,AssetCategories!$A:$E,2,0),"")</f>
        <v/>
      </c>
      <c r="EN707" t="str">
        <f>IF(NOT(ISBLANK($B707)),VLOOKUP($B707,AssetCategories!$A:$E,3,0),"")</f>
        <v/>
      </c>
      <c r="EP707" s="33" t="str">
        <f t="shared" si="21"/>
        <v/>
      </c>
    </row>
    <row r="708" spans="16:146" x14ac:dyDescent="0.25">
      <c r="P708" s="33" t="str" cm="1">
        <f t="array" ref="P708">IFERROR(SUM(VALUE(_xlfn.TEXTSPLIT(O708, ";"))), "")</f>
        <v/>
      </c>
      <c r="DO708" t="str">
        <f t="shared" si="20"/>
        <v/>
      </c>
      <c r="EG708" s="33" t="str">
        <f>IF(NOT(ISBLANK($B708)),VLOOKUP($B708,AssetCategories!$A:$E,5,0),"")</f>
        <v/>
      </c>
      <c r="EH708" t="str">
        <f>IF(NOT(ISBLANK($B708)),VLOOKUP($B708,AssetCategories!$A:$E,4,0),"")</f>
        <v/>
      </c>
      <c r="EM708" t="str">
        <f>IF(NOT(ISBLANK($B708)),VLOOKUP($B708,AssetCategories!$A:$E,2,0),"")</f>
        <v/>
      </c>
      <c r="EN708" t="str">
        <f>IF(NOT(ISBLANK($B708)),VLOOKUP($B708,AssetCategories!$A:$E,3,0),"")</f>
        <v/>
      </c>
      <c r="EP708" s="33" t="str">
        <f t="shared" si="21"/>
        <v/>
      </c>
    </row>
    <row r="709" spans="16:146" x14ac:dyDescent="0.25">
      <c r="P709" s="33" t="str" cm="1">
        <f t="array" ref="P709">IFERROR(SUM(VALUE(_xlfn.TEXTSPLIT(O709, ";"))), "")</f>
        <v/>
      </c>
      <c r="DO709" t="str">
        <f t="shared" ref="DO709:DO772" si="22">IF(SUM(DE709:DN709)=0, "", SUM(DE709:DN709))</f>
        <v/>
      </c>
      <c r="EG709" s="33" t="str">
        <f>IF(NOT(ISBLANK($B709)),VLOOKUP($B709,AssetCategories!$A:$E,5,0),"")</f>
        <v/>
      </c>
      <c r="EH709" t="str">
        <f>IF(NOT(ISBLANK($B709)),VLOOKUP($B709,AssetCategories!$A:$E,4,0),"")</f>
        <v/>
      </c>
      <c r="EM709" t="str">
        <f>IF(NOT(ISBLANK($B709)),VLOOKUP($B709,AssetCategories!$A:$E,2,0),"")</f>
        <v/>
      </c>
      <c r="EN709" t="str">
        <f>IF(NOT(ISBLANK($B709)),VLOOKUP($B709,AssetCategories!$A:$E,3,0),"")</f>
        <v/>
      </c>
      <c r="EP709" s="33" t="str">
        <f t="shared" ref="EP709:EP772" si="23">IFERROR(P709-EO709, "")</f>
        <v/>
      </c>
    </row>
    <row r="710" spans="16:146" x14ac:dyDescent="0.25">
      <c r="P710" s="33" t="str" cm="1">
        <f t="array" ref="P710">IFERROR(SUM(VALUE(_xlfn.TEXTSPLIT(O710, ";"))), "")</f>
        <v/>
      </c>
      <c r="DO710" t="str">
        <f t="shared" si="22"/>
        <v/>
      </c>
      <c r="EG710" s="33" t="str">
        <f>IF(NOT(ISBLANK($B710)),VLOOKUP($B710,AssetCategories!$A:$E,5,0),"")</f>
        <v/>
      </c>
      <c r="EH710" t="str">
        <f>IF(NOT(ISBLANK($B710)),VLOOKUP($B710,AssetCategories!$A:$E,4,0),"")</f>
        <v/>
      </c>
      <c r="EM710" t="str">
        <f>IF(NOT(ISBLANK($B710)),VLOOKUP($B710,AssetCategories!$A:$E,2,0),"")</f>
        <v/>
      </c>
      <c r="EN710" t="str">
        <f>IF(NOT(ISBLANK($B710)),VLOOKUP($B710,AssetCategories!$A:$E,3,0),"")</f>
        <v/>
      </c>
      <c r="EP710" s="33" t="str">
        <f t="shared" si="23"/>
        <v/>
      </c>
    </row>
    <row r="711" spans="16:146" x14ac:dyDescent="0.25">
      <c r="P711" s="33" t="str" cm="1">
        <f t="array" ref="P711">IFERROR(SUM(VALUE(_xlfn.TEXTSPLIT(O711, ";"))), "")</f>
        <v/>
      </c>
      <c r="DO711" t="str">
        <f t="shared" si="22"/>
        <v/>
      </c>
      <c r="EG711" s="33" t="str">
        <f>IF(NOT(ISBLANK($B711)),VLOOKUP($B711,AssetCategories!$A:$E,5,0),"")</f>
        <v/>
      </c>
      <c r="EH711" t="str">
        <f>IF(NOT(ISBLANK($B711)),VLOOKUP($B711,AssetCategories!$A:$E,4,0),"")</f>
        <v/>
      </c>
      <c r="EM711" t="str">
        <f>IF(NOT(ISBLANK($B711)),VLOOKUP($B711,AssetCategories!$A:$E,2,0),"")</f>
        <v/>
      </c>
      <c r="EN711" t="str">
        <f>IF(NOT(ISBLANK($B711)),VLOOKUP($B711,AssetCategories!$A:$E,3,0),"")</f>
        <v/>
      </c>
      <c r="EP711" s="33" t="str">
        <f t="shared" si="23"/>
        <v/>
      </c>
    </row>
    <row r="712" spans="16:146" x14ac:dyDescent="0.25">
      <c r="P712" s="33" t="str" cm="1">
        <f t="array" ref="P712">IFERROR(SUM(VALUE(_xlfn.TEXTSPLIT(O712, ";"))), "")</f>
        <v/>
      </c>
      <c r="DO712" t="str">
        <f t="shared" si="22"/>
        <v/>
      </c>
      <c r="EG712" s="33" t="str">
        <f>IF(NOT(ISBLANK($B712)),VLOOKUP($B712,AssetCategories!$A:$E,5,0),"")</f>
        <v/>
      </c>
      <c r="EH712" t="str">
        <f>IF(NOT(ISBLANK($B712)),VLOOKUP($B712,AssetCategories!$A:$E,4,0),"")</f>
        <v/>
      </c>
      <c r="EM712" t="str">
        <f>IF(NOT(ISBLANK($B712)),VLOOKUP($B712,AssetCategories!$A:$E,2,0),"")</f>
        <v/>
      </c>
      <c r="EN712" t="str">
        <f>IF(NOT(ISBLANK($B712)),VLOOKUP($B712,AssetCategories!$A:$E,3,0),"")</f>
        <v/>
      </c>
      <c r="EP712" s="33" t="str">
        <f t="shared" si="23"/>
        <v/>
      </c>
    </row>
    <row r="713" spans="16:146" x14ac:dyDescent="0.25">
      <c r="P713" s="33" t="str" cm="1">
        <f t="array" ref="P713">IFERROR(SUM(VALUE(_xlfn.TEXTSPLIT(O713, ";"))), "")</f>
        <v/>
      </c>
      <c r="DO713" t="str">
        <f t="shared" si="22"/>
        <v/>
      </c>
      <c r="EG713" s="33" t="str">
        <f>IF(NOT(ISBLANK($B713)),VLOOKUP($B713,AssetCategories!$A:$E,5,0),"")</f>
        <v/>
      </c>
      <c r="EH713" t="str">
        <f>IF(NOT(ISBLANK($B713)),VLOOKUP($B713,AssetCategories!$A:$E,4,0),"")</f>
        <v/>
      </c>
      <c r="EM713" t="str">
        <f>IF(NOT(ISBLANK($B713)),VLOOKUP($B713,AssetCategories!$A:$E,2,0),"")</f>
        <v/>
      </c>
      <c r="EN713" t="str">
        <f>IF(NOT(ISBLANK($B713)),VLOOKUP($B713,AssetCategories!$A:$E,3,0),"")</f>
        <v/>
      </c>
      <c r="EP713" s="33" t="str">
        <f t="shared" si="23"/>
        <v/>
      </c>
    </row>
    <row r="714" spans="16:146" x14ac:dyDescent="0.25">
      <c r="P714" s="33" t="str" cm="1">
        <f t="array" ref="P714">IFERROR(SUM(VALUE(_xlfn.TEXTSPLIT(O714, ";"))), "")</f>
        <v/>
      </c>
      <c r="DO714" t="str">
        <f t="shared" si="22"/>
        <v/>
      </c>
      <c r="EG714" s="33" t="str">
        <f>IF(NOT(ISBLANK($B714)),VLOOKUP($B714,AssetCategories!$A:$E,5,0),"")</f>
        <v/>
      </c>
      <c r="EH714" t="str">
        <f>IF(NOT(ISBLANK($B714)),VLOOKUP($B714,AssetCategories!$A:$E,4,0),"")</f>
        <v/>
      </c>
      <c r="EM714" t="str">
        <f>IF(NOT(ISBLANK($B714)),VLOOKUP($B714,AssetCategories!$A:$E,2,0),"")</f>
        <v/>
      </c>
      <c r="EN714" t="str">
        <f>IF(NOT(ISBLANK($B714)),VLOOKUP($B714,AssetCategories!$A:$E,3,0),"")</f>
        <v/>
      </c>
      <c r="EP714" s="33" t="str">
        <f t="shared" si="23"/>
        <v/>
      </c>
    </row>
    <row r="715" spans="16:146" x14ac:dyDescent="0.25">
      <c r="P715" s="33" t="str" cm="1">
        <f t="array" ref="P715">IFERROR(SUM(VALUE(_xlfn.TEXTSPLIT(O715, ";"))), "")</f>
        <v/>
      </c>
      <c r="DO715" t="str">
        <f t="shared" si="22"/>
        <v/>
      </c>
      <c r="EG715" s="33" t="str">
        <f>IF(NOT(ISBLANK($B715)),VLOOKUP($B715,AssetCategories!$A:$E,5,0),"")</f>
        <v/>
      </c>
      <c r="EH715" t="str">
        <f>IF(NOT(ISBLANK($B715)),VLOOKUP($B715,AssetCategories!$A:$E,4,0),"")</f>
        <v/>
      </c>
      <c r="EM715" t="str">
        <f>IF(NOT(ISBLANK($B715)),VLOOKUP($B715,AssetCategories!$A:$E,2,0),"")</f>
        <v/>
      </c>
      <c r="EN715" t="str">
        <f>IF(NOT(ISBLANK($B715)),VLOOKUP($B715,AssetCategories!$A:$E,3,0),"")</f>
        <v/>
      </c>
      <c r="EP715" s="33" t="str">
        <f t="shared" si="23"/>
        <v/>
      </c>
    </row>
    <row r="716" spans="16:146" x14ac:dyDescent="0.25">
      <c r="P716" s="33" t="str" cm="1">
        <f t="array" ref="P716">IFERROR(SUM(VALUE(_xlfn.TEXTSPLIT(O716, ";"))), "")</f>
        <v/>
      </c>
      <c r="DO716" t="str">
        <f t="shared" si="22"/>
        <v/>
      </c>
      <c r="EG716" s="33" t="str">
        <f>IF(NOT(ISBLANK($B716)),VLOOKUP($B716,AssetCategories!$A:$E,5,0),"")</f>
        <v/>
      </c>
      <c r="EH716" t="str">
        <f>IF(NOT(ISBLANK($B716)),VLOOKUP($B716,AssetCategories!$A:$E,4,0),"")</f>
        <v/>
      </c>
      <c r="EM716" t="str">
        <f>IF(NOT(ISBLANK($B716)),VLOOKUP($B716,AssetCategories!$A:$E,2,0),"")</f>
        <v/>
      </c>
      <c r="EN716" t="str">
        <f>IF(NOT(ISBLANK($B716)),VLOOKUP($B716,AssetCategories!$A:$E,3,0),"")</f>
        <v/>
      </c>
      <c r="EP716" s="33" t="str">
        <f t="shared" si="23"/>
        <v/>
      </c>
    </row>
    <row r="717" spans="16:146" x14ac:dyDescent="0.25">
      <c r="P717" s="33" t="str" cm="1">
        <f t="array" ref="P717">IFERROR(SUM(VALUE(_xlfn.TEXTSPLIT(O717, ";"))), "")</f>
        <v/>
      </c>
      <c r="DO717" t="str">
        <f t="shared" si="22"/>
        <v/>
      </c>
      <c r="EG717" s="33" t="str">
        <f>IF(NOT(ISBLANK($B717)),VLOOKUP($B717,AssetCategories!$A:$E,5,0),"")</f>
        <v/>
      </c>
      <c r="EH717" t="str">
        <f>IF(NOT(ISBLANK($B717)),VLOOKUP($B717,AssetCategories!$A:$E,4,0),"")</f>
        <v/>
      </c>
      <c r="EM717" t="str">
        <f>IF(NOT(ISBLANK($B717)),VLOOKUP($B717,AssetCategories!$A:$E,2,0),"")</f>
        <v/>
      </c>
      <c r="EN717" t="str">
        <f>IF(NOT(ISBLANK($B717)),VLOOKUP($B717,AssetCategories!$A:$E,3,0),"")</f>
        <v/>
      </c>
      <c r="EP717" s="33" t="str">
        <f t="shared" si="23"/>
        <v/>
      </c>
    </row>
    <row r="718" spans="16:146" x14ac:dyDescent="0.25">
      <c r="P718" s="33" t="str" cm="1">
        <f t="array" ref="P718">IFERROR(SUM(VALUE(_xlfn.TEXTSPLIT(O718, ";"))), "")</f>
        <v/>
      </c>
      <c r="DO718" t="str">
        <f t="shared" si="22"/>
        <v/>
      </c>
      <c r="EG718" s="33" t="str">
        <f>IF(NOT(ISBLANK($B718)),VLOOKUP($B718,AssetCategories!$A:$E,5,0),"")</f>
        <v/>
      </c>
      <c r="EH718" t="str">
        <f>IF(NOT(ISBLANK($B718)),VLOOKUP($B718,AssetCategories!$A:$E,4,0),"")</f>
        <v/>
      </c>
      <c r="EM718" t="str">
        <f>IF(NOT(ISBLANK($B718)),VLOOKUP($B718,AssetCategories!$A:$E,2,0),"")</f>
        <v/>
      </c>
      <c r="EN718" t="str">
        <f>IF(NOT(ISBLANK($B718)),VLOOKUP($B718,AssetCategories!$A:$E,3,0),"")</f>
        <v/>
      </c>
      <c r="EP718" s="33" t="str">
        <f t="shared" si="23"/>
        <v/>
      </c>
    </row>
    <row r="719" spans="16:146" x14ac:dyDescent="0.25">
      <c r="P719" s="33" t="str" cm="1">
        <f t="array" ref="P719">IFERROR(SUM(VALUE(_xlfn.TEXTSPLIT(O719, ";"))), "")</f>
        <v/>
      </c>
      <c r="DO719" t="str">
        <f t="shared" si="22"/>
        <v/>
      </c>
      <c r="EG719" s="33" t="str">
        <f>IF(NOT(ISBLANK($B719)),VLOOKUP($B719,AssetCategories!$A:$E,5,0),"")</f>
        <v/>
      </c>
      <c r="EH719" t="str">
        <f>IF(NOT(ISBLANK($B719)),VLOOKUP($B719,AssetCategories!$A:$E,4,0),"")</f>
        <v/>
      </c>
      <c r="EM719" t="str">
        <f>IF(NOT(ISBLANK($B719)),VLOOKUP($B719,AssetCategories!$A:$E,2,0),"")</f>
        <v/>
      </c>
      <c r="EN719" t="str">
        <f>IF(NOT(ISBLANK($B719)),VLOOKUP($B719,AssetCategories!$A:$E,3,0),"")</f>
        <v/>
      </c>
      <c r="EP719" s="33" t="str">
        <f t="shared" si="23"/>
        <v/>
      </c>
    </row>
    <row r="720" spans="16:146" x14ac:dyDescent="0.25">
      <c r="P720" s="33" t="str" cm="1">
        <f t="array" ref="P720">IFERROR(SUM(VALUE(_xlfn.TEXTSPLIT(O720, ";"))), "")</f>
        <v/>
      </c>
      <c r="DO720" t="str">
        <f t="shared" si="22"/>
        <v/>
      </c>
      <c r="EG720" s="33" t="str">
        <f>IF(NOT(ISBLANK($B720)),VLOOKUP($B720,AssetCategories!$A:$E,5,0),"")</f>
        <v/>
      </c>
      <c r="EH720" t="str">
        <f>IF(NOT(ISBLANK($B720)),VLOOKUP($B720,AssetCategories!$A:$E,4,0),"")</f>
        <v/>
      </c>
      <c r="EM720" t="str">
        <f>IF(NOT(ISBLANK($B720)),VLOOKUP($B720,AssetCategories!$A:$E,2,0),"")</f>
        <v/>
      </c>
      <c r="EN720" t="str">
        <f>IF(NOT(ISBLANK($B720)),VLOOKUP($B720,AssetCategories!$A:$E,3,0),"")</f>
        <v/>
      </c>
      <c r="EP720" s="33" t="str">
        <f t="shared" si="23"/>
        <v/>
      </c>
    </row>
    <row r="721" spans="16:146" x14ac:dyDescent="0.25">
      <c r="P721" s="33" t="str" cm="1">
        <f t="array" ref="P721">IFERROR(SUM(VALUE(_xlfn.TEXTSPLIT(O721, ";"))), "")</f>
        <v/>
      </c>
      <c r="DO721" t="str">
        <f t="shared" si="22"/>
        <v/>
      </c>
      <c r="EG721" s="33" t="str">
        <f>IF(NOT(ISBLANK($B721)),VLOOKUP($B721,AssetCategories!$A:$E,5,0),"")</f>
        <v/>
      </c>
      <c r="EH721" t="str">
        <f>IF(NOT(ISBLANK($B721)),VLOOKUP($B721,AssetCategories!$A:$E,4,0),"")</f>
        <v/>
      </c>
      <c r="EM721" t="str">
        <f>IF(NOT(ISBLANK($B721)),VLOOKUP($B721,AssetCategories!$A:$E,2,0),"")</f>
        <v/>
      </c>
      <c r="EN721" t="str">
        <f>IF(NOT(ISBLANK($B721)),VLOOKUP($B721,AssetCategories!$A:$E,3,0),"")</f>
        <v/>
      </c>
      <c r="EP721" s="33" t="str">
        <f t="shared" si="23"/>
        <v/>
      </c>
    </row>
    <row r="722" spans="16:146" x14ac:dyDescent="0.25">
      <c r="P722" s="33" t="str" cm="1">
        <f t="array" ref="P722">IFERROR(SUM(VALUE(_xlfn.TEXTSPLIT(O722, ";"))), "")</f>
        <v/>
      </c>
      <c r="DO722" t="str">
        <f t="shared" si="22"/>
        <v/>
      </c>
      <c r="EG722" s="33" t="str">
        <f>IF(NOT(ISBLANK($B722)),VLOOKUP($B722,AssetCategories!$A:$E,5,0),"")</f>
        <v/>
      </c>
      <c r="EH722" t="str">
        <f>IF(NOT(ISBLANK($B722)),VLOOKUP($B722,AssetCategories!$A:$E,4,0),"")</f>
        <v/>
      </c>
      <c r="EM722" t="str">
        <f>IF(NOT(ISBLANK($B722)),VLOOKUP($B722,AssetCategories!$A:$E,2,0),"")</f>
        <v/>
      </c>
      <c r="EN722" t="str">
        <f>IF(NOT(ISBLANK($B722)),VLOOKUP($B722,AssetCategories!$A:$E,3,0),"")</f>
        <v/>
      </c>
      <c r="EP722" s="33" t="str">
        <f t="shared" si="23"/>
        <v/>
      </c>
    </row>
    <row r="723" spans="16:146" x14ac:dyDescent="0.25">
      <c r="P723" s="33" t="str" cm="1">
        <f t="array" ref="P723">IFERROR(SUM(VALUE(_xlfn.TEXTSPLIT(O723, ";"))), "")</f>
        <v/>
      </c>
      <c r="DO723" t="str">
        <f t="shared" si="22"/>
        <v/>
      </c>
      <c r="EG723" s="33" t="str">
        <f>IF(NOT(ISBLANK($B723)),VLOOKUP($B723,AssetCategories!$A:$E,5,0),"")</f>
        <v/>
      </c>
      <c r="EH723" t="str">
        <f>IF(NOT(ISBLANK($B723)),VLOOKUP($B723,AssetCategories!$A:$E,4,0),"")</f>
        <v/>
      </c>
      <c r="EM723" t="str">
        <f>IF(NOT(ISBLANK($B723)),VLOOKUP($B723,AssetCategories!$A:$E,2,0),"")</f>
        <v/>
      </c>
      <c r="EN723" t="str">
        <f>IF(NOT(ISBLANK($B723)),VLOOKUP($B723,AssetCategories!$A:$E,3,0),"")</f>
        <v/>
      </c>
      <c r="EP723" s="33" t="str">
        <f t="shared" si="23"/>
        <v/>
      </c>
    </row>
    <row r="724" spans="16:146" x14ac:dyDescent="0.25">
      <c r="P724" s="33" t="str" cm="1">
        <f t="array" ref="P724">IFERROR(SUM(VALUE(_xlfn.TEXTSPLIT(O724, ";"))), "")</f>
        <v/>
      </c>
      <c r="DO724" t="str">
        <f t="shared" si="22"/>
        <v/>
      </c>
      <c r="EG724" s="33" t="str">
        <f>IF(NOT(ISBLANK($B724)),VLOOKUP($B724,AssetCategories!$A:$E,5,0),"")</f>
        <v/>
      </c>
      <c r="EH724" t="str">
        <f>IF(NOT(ISBLANK($B724)),VLOOKUP($B724,AssetCategories!$A:$E,4,0),"")</f>
        <v/>
      </c>
      <c r="EM724" t="str">
        <f>IF(NOT(ISBLANK($B724)),VLOOKUP($B724,AssetCategories!$A:$E,2,0),"")</f>
        <v/>
      </c>
      <c r="EN724" t="str">
        <f>IF(NOT(ISBLANK($B724)),VLOOKUP($B724,AssetCategories!$A:$E,3,0),"")</f>
        <v/>
      </c>
      <c r="EP724" s="33" t="str">
        <f t="shared" si="23"/>
        <v/>
      </c>
    </row>
    <row r="725" spans="16:146" x14ac:dyDescent="0.25">
      <c r="P725" s="33" t="str" cm="1">
        <f t="array" ref="P725">IFERROR(SUM(VALUE(_xlfn.TEXTSPLIT(O725, ";"))), "")</f>
        <v/>
      </c>
      <c r="DO725" t="str">
        <f t="shared" si="22"/>
        <v/>
      </c>
      <c r="EG725" s="33" t="str">
        <f>IF(NOT(ISBLANK($B725)),VLOOKUP($B725,AssetCategories!$A:$E,5,0),"")</f>
        <v/>
      </c>
      <c r="EH725" t="str">
        <f>IF(NOT(ISBLANK($B725)),VLOOKUP($B725,AssetCategories!$A:$E,4,0),"")</f>
        <v/>
      </c>
      <c r="EM725" t="str">
        <f>IF(NOT(ISBLANK($B725)),VLOOKUP($B725,AssetCategories!$A:$E,2,0),"")</f>
        <v/>
      </c>
      <c r="EN725" t="str">
        <f>IF(NOT(ISBLANK($B725)),VLOOKUP($B725,AssetCategories!$A:$E,3,0),"")</f>
        <v/>
      </c>
      <c r="EP725" s="33" t="str">
        <f t="shared" si="23"/>
        <v/>
      </c>
    </row>
    <row r="726" spans="16:146" x14ac:dyDescent="0.25">
      <c r="P726" s="33" t="str" cm="1">
        <f t="array" ref="P726">IFERROR(SUM(VALUE(_xlfn.TEXTSPLIT(O726, ";"))), "")</f>
        <v/>
      </c>
      <c r="DO726" t="str">
        <f t="shared" si="22"/>
        <v/>
      </c>
      <c r="EG726" s="33" t="str">
        <f>IF(NOT(ISBLANK($B726)),VLOOKUP($B726,AssetCategories!$A:$E,5,0),"")</f>
        <v/>
      </c>
      <c r="EH726" t="str">
        <f>IF(NOT(ISBLANK($B726)),VLOOKUP($B726,AssetCategories!$A:$E,4,0),"")</f>
        <v/>
      </c>
      <c r="EM726" t="str">
        <f>IF(NOT(ISBLANK($B726)),VLOOKUP($B726,AssetCategories!$A:$E,2,0),"")</f>
        <v/>
      </c>
      <c r="EN726" t="str">
        <f>IF(NOT(ISBLANK($B726)),VLOOKUP($B726,AssetCategories!$A:$E,3,0),"")</f>
        <v/>
      </c>
      <c r="EP726" s="33" t="str">
        <f t="shared" si="23"/>
        <v/>
      </c>
    </row>
    <row r="727" spans="16:146" x14ac:dyDescent="0.25">
      <c r="P727" s="33" t="str" cm="1">
        <f t="array" ref="P727">IFERROR(SUM(VALUE(_xlfn.TEXTSPLIT(O727, ";"))), "")</f>
        <v/>
      </c>
      <c r="DO727" t="str">
        <f t="shared" si="22"/>
        <v/>
      </c>
      <c r="EG727" s="33" t="str">
        <f>IF(NOT(ISBLANK($B727)),VLOOKUP($B727,AssetCategories!$A:$E,5,0),"")</f>
        <v/>
      </c>
      <c r="EH727" t="str">
        <f>IF(NOT(ISBLANK($B727)),VLOOKUP($B727,AssetCategories!$A:$E,4,0),"")</f>
        <v/>
      </c>
      <c r="EM727" t="str">
        <f>IF(NOT(ISBLANK($B727)),VLOOKUP($B727,AssetCategories!$A:$E,2,0),"")</f>
        <v/>
      </c>
      <c r="EN727" t="str">
        <f>IF(NOT(ISBLANK($B727)),VLOOKUP($B727,AssetCategories!$A:$E,3,0),"")</f>
        <v/>
      </c>
      <c r="EP727" s="33" t="str">
        <f t="shared" si="23"/>
        <v/>
      </c>
    </row>
    <row r="728" spans="16:146" x14ac:dyDescent="0.25">
      <c r="P728" s="33" t="str" cm="1">
        <f t="array" ref="P728">IFERROR(SUM(VALUE(_xlfn.TEXTSPLIT(O728, ";"))), "")</f>
        <v/>
      </c>
      <c r="DO728" t="str">
        <f t="shared" si="22"/>
        <v/>
      </c>
      <c r="EG728" s="33" t="str">
        <f>IF(NOT(ISBLANK($B728)),VLOOKUP($B728,AssetCategories!$A:$E,5,0),"")</f>
        <v/>
      </c>
      <c r="EH728" t="str">
        <f>IF(NOT(ISBLANK($B728)),VLOOKUP($B728,AssetCategories!$A:$E,4,0),"")</f>
        <v/>
      </c>
      <c r="EM728" t="str">
        <f>IF(NOT(ISBLANK($B728)),VLOOKUP($B728,AssetCategories!$A:$E,2,0),"")</f>
        <v/>
      </c>
      <c r="EN728" t="str">
        <f>IF(NOT(ISBLANK($B728)),VLOOKUP($B728,AssetCategories!$A:$E,3,0),"")</f>
        <v/>
      </c>
      <c r="EP728" s="33" t="str">
        <f t="shared" si="23"/>
        <v/>
      </c>
    </row>
    <row r="729" spans="16:146" x14ac:dyDescent="0.25">
      <c r="P729" s="33" t="str" cm="1">
        <f t="array" ref="P729">IFERROR(SUM(VALUE(_xlfn.TEXTSPLIT(O729, ";"))), "")</f>
        <v/>
      </c>
      <c r="DO729" t="str">
        <f t="shared" si="22"/>
        <v/>
      </c>
      <c r="EG729" s="33" t="str">
        <f>IF(NOT(ISBLANK($B729)),VLOOKUP($B729,AssetCategories!$A:$E,5,0),"")</f>
        <v/>
      </c>
      <c r="EH729" t="str">
        <f>IF(NOT(ISBLANK($B729)),VLOOKUP($B729,AssetCategories!$A:$E,4,0),"")</f>
        <v/>
      </c>
      <c r="EM729" t="str">
        <f>IF(NOT(ISBLANK($B729)),VLOOKUP($B729,AssetCategories!$A:$E,2,0),"")</f>
        <v/>
      </c>
      <c r="EN729" t="str">
        <f>IF(NOT(ISBLANK($B729)),VLOOKUP($B729,AssetCategories!$A:$E,3,0),"")</f>
        <v/>
      </c>
      <c r="EP729" s="33" t="str">
        <f t="shared" si="23"/>
        <v/>
      </c>
    </row>
    <row r="730" spans="16:146" x14ac:dyDescent="0.25">
      <c r="P730" s="33" t="str" cm="1">
        <f t="array" ref="P730">IFERROR(SUM(VALUE(_xlfn.TEXTSPLIT(O730, ";"))), "")</f>
        <v/>
      </c>
      <c r="DO730" t="str">
        <f t="shared" si="22"/>
        <v/>
      </c>
      <c r="EG730" s="33" t="str">
        <f>IF(NOT(ISBLANK($B730)),VLOOKUP($B730,AssetCategories!$A:$E,5,0),"")</f>
        <v/>
      </c>
      <c r="EH730" t="str">
        <f>IF(NOT(ISBLANK($B730)),VLOOKUP($B730,AssetCategories!$A:$E,4,0),"")</f>
        <v/>
      </c>
      <c r="EM730" t="str">
        <f>IF(NOT(ISBLANK($B730)),VLOOKUP($B730,AssetCategories!$A:$E,2,0),"")</f>
        <v/>
      </c>
      <c r="EN730" t="str">
        <f>IF(NOT(ISBLANK($B730)),VLOOKUP($B730,AssetCategories!$A:$E,3,0),"")</f>
        <v/>
      </c>
      <c r="EP730" s="33" t="str">
        <f t="shared" si="23"/>
        <v/>
      </c>
    </row>
    <row r="731" spans="16:146" x14ac:dyDescent="0.25">
      <c r="P731" s="33" t="str" cm="1">
        <f t="array" ref="P731">IFERROR(SUM(VALUE(_xlfn.TEXTSPLIT(O731, ";"))), "")</f>
        <v/>
      </c>
      <c r="DO731" t="str">
        <f t="shared" si="22"/>
        <v/>
      </c>
      <c r="EG731" s="33" t="str">
        <f>IF(NOT(ISBLANK($B731)),VLOOKUP($B731,AssetCategories!$A:$E,5,0),"")</f>
        <v/>
      </c>
      <c r="EH731" t="str">
        <f>IF(NOT(ISBLANK($B731)),VLOOKUP($B731,AssetCategories!$A:$E,4,0),"")</f>
        <v/>
      </c>
      <c r="EM731" t="str">
        <f>IF(NOT(ISBLANK($B731)),VLOOKUP($B731,AssetCategories!$A:$E,2,0),"")</f>
        <v/>
      </c>
      <c r="EN731" t="str">
        <f>IF(NOT(ISBLANK($B731)),VLOOKUP($B731,AssetCategories!$A:$E,3,0),"")</f>
        <v/>
      </c>
      <c r="EP731" s="33" t="str">
        <f t="shared" si="23"/>
        <v/>
      </c>
    </row>
    <row r="732" spans="16:146" x14ac:dyDescent="0.25">
      <c r="P732" s="33" t="str" cm="1">
        <f t="array" ref="P732">IFERROR(SUM(VALUE(_xlfn.TEXTSPLIT(O732, ";"))), "")</f>
        <v/>
      </c>
      <c r="DO732" t="str">
        <f t="shared" si="22"/>
        <v/>
      </c>
      <c r="EG732" s="33" t="str">
        <f>IF(NOT(ISBLANK($B732)),VLOOKUP($B732,AssetCategories!$A:$E,5,0),"")</f>
        <v/>
      </c>
      <c r="EH732" t="str">
        <f>IF(NOT(ISBLANK($B732)),VLOOKUP($B732,AssetCategories!$A:$E,4,0),"")</f>
        <v/>
      </c>
      <c r="EM732" t="str">
        <f>IF(NOT(ISBLANK($B732)),VLOOKUP($B732,AssetCategories!$A:$E,2,0),"")</f>
        <v/>
      </c>
      <c r="EN732" t="str">
        <f>IF(NOT(ISBLANK($B732)),VLOOKUP($B732,AssetCategories!$A:$E,3,0),"")</f>
        <v/>
      </c>
      <c r="EP732" s="33" t="str">
        <f t="shared" si="23"/>
        <v/>
      </c>
    </row>
    <row r="733" spans="16:146" x14ac:dyDescent="0.25">
      <c r="P733" s="33" t="str" cm="1">
        <f t="array" ref="P733">IFERROR(SUM(VALUE(_xlfn.TEXTSPLIT(O733, ";"))), "")</f>
        <v/>
      </c>
      <c r="DO733" t="str">
        <f t="shared" si="22"/>
        <v/>
      </c>
      <c r="EG733" s="33" t="str">
        <f>IF(NOT(ISBLANK($B733)),VLOOKUP($B733,AssetCategories!$A:$E,5,0),"")</f>
        <v/>
      </c>
      <c r="EH733" t="str">
        <f>IF(NOT(ISBLANK($B733)),VLOOKUP($B733,AssetCategories!$A:$E,4,0),"")</f>
        <v/>
      </c>
      <c r="EM733" t="str">
        <f>IF(NOT(ISBLANK($B733)),VLOOKUP($B733,AssetCategories!$A:$E,2,0),"")</f>
        <v/>
      </c>
      <c r="EN733" t="str">
        <f>IF(NOT(ISBLANK($B733)),VLOOKUP($B733,AssetCategories!$A:$E,3,0),"")</f>
        <v/>
      </c>
      <c r="EP733" s="33" t="str">
        <f t="shared" si="23"/>
        <v/>
      </c>
    </row>
    <row r="734" spans="16:146" x14ac:dyDescent="0.25">
      <c r="P734" s="33" t="str" cm="1">
        <f t="array" ref="P734">IFERROR(SUM(VALUE(_xlfn.TEXTSPLIT(O734, ";"))), "")</f>
        <v/>
      </c>
      <c r="DO734" t="str">
        <f t="shared" si="22"/>
        <v/>
      </c>
      <c r="EG734" s="33" t="str">
        <f>IF(NOT(ISBLANK($B734)),VLOOKUP($B734,AssetCategories!$A:$E,5,0),"")</f>
        <v/>
      </c>
      <c r="EH734" t="str">
        <f>IF(NOT(ISBLANK($B734)),VLOOKUP($B734,AssetCategories!$A:$E,4,0),"")</f>
        <v/>
      </c>
      <c r="EM734" t="str">
        <f>IF(NOT(ISBLANK($B734)),VLOOKUP($B734,AssetCategories!$A:$E,2,0),"")</f>
        <v/>
      </c>
      <c r="EN734" t="str">
        <f>IF(NOT(ISBLANK($B734)),VLOOKUP($B734,AssetCategories!$A:$E,3,0),"")</f>
        <v/>
      </c>
      <c r="EP734" s="33" t="str">
        <f t="shared" si="23"/>
        <v/>
      </c>
    </row>
    <row r="735" spans="16:146" x14ac:dyDescent="0.25">
      <c r="P735" s="33" t="str" cm="1">
        <f t="array" ref="P735">IFERROR(SUM(VALUE(_xlfn.TEXTSPLIT(O735, ";"))), "")</f>
        <v/>
      </c>
      <c r="DO735" t="str">
        <f t="shared" si="22"/>
        <v/>
      </c>
      <c r="EG735" s="33" t="str">
        <f>IF(NOT(ISBLANK($B735)),VLOOKUP($B735,AssetCategories!$A:$E,5,0),"")</f>
        <v/>
      </c>
      <c r="EH735" t="str">
        <f>IF(NOT(ISBLANK($B735)),VLOOKUP($B735,AssetCategories!$A:$E,4,0),"")</f>
        <v/>
      </c>
      <c r="EM735" t="str">
        <f>IF(NOT(ISBLANK($B735)),VLOOKUP($B735,AssetCategories!$A:$E,2,0),"")</f>
        <v/>
      </c>
      <c r="EN735" t="str">
        <f>IF(NOT(ISBLANK($B735)),VLOOKUP($B735,AssetCategories!$A:$E,3,0),"")</f>
        <v/>
      </c>
      <c r="EP735" s="33" t="str">
        <f t="shared" si="23"/>
        <v/>
      </c>
    </row>
    <row r="736" spans="16:146" x14ac:dyDescent="0.25">
      <c r="P736" s="33" t="str" cm="1">
        <f t="array" ref="P736">IFERROR(SUM(VALUE(_xlfn.TEXTSPLIT(O736, ";"))), "")</f>
        <v/>
      </c>
      <c r="DO736" t="str">
        <f t="shared" si="22"/>
        <v/>
      </c>
      <c r="EG736" s="33" t="str">
        <f>IF(NOT(ISBLANK($B736)),VLOOKUP($B736,AssetCategories!$A:$E,5,0),"")</f>
        <v/>
      </c>
      <c r="EH736" t="str">
        <f>IF(NOT(ISBLANK($B736)),VLOOKUP($B736,AssetCategories!$A:$E,4,0),"")</f>
        <v/>
      </c>
      <c r="EM736" t="str">
        <f>IF(NOT(ISBLANK($B736)),VLOOKUP($B736,AssetCategories!$A:$E,2,0),"")</f>
        <v/>
      </c>
      <c r="EN736" t="str">
        <f>IF(NOT(ISBLANK($B736)),VLOOKUP($B736,AssetCategories!$A:$E,3,0),"")</f>
        <v/>
      </c>
      <c r="EP736" s="33" t="str">
        <f t="shared" si="23"/>
        <v/>
      </c>
    </row>
    <row r="737" spans="16:146" x14ac:dyDescent="0.25">
      <c r="P737" s="33" t="str" cm="1">
        <f t="array" ref="P737">IFERROR(SUM(VALUE(_xlfn.TEXTSPLIT(O737, ";"))), "")</f>
        <v/>
      </c>
      <c r="DO737" t="str">
        <f t="shared" si="22"/>
        <v/>
      </c>
      <c r="EG737" s="33" t="str">
        <f>IF(NOT(ISBLANK($B737)),VLOOKUP($B737,AssetCategories!$A:$E,5,0),"")</f>
        <v/>
      </c>
      <c r="EH737" t="str">
        <f>IF(NOT(ISBLANK($B737)),VLOOKUP($B737,AssetCategories!$A:$E,4,0),"")</f>
        <v/>
      </c>
      <c r="EM737" t="str">
        <f>IF(NOT(ISBLANK($B737)),VLOOKUP($B737,AssetCategories!$A:$E,2,0),"")</f>
        <v/>
      </c>
      <c r="EN737" t="str">
        <f>IF(NOT(ISBLANK($B737)),VLOOKUP($B737,AssetCategories!$A:$E,3,0),"")</f>
        <v/>
      </c>
      <c r="EP737" s="33" t="str">
        <f t="shared" si="23"/>
        <v/>
      </c>
    </row>
    <row r="738" spans="16:146" x14ac:dyDescent="0.25">
      <c r="P738" s="33" t="str" cm="1">
        <f t="array" ref="P738">IFERROR(SUM(VALUE(_xlfn.TEXTSPLIT(O738, ";"))), "")</f>
        <v/>
      </c>
      <c r="DO738" t="str">
        <f t="shared" si="22"/>
        <v/>
      </c>
      <c r="EG738" s="33" t="str">
        <f>IF(NOT(ISBLANK($B738)),VLOOKUP($B738,AssetCategories!$A:$E,5,0),"")</f>
        <v/>
      </c>
      <c r="EH738" t="str">
        <f>IF(NOT(ISBLANK($B738)),VLOOKUP($B738,AssetCategories!$A:$E,4,0),"")</f>
        <v/>
      </c>
      <c r="EM738" t="str">
        <f>IF(NOT(ISBLANK($B738)),VLOOKUP($B738,AssetCategories!$A:$E,2,0),"")</f>
        <v/>
      </c>
      <c r="EN738" t="str">
        <f>IF(NOT(ISBLANK($B738)),VLOOKUP($B738,AssetCategories!$A:$E,3,0),"")</f>
        <v/>
      </c>
      <c r="EP738" s="33" t="str">
        <f t="shared" si="23"/>
        <v/>
      </c>
    </row>
    <row r="739" spans="16:146" x14ac:dyDescent="0.25">
      <c r="P739" s="33" t="str" cm="1">
        <f t="array" ref="P739">IFERROR(SUM(VALUE(_xlfn.TEXTSPLIT(O739, ";"))), "")</f>
        <v/>
      </c>
      <c r="DO739" t="str">
        <f t="shared" si="22"/>
        <v/>
      </c>
      <c r="EG739" s="33" t="str">
        <f>IF(NOT(ISBLANK($B739)),VLOOKUP($B739,AssetCategories!$A:$E,5,0),"")</f>
        <v/>
      </c>
      <c r="EH739" t="str">
        <f>IF(NOT(ISBLANK($B739)),VLOOKUP($B739,AssetCategories!$A:$E,4,0),"")</f>
        <v/>
      </c>
      <c r="EM739" t="str">
        <f>IF(NOT(ISBLANK($B739)),VLOOKUP($B739,AssetCategories!$A:$E,2,0),"")</f>
        <v/>
      </c>
      <c r="EN739" t="str">
        <f>IF(NOT(ISBLANK($B739)),VLOOKUP($B739,AssetCategories!$A:$E,3,0),"")</f>
        <v/>
      </c>
      <c r="EP739" s="33" t="str">
        <f t="shared" si="23"/>
        <v/>
      </c>
    </row>
    <row r="740" spans="16:146" x14ac:dyDescent="0.25">
      <c r="P740" s="33" t="str" cm="1">
        <f t="array" ref="P740">IFERROR(SUM(VALUE(_xlfn.TEXTSPLIT(O740, ";"))), "")</f>
        <v/>
      </c>
      <c r="DO740" t="str">
        <f t="shared" si="22"/>
        <v/>
      </c>
      <c r="EG740" s="33" t="str">
        <f>IF(NOT(ISBLANK($B740)),VLOOKUP($B740,AssetCategories!$A:$E,5,0),"")</f>
        <v/>
      </c>
      <c r="EH740" t="str">
        <f>IF(NOT(ISBLANK($B740)),VLOOKUP($B740,AssetCategories!$A:$E,4,0),"")</f>
        <v/>
      </c>
      <c r="EM740" t="str">
        <f>IF(NOT(ISBLANK($B740)),VLOOKUP($B740,AssetCategories!$A:$E,2,0),"")</f>
        <v/>
      </c>
      <c r="EN740" t="str">
        <f>IF(NOT(ISBLANK($B740)),VLOOKUP($B740,AssetCategories!$A:$E,3,0),"")</f>
        <v/>
      </c>
      <c r="EP740" s="33" t="str">
        <f t="shared" si="23"/>
        <v/>
      </c>
    </row>
    <row r="741" spans="16:146" x14ac:dyDescent="0.25">
      <c r="P741" s="33" t="str" cm="1">
        <f t="array" ref="P741">IFERROR(SUM(VALUE(_xlfn.TEXTSPLIT(O741, ";"))), "")</f>
        <v/>
      </c>
      <c r="DO741" t="str">
        <f t="shared" si="22"/>
        <v/>
      </c>
      <c r="EG741" s="33" t="str">
        <f>IF(NOT(ISBLANK($B741)),VLOOKUP($B741,AssetCategories!$A:$E,5,0),"")</f>
        <v/>
      </c>
      <c r="EH741" t="str">
        <f>IF(NOT(ISBLANK($B741)),VLOOKUP($B741,AssetCategories!$A:$E,4,0),"")</f>
        <v/>
      </c>
      <c r="EM741" t="str">
        <f>IF(NOT(ISBLANK($B741)),VLOOKUP($B741,AssetCategories!$A:$E,2,0),"")</f>
        <v/>
      </c>
      <c r="EN741" t="str">
        <f>IF(NOT(ISBLANK($B741)),VLOOKUP($B741,AssetCategories!$A:$E,3,0),"")</f>
        <v/>
      </c>
      <c r="EP741" s="33" t="str">
        <f t="shared" si="23"/>
        <v/>
      </c>
    </row>
    <row r="742" spans="16:146" x14ac:dyDescent="0.25">
      <c r="P742" s="33" t="str" cm="1">
        <f t="array" ref="P742">IFERROR(SUM(VALUE(_xlfn.TEXTSPLIT(O742, ";"))), "")</f>
        <v/>
      </c>
      <c r="DO742" t="str">
        <f t="shared" si="22"/>
        <v/>
      </c>
      <c r="EG742" s="33" t="str">
        <f>IF(NOT(ISBLANK($B742)),VLOOKUP($B742,AssetCategories!$A:$E,5,0),"")</f>
        <v/>
      </c>
      <c r="EH742" t="str">
        <f>IF(NOT(ISBLANK($B742)),VLOOKUP($B742,AssetCategories!$A:$E,4,0),"")</f>
        <v/>
      </c>
      <c r="EM742" t="str">
        <f>IF(NOT(ISBLANK($B742)),VLOOKUP($B742,AssetCategories!$A:$E,2,0),"")</f>
        <v/>
      </c>
      <c r="EN742" t="str">
        <f>IF(NOT(ISBLANK($B742)),VLOOKUP($B742,AssetCategories!$A:$E,3,0),"")</f>
        <v/>
      </c>
      <c r="EP742" s="33" t="str">
        <f t="shared" si="23"/>
        <v/>
      </c>
    </row>
    <row r="743" spans="16:146" x14ac:dyDescent="0.25">
      <c r="P743" s="33" t="str" cm="1">
        <f t="array" ref="P743">IFERROR(SUM(VALUE(_xlfn.TEXTSPLIT(O743, ";"))), "")</f>
        <v/>
      </c>
      <c r="DO743" t="str">
        <f t="shared" si="22"/>
        <v/>
      </c>
      <c r="EG743" s="33" t="str">
        <f>IF(NOT(ISBLANK($B743)),VLOOKUP($B743,AssetCategories!$A:$E,5,0),"")</f>
        <v/>
      </c>
      <c r="EH743" t="str">
        <f>IF(NOT(ISBLANK($B743)),VLOOKUP($B743,AssetCategories!$A:$E,4,0),"")</f>
        <v/>
      </c>
      <c r="EM743" t="str">
        <f>IF(NOT(ISBLANK($B743)),VLOOKUP($B743,AssetCategories!$A:$E,2,0),"")</f>
        <v/>
      </c>
      <c r="EN743" t="str">
        <f>IF(NOT(ISBLANK($B743)),VLOOKUP($B743,AssetCategories!$A:$E,3,0),"")</f>
        <v/>
      </c>
      <c r="EP743" s="33" t="str">
        <f t="shared" si="23"/>
        <v/>
      </c>
    </row>
    <row r="744" spans="16:146" x14ac:dyDescent="0.25">
      <c r="P744" s="33" t="str" cm="1">
        <f t="array" ref="P744">IFERROR(SUM(VALUE(_xlfn.TEXTSPLIT(O744, ";"))), "")</f>
        <v/>
      </c>
      <c r="DO744" t="str">
        <f t="shared" si="22"/>
        <v/>
      </c>
      <c r="EG744" s="33" t="str">
        <f>IF(NOT(ISBLANK($B744)),VLOOKUP($B744,AssetCategories!$A:$E,5,0),"")</f>
        <v/>
      </c>
      <c r="EH744" t="str">
        <f>IF(NOT(ISBLANK($B744)),VLOOKUP($B744,AssetCategories!$A:$E,4,0),"")</f>
        <v/>
      </c>
      <c r="EM744" t="str">
        <f>IF(NOT(ISBLANK($B744)),VLOOKUP($B744,AssetCategories!$A:$E,2,0),"")</f>
        <v/>
      </c>
      <c r="EN744" t="str">
        <f>IF(NOT(ISBLANK($B744)),VLOOKUP($B744,AssetCategories!$A:$E,3,0),"")</f>
        <v/>
      </c>
      <c r="EP744" s="33" t="str">
        <f t="shared" si="23"/>
        <v/>
      </c>
    </row>
    <row r="745" spans="16:146" x14ac:dyDescent="0.25">
      <c r="P745" s="33" t="str" cm="1">
        <f t="array" ref="P745">IFERROR(SUM(VALUE(_xlfn.TEXTSPLIT(O745, ";"))), "")</f>
        <v/>
      </c>
      <c r="DO745" t="str">
        <f t="shared" si="22"/>
        <v/>
      </c>
      <c r="EG745" s="33" t="str">
        <f>IF(NOT(ISBLANK($B745)),VLOOKUP($B745,AssetCategories!$A:$E,5,0),"")</f>
        <v/>
      </c>
      <c r="EH745" t="str">
        <f>IF(NOT(ISBLANK($B745)),VLOOKUP($B745,AssetCategories!$A:$E,4,0),"")</f>
        <v/>
      </c>
      <c r="EM745" t="str">
        <f>IF(NOT(ISBLANK($B745)),VLOOKUP($B745,AssetCategories!$A:$E,2,0),"")</f>
        <v/>
      </c>
      <c r="EN745" t="str">
        <f>IF(NOT(ISBLANK($B745)),VLOOKUP($B745,AssetCategories!$A:$E,3,0),"")</f>
        <v/>
      </c>
      <c r="EP745" s="33" t="str">
        <f t="shared" si="23"/>
        <v/>
      </c>
    </row>
    <row r="746" spans="16:146" x14ac:dyDescent="0.25">
      <c r="P746" s="33" t="str" cm="1">
        <f t="array" ref="P746">IFERROR(SUM(VALUE(_xlfn.TEXTSPLIT(O746, ";"))), "")</f>
        <v/>
      </c>
      <c r="DO746" t="str">
        <f t="shared" si="22"/>
        <v/>
      </c>
      <c r="EG746" s="33" t="str">
        <f>IF(NOT(ISBLANK($B746)),VLOOKUP($B746,AssetCategories!$A:$E,5,0),"")</f>
        <v/>
      </c>
      <c r="EH746" t="str">
        <f>IF(NOT(ISBLANK($B746)),VLOOKUP($B746,AssetCategories!$A:$E,4,0),"")</f>
        <v/>
      </c>
      <c r="EM746" t="str">
        <f>IF(NOT(ISBLANK($B746)),VLOOKUP($B746,AssetCategories!$A:$E,2,0),"")</f>
        <v/>
      </c>
      <c r="EN746" t="str">
        <f>IF(NOT(ISBLANK($B746)),VLOOKUP($B746,AssetCategories!$A:$E,3,0),"")</f>
        <v/>
      </c>
      <c r="EP746" s="33" t="str">
        <f t="shared" si="23"/>
        <v/>
      </c>
    </row>
    <row r="747" spans="16:146" x14ac:dyDescent="0.25">
      <c r="P747" s="33" t="str" cm="1">
        <f t="array" ref="P747">IFERROR(SUM(VALUE(_xlfn.TEXTSPLIT(O747, ";"))), "")</f>
        <v/>
      </c>
      <c r="DO747" t="str">
        <f t="shared" si="22"/>
        <v/>
      </c>
      <c r="EG747" s="33" t="str">
        <f>IF(NOT(ISBLANK($B747)),VLOOKUP($B747,AssetCategories!$A:$E,5,0),"")</f>
        <v/>
      </c>
      <c r="EH747" t="str">
        <f>IF(NOT(ISBLANK($B747)),VLOOKUP($B747,AssetCategories!$A:$E,4,0),"")</f>
        <v/>
      </c>
      <c r="EM747" t="str">
        <f>IF(NOT(ISBLANK($B747)),VLOOKUP($B747,AssetCategories!$A:$E,2,0),"")</f>
        <v/>
      </c>
      <c r="EN747" t="str">
        <f>IF(NOT(ISBLANK($B747)),VLOOKUP($B747,AssetCategories!$A:$E,3,0),"")</f>
        <v/>
      </c>
      <c r="EP747" s="33" t="str">
        <f t="shared" si="23"/>
        <v/>
      </c>
    </row>
    <row r="748" spans="16:146" x14ac:dyDescent="0.25">
      <c r="P748" s="33" t="str" cm="1">
        <f t="array" ref="P748">IFERROR(SUM(VALUE(_xlfn.TEXTSPLIT(O748, ";"))), "")</f>
        <v/>
      </c>
      <c r="DO748" t="str">
        <f t="shared" si="22"/>
        <v/>
      </c>
      <c r="EG748" s="33" t="str">
        <f>IF(NOT(ISBLANK($B748)),VLOOKUP($B748,AssetCategories!$A:$E,5,0),"")</f>
        <v/>
      </c>
      <c r="EH748" t="str">
        <f>IF(NOT(ISBLANK($B748)),VLOOKUP($B748,AssetCategories!$A:$E,4,0),"")</f>
        <v/>
      </c>
      <c r="EM748" t="str">
        <f>IF(NOT(ISBLANK($B748)),VLOOKUP($B748,AssetCategories!$A:$E,2,0),"")</f>
        <v/>
      </c>
      <c r="EN748" t="str">
        <f>IF(NOT(ISBLANK($B748)),VLOOKUP($B748,AssetCategories!$A:$E,3,0),"")</f>
        <v/>
      </c>
      <c r="EP748" s="33" t="str">
        <f t="shared" si="23"/>
        <v/>
      </c>
    </row>
    <row r="749" spans="16:146" x14ac:dyDescent="0.25">
      <c r="P749" s="33" t="str" cm="1">
        <f t="array" ref="P749">IFERROR(SUM(VALUE(_xlfn.TEXTSPLIT(O749, ";"))), "")</f>
        <v/>
      </c>
      <c r="DO749" t="str">
        <f t="shared" si="22"/>
        <v/>
      </c>
      <c r="EG749" s="33" t="str">
        <f>IF(NOT(ISBLANK($B749)),VLOOKUP($B749,AssetCategories!$A:$E,5,0),"")</f>
        <v/>
      </c>
      <c r="EH749" t="str">
        <f>IF(NOT(ISBLANK($B749)),VLOOKUP($B749,AssetCategories!$A:$E,4,0),"")</f>
        <v/>
      </c>
      <c r="EM749" t="str">
        <f>IF(NOT(ISBLANK($B749)),VLOOKUP($B749,AssetCategories!$A:$E,2,0),"")</f>
        <v/>
      </c>
      <c r="EN749" t="str">
        <f>IF(NOT(ISBLANK($B749)),VLOOKUP($B749,AssetCategories!$A:$E,3,0),"")</f>
        <v/>
      </c>
      <c r="EP749" s="33" t="str">
        <f t="shared" si="23"/>
        <v/>
      </c>
    </row>
    <row r="750" spans="16:146" x14ac:dyDescent="0.25">
      <c r="P750" s="33" t="str" cm="1">
        <f t="array" ref="P750">IFERROR(SUM(VALUE(_xlfn.TEXTSPLIT(O750, ";"))), "")</f>
        <v/>
      </c>
      <c r="DO750" t="str">
        <f t="shared" si="22"/>
        <v/>
      </c>
      <c r="EG750" s="33" t="str">
        <f>IF(NOT(ISBLANK($B750)),VLOOKUP($B750,AssetCategories!$A:$E,5,0),"")</f>
        <v/>
      </c>
      <c r="EH750" t="str">
        <f>IF(NOT(ISBLANK($B750)),VLOOKUP($B750,AssetCategories!$A:$E,4,0),"")</f>
        <v/>
      </c>
      <c r="EM750" t="str">
        <f>IF(NOT(ISBLANK($B750)),VLOOKUP($B750,AssetCategories!$A:$E,2,0),"")</f>
        <v/>
      </c>
      <c r="EN750" t="str">
        <f>IF(NOT(ISBLANK($B750)),VLOOKUP($B750,AssetCategories!$A:$E,3,0),"")</f>
        <v/>
      </c>
      <c r="EP750" s="33" t="str">
        <f t="shared" si="23"/>
        <v/>
      </c>
    </row>
    <row r="751" spans="16:146" x14ac:dyDescent="0.25">
      <c r="P751" s="33" t="str" cm="1">
        <f t="array" ref="P751">IFERROR(SUM(VALUE(_xlfn.TEXTSPLIT(O751, ";"))), "")</f>
        <v/>
      </c>
      <c r="DO751" t="str">
        <f t="shared" si="22"/>
        <v/>
      </c>
      <c r="EG751" s="33" t="str">
        <f>IF(NOT(ISBLANK($B751)),VLOOKUP($B751,AssetCategories!$A:$E,5,0),"")</f>
        <v/>
      </c>
      <c r="EH751" t="str">
        <f>IF(NOT(ISBLANK($B751)),VLOOKUP($B751,AssetCategories!$A:$E,4,0),"")</f>
        <v/>
      </c>
      <c r="EM751" t="str">
        <f>IF(NOT(ISBLANK($B751)),VLOOKUP($B751,AssetCategories!$A:$E,2,0),"")</f>
        <v/>
      </c>
      <c r="EN751" t="str">
        <f>IF(NOT(ISBLANK($B751)),VLOOKUP($B751,AssetCategories!$A:$E,3,0),"")</f>
        <v/>
      </c>
      <c r="EP751" s="33" t="str">
        <f t="shared" si="23"/>
        <v/>
      </c>
    </row>
    <row r="752" spans="16:146" x14ac:dyDescent="0.25">
      <c r="P752" s="33" t="str" cm="1">
        <f t="array" ref="P752">IFERROR(SUM(VALUE(_xlfn.TEXTSPLIT(O752, ";"))), "")</f>
        <v/>
      </c>
      <c r="DO752" t="str">
        <f t="shared" si="22"/>
        <v/>
      </c>
      <c r="EG752" s="33" t="str">
        <f>IF(NOT(ISBLANK($B752)),VLOOKUP($B752,AssetCategories!$A:$E,5,0),"")</f>
        <v/>
      </c>
      <c r="EH752" t="str">
        <f>IF(NOT(ISBLANK($B752)),VLOOKUP($B752,AssetCategories!$A:$E,4,0),"")</f>
        <v/>
      </c>
      <c r="EM752" t="str">
        <f>IF(NOT(ISBLANK($B752)),VLOOKUP($B752,AssetCategories!$A:$E,2,0),"")</f>
        <v/>
      </c>
      <c r="EN752" t="str">
        <f>IF(NOT(ISBLANK($B752)),VLOOKUP($B752,AssetCategories!$A:$E,3,0),"")</f>
        <v/>
      </c>
      <c r="EP752" s="33" t="str">
        <f t="shared" si="23"/>
        <v/>
      </c>
    </row>
    <row r="753" spans="16:146" x14ac:dyDescent="0.25">
      <c r="P753" s="33" t="str" cm="1">
        <f t="array" ref="P753">IFERROR(SUM(VALUE(_xlfn.TEXTSPLIT(O753, ";"))), "")</f>
        <v/>
      </c>
      <c r="DO753" t="str">
        <f t="shared" si="22"/>
        <v/>
      </c>
      <c r="EG753" s="33" t="str">
        <f>IF(NOT(ISBLANK($B753)),VLOOKUP($B753,AssetCategories!$A:$E,5,0),"")</f>
        <v/>
      </c>
      <c r="EH753" t="str">
        <f>IF(NOT(ISBLANK($B753)),VLOOKUP($B753,AssetCategories!$A:$E,4,0),"")</f>
        <v/>
      </c>
      <c r="EM753" t="str">
        <f>IF(NOT(ISBLANK($B753)),VLOOKUP($B753,AssetCategories!$A:$E,2,0),"")</f>
        <v/>
      </c>
      <c r="EN753" t="str">
        <f>IF(NOT(ISBLANK($B753)),VLOOKUP($B753,AssetCategories!$A:$E,3,0),"")</f>
        <v/>
      </c>
      <c r="EP753" s="33" t="str">
        <f t="shared" si="23"/>
        <v/>
      </c>
    </row>
    <row r="754" spans="16:146" x14ac:dyDescent="0.25">
      <c r="P754" s="33" t="str" cm="1">
        <f t="array" ref="P754">IFERROR(SUM(VALUE(_xlfn.TEXTSPLIT(O754, ";"))), "")</f>
        <v/>
      </c>
      <c r="DO754" t="str">
        <f t="shared" si="22"/>
        <v/>
      </c>
      <c r="EG754" s="33" t="str">
        <f>IF(NOT(ISBLANK($B754)),VLOOKUP($B754,AssetCategories!$A:$E,5,0),"")</f>
        <v/>
      </c>
      <c r="EH754" t="str">
        <f>IF(NOT(ISBLANK($B754)),VLOOKUP($B754,AssetCategories!$A:$E,4,0),"")</f>
        <v/>
      </c>
      <c r="EM754" t="str">
        <f>IF(NOT(ISBLANK($B754)),VLOOKUP($B754,AssetCategories!$A:$E,2,0),"")</f>
        <v/>
      </c>
      <c r="EN754" t="str">
        <f>IF(NOT(ISBLANK($B754)),VLOOKUP($B754,AssetCategories!$A:$E,3,0),"")</f>
        <v/>
      </c>
      <c r="EP754" s="33" t="str">
        <f t="shared" si="23"/>
        <v/>
      </c>
    </row>
    <row r="755" spans="16:146" x14ac:dyDescent="0.25">
      <c r="P755" s="33" t="str" cm="1">
        <f t="array" ref="P755">IFERROR(SUM(VALUE(_xlfn.TEXTSPLIT(O755, ";"))), "")</f>
        <v/>
      </c>
      <c r="DO755" t="str">
        <f t="shared" si="22"/>
        <v/>
      </c>
      <c r="EG755" s="33" t="str">
        <f>IF(NOT(ISBLANK($B755)),VLOOKUP($B755,AssetCategories!$A:$E,5,0),"")</f>
        <v/>
      </c>
      <c r="EH755" t="str">
        <f>IF(NOT(ISBLANK($B755)),VLOOKUP($B755,AssetCategories!$A:$E,4,0),"")</f>
        <v/>
      </c>
      <c r="EM755" t="str">
        <f>IF(NOT(ISBLANK($B755)),VLOOKUP($B755,AssetCategories!$A:$E,2,0),"")</f>
        <v/>
      </c>
      <c r="EN755" t="str">
        <f>IF(NOT(ISBLANK($B755)),VLOOKUP($B755,AssetCategories!$A:$E,3,0),"")</f>
        <v/>
      </c>
      <c r="EP755" s="33" t="str">
        <f t="shared" si="23"/>
        <v/>
      </c>
    </row>
    <row r="756" spans="16:146" x14ac:dyDescent="0.25">
      <c r="P756" s="33" t="str" cm="1">
        <f t="array" ref="P756">IFERROR(SUM(VALUE(_xlfn.TEXTSPLIT(O756, ";"))), "")</f>
        <v/>
      </c>
      <c r="DO756" t="str">
        <f t="shared" si="22"/>
        <v/>
      </c>
      <c r="EG756" s="33" t="str">
        <f>IF(NOT(ISBLANK($B756)),VLOOKUP($B756,AssetCategories!$A:$E,5,0),"")</f>
        <v/>
      </c>
      <c r="EH756" t="str">
        <f>IF(NOT(ISBLANK($B756)),VLOOKUP($B756,AssetCategories!$A:$E,4,0),"")</f>
        <v/>
      </c>
      <c r="EM756" t="str">
        <f>IF(NOT(ISBLANK($B756)),VLOOKUP($B756,AssetCategories!$A:$E,2,0),"")</f>
        <v/>
      </c>
      <c r="EN756" t="str">
        <f>IF(NOT(ISBLANK($B756)),VLOOKUP($B756,AssetCategories!$A:$E,3,0),"")</f>
        <v/>
      </c>
      <c r="EP756" s="33" t="str">
        <f t="shared" si="23"/>
        <v/>
      </c>
    </row>
    <row r="757" spans="16:146" x14ac:dyDescent="0.25">
      <c r="P757" s="33" t="str" cm="1">
        <f t="array" ref="P757">IFERROR(SUM(VALUE(_xlfn.TEXTSPLIT(O757, ";"))), "")</f>
        <v/>
      </c>
      <c r="DO757" t="str">
        <f t="shared" si="22"/>
        <v/>
      </c>
      <c r="EG757" s="33" t="str">
        <f>IF(NOT(ISBLANK($B757)),VLOOKUP($B757,AssetCategories!$A:$E,5,0),"")</f>
        <v/>
      </c>
      <c r="EH757" t="str">
        <f>IF(NOT(ISBLANK($B757)),VLOOKUP($B757,AssetCategories!$A:$E,4,0),"")</f>
        <v/>
      </c>
      <c r="EM757" t="str">
        <f>IF(NOT(ISBLANK($B757)),VLOOKUP($B757,AssetCategories!$A:$E,2,0),"")</f>
        <v/>
      </c>
      <c r="EN757" t="str">
        <f>IF(NOT(ISBLANK($B757)),VLOOKUP($B757,AssetCategories!$A:$E,3,0),"")</f>
        <v/>
      </c>
      <c r="EP757" s="33" t="str">
        <f t="shared" si="23"/>
        <v/>
      </c>
    </row>
    <row r="758" spans="16:146" x14ac:dyDescent="0.25">
      <c r="P758" s="33" t="str" cm="1">
        <f t="array" ref="P758">IFERROR(SUM(VALUE(_xlfn.TEXTSPLIT(O758, ";"))), "")</f>
        <v/>
      </c>
      <c r="DO758" t="str">
        <f t="shared" si="22"/>
        <v/>
      </c>
      <c r="EG758" s="33" t="str">
        <f>IF(NOT(ISBLANK($B758)),VLOOKUP($B758,AssetCategories!$A:$E,5,0),"")</f>
        <v/>
      </c>
      <c r="EH758" t="str">
        <f>IF(NOT(ISBLANK($B758)),VLOOKUP($B758,AssetCategories!$A:$E,4,0),"")</f>
        <v/>
      </c>
      <c r="EM758" t="str">
        <f>IF(NOT(ISBLANK($B758)),VLOOKUP($B758,AssetCategories!$A:$E,2,0),"")</f>
        <v/>
      </c>
      <c r="EN758" t="str">
        <f>IF(NOT(ISBLANK($B758)),VLOOKUP($B758,AssetCategories!$A:$E,3,0),"")</f>
        <v/>
      </c>
      <c r="EP758" s="33" t="str">
        <f t="shared" si="23"/>
        <v/>
      </c>
    </row>
    <row r="759" spans="16:146" x14ac:dyDescent="0.25">
      <c r="P759" s="33" t="str" cm="1">
        <f t="array" ref="P759">IFERROR(SUM(VALUE(_xlfn.TEXTSPLIT(O759, ";"))), "")</f>
        <v/>
      </c>
      <c r="DO759" t="str">
        <f t="shared" si="22"/>
        <v/>
      </c>
      <c r="EG759" s="33" t="str">
        <f>IF(NOT(ISBLANK($B759)),VLOOKUP($B759,AssetCategories!$A:$E,5,0),"")</f>
        <v/>
      </c>
      <c r="EH759" t="str">
        <f>IF(NOT(ISBLANK($B759)),VLOOKUP($B759,AssetCategories!$A:$E,4,0),"")</f>
        <v/>
      </c>
      <c r="EM759" t="str">
        <f>IF(NOT(ISBLANK($B759)),VLOOKUP($B759,AssetCategories!$A:$E,2,0),"")</f>
        <v/>
      </c>
      <c r="EN759" t="str">
        <f>IF(NOT(ISBLANK($B759)),VLOOKUP($B759,AssetCategories!$A:$E,3,0),"")</f>
        <v/>
      </c>
      <c r="EP759" s="33" t="str">
        <f t="shared" si="23"/>
        <v/>
      </c>
    </row>
    <row r="760" spans="16:146" x14ac:dyDescent="0.25">
      <c r="P760" s="33" t="str" cm="1">
        <f t="array" ref="P760">IFERROR(SUM(VALUE(_xlfn.TEXTSPLIT(O760, ";"))), "")</f>
        <v/>
      </c>
      <c r="DO760" t="str">
        <f t="shared" si="22"/>
        <v/>
      </c>
      <c r="EG760" s="33" t="str">
        <f>IF(NOT(ISBLANK($B760)),VLOOKUP($B760,AssetCategories!$A:$E,5,0),"")</f>
        <v/>
      </c>
      <c r="EH760" t="str">
        <f>IF(NOT(ISBLANK($B760)),VLOOKUP($B760,AssetCategories!$A:$E,4,0),"")</f>
        <v/>
      </c>
      <c r="EM760" t="str">
        <f>IF(NOT(ISBLANK($B760)),VLOOKUP($B760,AssetCategories!$A:$E,2,0),"")</f>
        <v/>
      </c>
      <c r="EN760" t="str">
        <f>IF(NOT(ISBLANK($B760)),VLOOKUP($B760,AssetCategories!$A:$E,3,0),"")</f>
        <v/>
      </c>
      <c r="EP760" s="33" t="str">
        <f t="shared" si="23"/>
        <v/>
      </c>
    </row>
    <row r="761" spans="16:146" x14ac:dyDescent="0.25">
      <c r="P761" s="33" t="str" cm="1">
        <f t="array" ref="P761">IFERROR(SUM(VALUE(_xlfn.TEXTSPLIT(O761, ";"))), "")</f>
        <v/>
      </c>
      <c r="DO761" t="str">
        <f t="shared" si="22"/>
        <v/>
      </c>
      <c r="EG761" s="33" t="str">
        <f>IF(NOT(ISBLANK($B761)),VLOOKUP($B761,AssetCategories!$A:$E,5,0),"")</f>
        <v/>
      </c>
      <c r="EH761" t="str">
        <f>IF(NOT(ISBLANK($B761)),VLOOKUP($B761,AssetCategories!$A:$E,4,0),"")</f>
        <v/>
      </c>
      <c r="EM761" t="str">
        <f>IF(NOT(ISBLANK($B761)),VLOOKUP($B761,AssetCategories!$A:$E,2,0),"")</f>
        <v/>
      </c>
      <c r="EN761" t="str">
        <f>IF(NOT(ISBLANK($B761)),VLOOKUP($B761,AssetCategories!$A:$E,3,0),"")</f>
        <v/>
      </c>
      <c r="EP761" s="33" t="str">
        <f t="shared" si="23"/>
        <v/>
      </c>
    </row>
    <row r="762" spans="16:146" x14ac:dyDescent="0.25">
      <c r="P762" s="33" t="str" cm="1">
        <f t="array" ref="P762">IFERROR(SUM(VALUE(_xlfn.TEXTSPLIT(O762, ";"))), "")</f>
        <v/>
      </c>
      <c r="DO762" t="str">
        <f t="shared" si="22"/>
        <v/>
      </c>
      <c r="EG762" s="33" t="str">
        <f>IF(NOT(ISBLANK($B762)),VLOOKUP($B762,AssetCategories!$A:$E,5,0),"")</f>
        <v/>
      </c>
      <c r="EH762" t="str">
        <f>IF(NOT(ISBLANK($B762)),VLOOKUP($B762,AssetCategories!$A:$E,4,0),"")</f>
        <v/>
      </c>
      <c r="EM762" t="str">
        <f>IF(NOT(ISBLANK($B762)),VLOOKUP($B762,AssetCategories!$A:$E,2,0),"")</f>
        <v/>
      </c>
      <c r="EN762" t="str">
        <f>IF(NOT(ISBLANK($B762)),VLOOKUP($B762,AssetCategories!$A:$E,3,0),"")</f>
        <v/>
      </c>
      <c r="EP762" s="33" t="str">
        <f t="shared" si="23"/>
        <v/>
      </c>
    </row>
    <row r="763" spans="16:146" x14ac:dyDescent="0.25">
      <c r="P763" s="33" t="str" cm="1">
        <f t="array" ref="P763">IFERROR(SUM(VALUE(_xlfn.TEXTSPLIT(O763, ";"))), "")</f>
        <v/>
      </c>
      <c r="DO763" t="str">
        <f t="shared" si="22"/>
        <v/>
      </c>
      <c r="EG763" s="33" t="str">
        <f>IF(NOT(ISBLANK($B763)),VLOOKUP($B763,AssetCategories!$A:$E,5,0),"")</f>
        <v/>
      </c>
      <c r="EH763" t="str">
        <f>IF(NOT(ISBLANK($B763)),VLOOKUP($B763,AssetCategories!$A:$E,4,0),"")</f>
        <v/>
      </c>
      <c r="EM763" t="str">
        <f>IF(NOT(ISBLANK($B763)),VLOOKUP($B763,AssetCategories!$A:$E,2,0),"")</f>
        <v/>
      </c>
      <c r="EN763" t="str">
        <f>IF(NOT(ISBLANK($B763)),VLOOKUP($B763,AssetCategories!$A:$E,3,0),"")</f>
        <v/>
      </c>
      <c r="EP763" s="33" t="str">
        <f t="shared" si="23"/>
        <v/>
      </c>
    </row>
    <row r="764" spans="16:146" x14ac:dyDescent="0.25">
      <c r="P764" s="33" t="str" cm="1">
        <f t="array" ref="P764">IFERROR(SUM(VALUE(_xlfn.TEXTSPLIT(O764, ";"))), "")</f>
        <v/>
      </c>
      <c r="DO764" t="str">
        <f t="shared" si="22"/>
        <v/>
      </c>
      <c r="EG764" s="33" t="str">
        <f>IF(NOT(ISBLANK($B764)),VLOOKUP($B764,AssetCategories!$A:$E,5,0),"")</f>
        <v/>
      </c>
      <c r="EH764" t="str">
        <f>IF(NOT(ISBLANK($B764)),VLOOKUP($B764,AssetCategories!$A:$E,4,0),"")</f>
        <v/>
      </c>
      <c r="EM764" t="str">
        <f>IF(NOT(ISBLANK($B764)),VLOOKUP($B764,AssetCategories!$A:$E,2,0),"")</f>
        <v/>
      </c>
      <c r="EN764" t="str">
        <f>IF(NOT(ISBLANK($B764)),VLOOKUP($B764,AssetCategories!$A:$E,3,0),"")</f>
        <v/>
      </c>
      <c r="EP764" s="33" t="str">
        <f t="shared" si="23"/>
        <v/>
      </c>
    </row>
    <row r="765" spans="16:146" x14ac:dyDescent="0.25">
      <c r="P765" s="33" t="str" cm="1">
        <f t="array" ref="P765">IFERROR(SUM(VALUE(_xlfn.TEXTSPLIT(O765, ";"))), "")</f>
        <v/>
      </c>
      <c r="DO765" t="str">
        <f t="shared" si="22"/>
        <v/>
      </c>
      <c r="EG765" s="33" t="str">
        <f>IF(NOT(ISBLANK($B765)),VLOOKUP($B765,AssetCategories!$A:$E,5,0),"")</f>
        <v/>
      </c>
      <c r="EH765" t="str">
        <f>IF(NOT(ISBLANK($B765)),VLOOKUP($B765,AssetCategories!$A:$E,4,0),"")</f>
        <v/>
      </c>
      <c r="EM765" t="str">
        <f>IF(NOT(ISBLANK($B765)),VLOOKUP($B765,AssetCategories!$A:$E,2,0),"")</f>
        <v/>
      </c>
      <c r="EN765" t="str">
        <f>IF(NOT(ISBLANK($B765)),VLOOKUP($B765,AssetCategories!$A:$E,3,0),"")</f>
        <v/>
      </c>
      <c r="EP765" s="33" t="str">
        <f t="shared" si="23"/>
        <v/>
      </c>
    </row>
    <row r="766" spans="16:146" x14ac:dyDescent="0.25">
      <c r="P766" s="33" t="str" cm="1">
        <f t="array" ref="P766">IFERROR(SUM(VALUE(_xlfn.TEXTSPLIT(O766, ";"))), "")</f>
        <v/>
      </c>
      <c r="DO766" t="str">
        <f t="shared" si="22"/>
        <v/>
      </c>
      <c r="EG766" s="33" t="str">
        <f>IF(NOT(ISBLANK($B766)),VLOOKUP($B766,AssetCategories!$A:$E,5,0),"")</f>
        <v/>
      </c>
      <c r="EH766" t="str">
        <f>IF(NOT(ISBLANK($B766)),VLOOKUP($B766,AssetCategories!$A:$E,4,0),"")</f>
        <v/>
      </c>
      <c r="EM766" t="str">
        <f>IF(NOT(ISBLANK($B766)),VLOOKUP($B766,AssetCategories!$A:$E,2,0),"")</f>
        <v/>
      </c>
      <c r="EN766" t="str">
        <f>IF(NOT(ISBLANK($B766)),VLOOKUP($B766,AssetCategories!$A:$E,3,0),"")</f>
        <v/>
      </c>
      <c r="EP766" s="33" t="str">
        <f t="shared" si="23"/>
        <v/>
      </c>
    </row>
    <row r="767" spans="16:146" x14ac:dyDescent="0.25">
      <c r="P767" s="33" t="str" cm="1">
        <f t="array" ref="P767">IFERROR(SUM(VALUE(_xlfn.TEXTSPLIT(O767, ";"))), "")</f>
        <v/>
      </c>
      <c r="DO767" t="str">
        <f t="shared" si="22"/>
        <v/>
      </c>
      <c r="EG767" s="33" t="str">
        <f>IF(NOT(ISBLANK($B767)),VLOOKUP($B767,AssetCategories!$A:$E,5,0),"")</f>
        <v/>
      </c>
      <c r="EH767" t="str">
        <f>IF(NOT(ISBLANK($B767)),VLOOKUP($B767,AssetCategories!$A:$E,4,0),"")</f>
        <v/>
      </c>
      <c r="EM767" t="str">
        <f>IF(NOT(ISBLANK($B767)),VLOOKUP($B767,AssetCategories!$A:$E,2,0),"")</f>
        <v/>
      </c>
      <c r="EN767" t="str">
        <f>IF(NOT(ISBLANK($B767)),VLOOKUP($B767,AssetCategories!$A:$E,3,0),"")</f>
        <v/>
      </c>
      <c r="EP767" s="33" t="str">
        <f t="shared" si="23"/>
        <v/>
      </c>
    </row>
    <row r="768" spans="16:146" x14ac:dyDescent="0.25">
      <c r="P768" s="33" t="str" cm="1">
        <f t="array" ref="P768">IFERROR(SUM(VALUE(_xlfn.TEXTSPLIT(O768, ";"))), "")</f>
        <v/>
      </c>
      <c r="DO768" t="str">
        <f t="shared" si="22"/>
        <v/>
      </c>
      <c r="EG768" s="33" t="str">
        <f>IF(NOT(ISBLANK($B768)),VLOOKUP($B768,AssetCategories!$A:$E,5,0),"")</f>
        <v/>
      </c>
      <c r="EH768" t="str">
        <f>IF(NOT(ISBLANK($B768)),VLOOKUP($B768,AssetCategories!$A:$E,4,0),"")</f>
        <v/>
      </c>
      <c r="EM768" t="str">
        <f>IF(NOT(ISBLANK($B768)),VLOOKUP($B768,AssetCategories!$A:$E,2,0),"")</f>
        <v/>
      </c>
      <c r="EN768" t="str">
        <f>IF(NOT(ISBLANK($B768)),VLOOKUP($B768,AssetCategories!$A:$E,3,0),"")</f>
        <v/>
      </c>
      <c r="EP768" s="33" t="str">
        <f t="shared" si="23"/>
        <v/>
      </c>
    </row>
    <row r="769" spans="16:146" x14ac:dyDescent="0.25">
      <c r="P769" s="33" t="str" cm="1">
        <f t="array" ref="P769">IFERROR(SUM(VALUE(_xlfn.TEXTSPLIT(O769, ";"))), "")</f>
        <v/>
      </c>
      <c r="DO769" t="str">
        <f t="shared" si="22"/>
        <v/>
      </c>
      <c r="EG769" s="33" t="str">
        <f>IF(NOT(ISBLANK($B769)),VLOOKUP($B769,AssetCategories!$A:$E,5,0),"")</f>
        <v/>
      </c>
      <c r="EH769" t="str">
        <f>IF(NOT(ISBLANK($B769)),VLOOKUP($B769,AssetCategories!$A:$E,4,0),"")</f>
        <v/>
      </c>
      <c r="EM769" t="str">
        <f>IF(NOT(ISBLANK($B769)),VLOOKUP($B769,AssetCategories!$A:$E,2,0),"")</f>
        <v/>
      </c>
      <c r="EN769" t="str">
        <f>IF(NOT(ISBLANK($B769)),VLOOKUP($B769,AssetCategories!$A:$E,3,0),"")</f>
        <v/>
      </c>
      <c r="EP769" s="33" t="str">
        <f t="shared" si="23"/>
        <v/>
      </c>
    </row>
    <row r="770" spans="16:146" x14ac:dyDescent="0.25">
      <c r="P770" s="33" t="str" cm="1">
        <f t="array" ref="P770">IFERROR(SUM(VALUE(_xlfn.TEXTSPLIT(O770, ";"))), "")</f>
        <v/>
      </c>
      <c r="DO770" t="str">
        <f t="shared" si="22"/>
        <v/>
      </c>
      <c r="EG770" s="33" t="str">
        <f>IF(NOT(ISBLANK($B770)),VLOOKUP($B770,AssetCategories!$A:$E,5,0),"")</f>
        <v/>
      </c>
      <c r="EH770" t="str">
        <f>IF(NOT(ISBLANK($B770)),VLOOKUP($B770,AssetCategories!$A:$E,4,0),"")</f>
        <v/>
      </c>
      <c r="EM770" t="str">
        <f>IF(NOT(ISBLANK($B770)),VLOOKUP($B770,AssetCategories!$A:$E,2,0),"")</f>
        <v/>
      </c>
      <c r="EN770" t="str">
        <f>IF(NOT(ISBLANK($B770)),VLOOKUP($B770,AssetCategories!$A:$E,3,0),"")</f>
        <v/>
      </c>
      <c r="EP770" s="33" t="str">
        <f t="shared" si="23"/>
        <v/>
      </c>
    </row>
    <row r="771" spans="16:146" x14ac:dyDescent="0.25">
      <c r="P771" s="33" t="str" cm="1">
        <f t="array" ref="P771">IFERROR(SUM(VALUE(_xlfn.TEXTSPLIT(O771, ";"))), "")</f>
        <v/>
      </c>
      <c r="DO771" t="str">
        <f t="shared" si="22"/>
        <v/>
      </c>
      <c r="EG771" s="33" t="str">
        <f>IF(NOT(ISBLANK($B771)),VLOOKUP($B771,AssetCategories!$A:$E,5,0),"")</f>
        <v/>
      </c>
      <c r="EH771" t="str">
        <f>IF(NOT(ISBLANK($B771)),VLOOKUP($B771,AssetCategories!$A:$E,4,0),"")</f>
        <v/>
      </c>
      <c r="EM771" t="str">
        <f>IF(NOT(ISBLANK($B771)),VLOOKUP($B771,AssetCategories!$A:$E,2,0),"")</f>
        <v/>
      </c>
      <c r="EN771" t="str">
        <f>IF(NOT(ISBLANK($B771)),VLOOKUP($B771,AssetCategories!$A:$E,3,0),"")</f>
        <v/>
      </c>
      <c r="EP771" s="33" t="str">
        <f t="shared" si="23"/>
        <v/>
      </c>
    </row>
    <row r="772" spans="16:146" x14ac:dyDescent="0.25">
      <c r="P772" s="33" t="str" cm="1">
        <f t="array" ref="P772">IFERROR(SUM(VALUE(_xlfn.TEXTSPLIT(O772, ";"))), "")</f>
        <v/>
      </c>
      <c r="DO772" t="str">
        <f t="shared" si="22"/>
        <v/>
      </c>
      <c r="EG772" s="33" t="str">
        <f>IF(NOT(ISBLANK($B772)),VLOOKUP($B772,AssetCategories!$A:$E,5,0),"")</f>
        <v/>
      </c>
      <c r="EH772" t="str">
        <f>IF(NOT(ISBLANK($B772)),VLOOKUP($B772,AssetCategories!$A:$E,4,0),"")</f>
        <v/>
      </c>
      <c r="EM772" t="str">
        <f>IF(NOT(ISBLANK($B772)),VLOOKUP($B772,AssetCategories!$A:$E,2,0),"")</f>
        <v/>
      </c>
      <c r="EN772" t="str">
        <f>IF(NOT(ISBLANK($B772)),VLOOKUP($B772,AssetCategories!$A:$E,3,0),"")</f>
        <v/>
      </c>
      <c r="EP772" s="33" t="str">
        <f t="shared" si="23"/>
        <v/>
      </c>
    </row>
    <row r="773" spans="16:146" x14ac:dyDescent="0.25">
      <c r="P773" s="33" t="str" cm="1">
        <f t="array" ref="P773">IFERROR(SUM(VALUE(_xlfn.TEXTSPLIT(O773, ";"))), "")</f>
        <v/>
      </c>
      <c r="DO773" t="str">
        <f t="shared" ref="DO773:DO836" si="24">IF(SUM(DE773:DN773)=0, "", SUM(DE773:DN773))</f>
        <v/>
      </c>
      <c r="EG773" s="33" t="str">
        <f>IF(NOT(ISBLANK($B773)),VLOOKUP($B773,AssetCategories!$A:$E,5,0),"")</f>
        <v/>
      </c>
      <c r="EH773" t="str">
        <f>IF(NOT(ISBLANK($B773)),VLOOKUP($B773,AssetCategories!$A:$E,4,0),"")</f>
        <v/>
      </c>
      <c r="EM773" t="str">
        <f>IF(NOT(ISBLANK($B773)),VLOOKUP($B773,AssetCategories!$A:$E,2,0),"")</f>
        <v/>
      </c>
      <c r="EN773" t="str">
        <f>IF(NOT(ISBLANK($B773)),VLOOKUP($B773,AssetCategories!$A:$E,3,0),"")</f>
        <v/>
      </c>
      <c r="EP773" s="33" t="str">
        <f t="shared" ref="EP773:EP836" si="25">IFERROR(P773-EO773, "")</f>
        <v/>
      </c>
    </row>
    <row r="774" spans="16:146" x14ac:dyDescent="0.25">
      <c r="P774" s="33" t="str" cm="1">
        <f t="array" ref="P774">IFERROR(SUM(VALUE(_xlfn.TEXTSPLIT(O774, ";"))), "")</f>
        <v/>
      </c>
      <c r="DO774" t="str">
        <f t="shared" si="24"/>
        <v/>
      </c>
      <c r="EG774" s="33" t="str">
        <f>IF(NOT(ISBLANK($B774)),VLOOKUP($B774,AssetCategories!$A:$E,5,0),"")</f>
        <v/>
      </c>
      <c r="EH774" t="str">
        <f>IF(NOT(ISBLANK($B774)),VLOOKUP($B774,AssetCategories!$A:$E,4,0),"")</f>
        <v/>
      </c>
      <c r="EM774" t="str">
        <f>IF(NOT(ISBLANK($B774)),VLOOKUP($B774,AssetCategories!$A:$E,2,0),"")</f>
        <v/>
      </c>
      <c r="EN774" t="str">
        <f>IF(NOT(ISBLANK($B774)),VLOOKUP($B774,AssetCategories!$A:$E,3,0),"")</f>
        <v/>
      </c>
      <c r="EP774" s="33" t="str">
        <f t="shared" si="25"/>
        <v/>
      </c>
    </row>
    <row r="775" spans="16:146" x14ac:dyDescent="0.25">
      <c r="P775" s="33" t="str" cm="1">
        <f t="array" ref="P775">IFERROR(SUM(VALUE(_xlfn.TEXTSPLIT(O775, ";"))), "")</f>
        <v/>
      </c>
      <c r="DO775" t="str">
        <f t="shared" si="24"/>
        <v/>
      </c>
      <c r="EG775" s="33" t="str">
        <f>IF(NOT(ISBLANK($B775)),VLOOKUP($B775,AssetCategories!$A:$E,5,0),"")</f>
        <v/>
      </c>
      <c r="EH775" t="str">
        <f>IF(NOT(ISBLANK($B775)),VLOOKUP($B775,AssetCategories!$A:$E,4,0),"")</f>
        <v/>
      </c>
      <c r="EM775" t="str">
        <f>IF(NOT(ISBLANK($B775)),VLOOKUP($B775,AssetCategories!$A:$E,2,0),"")</f>
        <v/>
      </c>
      <c r="EN775" t="str">
        <f>IF(NOT(ISBLANK($B775)),VLOOKUP($B775,AssetCategories!$A:$E,3,0),"")</f>
        <v/>
      </c>
      <c r="EP775" s="33" t="str">
        <f t="shared" si="25"/>
        <v/>
      </c>
    </row>
    <row r="776" spans="16:146" x14ac:dyDescent="0.25">
      <c r="P776" s="33" t="str" cm="1">
        <f t="array" ref="P776">IFERROR(SUM(VALUE(_xlfn.TEXTSPLIT(O776, ";"))), "")</f>
        <v/>
      </c>
      <c r="DO776" t="str">
        <f t="shared" si="24"/>
        <v/>
      </c>
      <c r="EG776" s="33" t="str">
        <f>IF(NOT(ISBLANK($B776)),VLOOKUP($B776,AssetCategories!$A:$E,5,0),"")</f>
        <v/>
      </c>
      <c r="EH776" t="str">
        <f>IF(NOT(ISBLANK($B776)),VLOOKUP($B776,AssetCategories!$A:$E,4,0),"")</f>
        <v/>
      </c>
      <c r="EM776" t="str">
        <f>IF(NOT(ISBLANK($B776)),VLOOKUP($B776,AssetCategories!$A:$E,2,0),"")</f>
        <v/>
      </c>
      <c r="EN776" t="str">
        <f>IF(NOT(ISBLANK($B776)),VLOOKUP($B776,AssetCategories!$A:$E,3,0),"")</f>
        <v/>
      </c>
      <c r="EP776" s="33" t="str">
        <f t="shared" si="25"/>
        <v/>
      </c>
    </row>
    <row r="777" spans="16:146" x14ac:dyDescent="0.25">
      <c r="P777" s="33" t="str" cm="1">
        <f t="array" ref="P777">IFERROR(SUM(VALUE(_xlfn.TEXTSPLIT(O777, ";"))), "")</f>
        <v/>
      </c>
      <c r="DO777" t="str">
        <f t="shared" si="24"/>
        <v/>
      </c>
      <c r="EG777" s="33" t="str">
        <f>IF(NOT(ISBLANK($B777)),VLOOKUP($B777,AssetCategories!$A:$E,5,0),"")</f>
        <v/>
      </c>
      <c r="EH777" t="str">
        <f>IF(NOT(ISBLANK($B777)),VLOOKUP($B777,AssetCategories!$A:$E,4,0),"")</f>
        <v/>
      </c>
      <c r="EM777" t="str">
        <f>IF(NOT(ISBLANK($B777)),VLOOKUP($B777,AssetCategories!$A:$E,2,0),"")</f>
        <v/>
      </c>
      <c r="EN777" t="str">
        <f>IF(NOT(ISBLANK($B777)),VLOOKUP($B777,AssetCategories!$A:$E,3,0),"")</f>
        <v/>
      </c>
      <c r="EP777" s="33" t="str">
        <f t="shared" si="25"/>
        <v/>
      </c>
    </row>
    <row r="778" spans="16:146" x14ac:dyDescent="0.25">
      <c r="P778" s="33" t="str" cm="1">
        <f t="array" ref="P778">IFERROR(SUM(VALUE(_xlfn.TEXTSPLIT(O778, ";"))), "")</f>
        <v/>
      </c>
      <c r="DO778" t="str">
        <f t="shared" si="24"/>
        <v/>
      </c>
      <c r="EG778" s="33" t="str">
        <f>IF(NOT(ISBLANK($B778)),VLOOKUP($B778,AssetCategories!$A:$E,5,0),"")</f>
        <v/>
      </c>
      <c r="EH778" t="str">
        <f>IF(NOT(ISBLANK($B778)),VLOOKUP($B778,AssetCategories!$A:$E,4,0),"")</f>
        <v/>
      </c>
      <c r="EM778" t="str">
        <f>IF(NOT(ISBLANK($B778)),VLOOKUP($B778,AssetCategories!$A:$E,2,0),"")</f>
        <v/>
      </c>
      <c r="EN778" t="str">
        <f>IF(NOT(ISBLANK($B778)),VLOOKUP($B778,AssetCategories!$A:$E,3,0),"")</f>
        <v/>
      </c>
      <c r="EP778" s="33" t="str">
        <f t="shared" si="25"/>
        <v/>
      </c>
    </row>
    <row r="779" spans="16:146" x14ac:dyDescent="0.25">
      <c r="P779" s="33" t="str" cm="1">
        <f t="array" ref="P779">IFERROR(SUM(VALUE(_xlfn.TEXTSPLIT(O779, ";"))), "")</f>
        <v/>
      </c>
      <c r="DO779" t="str">
        <f t="shared" si="24"/>
        <v/>
      </c>
      <c r="EG779" s="33" t="str">
        <f>IF(NOT(ISBLANK($B779)),VLOOKUP($B779,AssetCategories!$A:$E,5,0),"")</f>
        <v/>
      </c>
      <c r="EH779" t="str">
        <f>IF(NOT(ISBLANK($B779)),VLOOKUP($B779,AssetCategories!$A:$E,4,0),"")</f>
        <v/>
      </c>
      <c r="EM779" t="str">
        <f>IF(NOT(ISBLANK($B779)),VLOOKUP($B779,AssetCategories!$A:$E,2,0),"")</f>
        <v/>
      </c>
      <c r="EN779" t="str">
        <f>IF(NOT(ISBLANK($B779)),VLOOKUP($B779,AssetCategories!$A:$E,3,0),"")</f>
        <v/>
      </c>
      <c r="EP779" s="33" t="str">
        <f t="shared" si="25"/>
        <v/>
      </c>
    </row>
    <row r="780" spans="16:146" x14ac:dyDescent="0.25">
      <c r="P780" s="33" t="str" cm="1">
        <f t="array" ref="P780">IFERROR(SUM(VALUE(_xlfn.TEXTSPLIT(O780, ";"))), "")</f>
        <v/>
      </c>
      <c r="DO780" t="str">
        <f t="shared" si="24"/>
        <v/>
      </c>
      <c r="EG780" s="33" t="str">
        <f>IF(NOT(ISBLANK($B780)),VLOOKUP($B780,AssetCategories!$A:$E,5,0),"")</f>
        <v/>
      </c>
      <c r="EH780" t="str">
        <f>IF(NOT(ISBLANK($B780)),VLOOKUP($B780,AssetCategories!$A:$E,4,0),"")</f>
        <v/>
      </c>
      <c r="EM780" t="str">
        <f>IF(NOT(ISBLANK($B780)),VLOOKUP($B780,AssetCategories!$A:$E,2,0),"")</f>
        <v/>
      </c>
      <c r="EN780" t="str">
        <f>IF(NOT(ISBLANK($B780)),VLOOKUP($B780,AssetCategories!$A:$E,3,0),"")</f>
        <v/>
      </c>
      <c r="EP780" s="33" t="str">
        <f t="shared" si="25"/>
        <v/>
      </c>
    </row>
    <row r="781" spans="16:146" x14ac:dyDescent="0.25">
      <c r="P781" s="33" t="str" cm="1">
        <f t="array" ref="P781">IFERROR(SUM(VALUE(_xlfn.TEXTSPLIT(O781, ";"))), "")</f>
        <v/>
      </c>
      <c r="DO781" t="str">
        <f t="shared" si="24"/>
        <v/>
      </c>
      <c r="EG781" s="33" t="str">
        <f>IF(NOT(ISBLANK($B781)),VLOOKUP($B781,AssetCategories!$A:$E,5,0),"")</f>
        <v/>
      </c>
      <c r="EH781" t="str">
        <f>IF(NOT(ISBLANK($B781)),VLOOKUP($B781,AssetCategories!$A:$E,4,0),"")</f>
        <v/>
      </c>
      <c r="EM781" t="str">
        <f>IF(NOT(ISBLANK($B781)),VLOOKUP($B781,AssetCategories!$A:$E,2,0),"")</f>
        <v/>
      </c>
      <c r="EN781" t="str">
        <f>IF(NOT(ISBLANK($B781)),VLOOKUP($B781,AssetCategories!$A:$E,3,0),"")</f>
        <v/>
      </c>
      <c r="EP781" s="33" t="str">
        <f t="shared" si="25"/>
        <v/>
      </c>
    </row>
    <row r="782" spans="16:146" x14ac:dyDescent="0.25">
      <c r="P782" s="33" t="str" cm="1">
        <f t="array" ref="P782">IFERROR(SUM(VALUE(_xlfn.TEXTSPLIT(O782, ";"))), "")</f>
        <v/>
      </c>
      <c r="DO782" t="str">
        <f t="shared" si="24"/>
        <v/>
      </c>
      <c r="EG782" s="33" t="str">
        <f>IF(NOT(ISBLANK($B782)),VLOOKUP($B782,AssetCategories!$A:$E,5,0),"")</f>
        <v/>
      </c>
      <c r="EH782" t="str">
        <f>IF(NOT(ISBLANK($B782)),VLOOKUP($B782,AssetCategories!$A:$E,4,0),"")</f>
        <v/>
      </c>
      <c r="EM782" t="str">
        <f>IF(NOT(ISBLANK($B782)),VLOOKUP($B782,AssetCategories!$A:$E,2,0),"")</f>
        <v/>
      </c>
      <c r="EN782" t="str">
        <f>IF(NOT(ISBLANK($B782)),VLOOKUP($B782,AssetCategories!$A:$E,3,0),"")</f>
        <v/>
      </c>
      <c r="EP782" s="33" t="str">
        <f t="shared" si="25"/>
        <v/>
      </c>
    </row>
    <row r="783" spans="16:146" x14ac:dyDescent="0.25">
      <c r="P783" s="33" t="str" cm="1">
        <f t="array" ref="P783">IFERROR(SUM(VALUE(_xlfn.TEXTSPLIT(O783, ";"))), "")</f>
        <v/>
      </c>
      <c r="DO783" t="str">
        <f t="shared" si="24"/>
        <v/>
      </c>
      <c r="EG783" s="33" t="str">
        <f>IF(NOT(ISBLANK($B783)),VLOOKUP($B783,AssetCategories!$A:$E,5,0),"")</f>
        <v/>
      </c>
      <c r="EH783" t="str">
        <f>IF(NOT(ISBLANK($B783)),VLOOKUP($B783,AssetCategories!$A:$E,4,0),"")</f>
        <v/>
      </c>
      <c r="EM783" t="str">
        <f>IF(NOT(ISBLANK($B783)),VLOOKUP($B783,AssetCategories!$A:$E,2,0),"")</f>
        <v/>
      </c>
      <c r="EN783" t="str">
        <f>IF(NOT(ISBLANK($B783)),VLOOKUP($B783,AssetCategories!$A:$E,3,0),"")</f>
        <v/>
      </c>
      <c r="EP783" s="33" t="str">
        <f t="shared" si="25"/>
        <v/>
      </c>
    </row>
    <row r="784" spans="16:146" x14ac:dyDescent="0.25">
      <c r="P784" s="33" t="str" cm="1">
        <f t="array" ref="P784">IFERROR(SUM(VALUE(_xlfn.TEXTSPLIT(O784, ";"))), "")</f>
        <v/>
      </c>
      <c r="DO784" t="str">
        <f t="shared" si="24"/>
        <v/>
      </c>
      <c r="EG784" s="33" t="str">
        <f>IF(NOT(ISBLANK($B784)),VLOOKUP($B784,AssetCategories!$A:$E,5,0),"")</f>
        <v/>
      </c>
      <c r="EH784" t="str">
        <f>IF(NOT(ISBLANK($B784)),VLOOKUP($B784,AssetCategories!$A:$E,4,0),"")</f>
        <v/>
      </c>
      <c r="EM784" t="str">
        <f>IF(NOT(ISBLANK($B784)),VLOOKUP($B784,AssetCategories!$A:$E,2,0),"")</f>
        <v/>
      </c>
      <c r="EN784" t="str">
        <f>IF(NOT(ISBLANK($B784)),VLOOKUP($B784,AssetCategories!$A:$E,3,0),"")</f>
        <v/>
      </c>
      <c r="EP784" s="33" t="str">
        <f t="shared" si="25"/>
        <v/>
      </c>
    </row>
    <row r="785" spans="16:146" x14ac:dyDescent="0.25">
      <c r="P785" s="33" t="str" cm="1">
        <f t="array" ref="P785">IFERROR(SUM(VALUE(_xlfn.TEXTSPLIT(O785, ";"))), "")</f>
        <v/>
      </c>
      <c r="DO785" t="str">
        <f t="shared" si="24"/>
        <v/>
      </c>
      <c r="EG785" s="33" t="str">
        <f>IF(NOT(ISBLANK($B785)),VLOOKUP($B785,AssetCategories!$A:$E,5,0),"")</f>
        <v/>
      </c>
      <c r="EH785" t="str">
        <f>IF(NOT(ISBLANK($B785)),VLOOKUP($B785,AssetCategories!$A:$E,4,0),"")</f>
        <v/>
      </c>
      <c r="EM785" t="str">
        <f>IF(NOT(ISBLANK($B785)),VLOOKUP($B785,AssetCategories!$A:$E,2,0),"")</f>
        <v/>
      </c>
      <c r="EN785" t="str">
        <f>IF(NOT(ISBLANK($B785)),VLOOKUP($B785,AssetCategories!$A:$E,3,0),"")</f>
        <v/>
      </c>
      <c r="EP785" s="33" t="str">
        <f t="shared" si="25"/>
        <v/>
      </c>
    </row>
    <row r="786" spans="16:146" x14ac:dyDescent="0.25">
      <c r="P786" s="33" t="str" cm="1">
        <f t="array" ref="P786">IFERROR(SUM(VALUE(_xlfn.TEXTSPLIT(O786, ";"))), "")</f>
        <v/>
      </c>
      <c r="DO786" t="str">
        <f t="shared" si="24"/>
        <v/>
      </c>
      <c r="EG786" s="33" t="str">
        <f>IF(NOT(ISBLANK($B786)),VLOOKUP($B786,AssetCategories!$A:$E,5,0),"")</f>
        <v/>
      </c>
      <c r="EH786" t="str">
        <f>IF(NOT(ISBLANK($B786)),VLOOKUP($B786,AssetCategories!$A:$E,4,0),"")</f>
        <v/>
      </c>
      <c r="EM786" t="str">
        <f>IF(NOT(ISBLANK($B786)),VLOOKUP($B786,AssetCategories!$A:$E,2,0),"")</f>
        <v/>
      </c>
      <c r="EN786" t="str">
        <f>IF(NOT(ISBLANK($B786)),VLOOKUP($B786,AssetCategories!$A:$E,3,0),"")</f>
        <v/>
      </c>
      <c r="EP786" s="33" t="str">
        <f t="shared" si="25"/>
        <v/>
      </c>
    </row>
    <row r="787" spans="16:146" x14ac:dyDescent="0.25">
      <c r="P787" s="33" t="str" cm="1">
        <f t="array" ref="P787">IFERROR(SUM(VALUE(_xlfn.TEXTSPLIT(O787, ";"))), "")</f>
        <v/>
      </c>
      <c r="DO787" t="str">
        <f t="shared" si="24"/>
        <v/>
      </c>
      <c r="EG787" s="33" t="str">
        <f>IF(NOT(ISBLANK($B787)),VLOOKUP($B787,AssetCategories!$A:$E,5,0),"")</f>
        <v/>
      </c>
      <c r="EH787" t="str">
        <f>IF(NOT(ISBLANK($B787)),VLOOKUP($B787,AssetCategories!$A:$E,4,0),"")</f>
        <v/>
      </c>
      <c r="EM787" t="str">
        <f>IF(NOT(ISBLANK($B787)),VLOOKUP($B787,AssetCategories!$A:$E,2,0),"")</f>
        <v/>
      </c>
      <c r="EN787" t="str">
        <f>IF(NOT(ISBLANK($B787)),VLOOKUP($B787,AssetCategories!$A:$E,3,0),"")</f>
        <v/>
      </c>
      <c r="EP787" s="33" t="str">
        <f t="shared" si="25"/>
        <v/>
      </c>
    </row>
    <row r="788" spans="16:146" x14ac:dyDescent="0.25">
      <c r="P788" s="33" t="str" cm="1">
        <f t="array" ref="P788">IFERROR(SUM(VALUE(_xlfn.TEXTSPLIT(O788, ";"))), "")</f>
        <v/>
      </c>
      <c r="DO788" t="str">
        <f t="shared" si="24"/>
        <v/>
      </c>
      <c r="EG788" s="33" t="str">
        <f>IF(NOT(ISBLANK($B788)),VLOOKUP($B788,AssetCategories!$A:$E,5,0),"")</f>
        <v/>
      </c>
      <c r="EH788" t="str">
        <f>IF(NOT(ISBLANK($B788)),VLOOKUP($B788,AssetCategories!$A:$E,4,0),"")</f>
        <v/>
      </c>
      <c r="EM788" t="str">
        <f>IF(NOT(ISBLANK($B788)),VLOOKUP($B788,AssetCategories!$A:$E,2,0),"")</f>
        <v/>
      </c>
      <c r="EN788" t="str">
        <f>IF(NOT(ISBLANK($B788)),VLOOKUP($B788,AssetCategories!$A:$E,3,0),"")</f>
        <v/>
      </c>
      <c r="EP788" s="33" t="str">
        <f t="shared" si="25"/>
        <v/>
      </c>
    </row>
    <row r="789" spans="16:146" x14ac:dyDescent="0.25">
      <c r="P789" s="33" t="str" cm="1">
        <f t="array" ref="P789">IFERROR(SUM(VALUE(_xlfn.TEXTSPLIT(O789, ";"))), "")</f>
        <v/>
      </c>
      <c r="DO789" t="str">
        <f t="shared" si="24"/>
        <v/>
      </c>
      <c r="EG789" s="33" t="str">
        <f>IF(NOT(ISBLANK($B789)),VLOOKUP($B789,AssetCategories!$A:$E,5,0),"")</f>
        <v/>
      </c>
      <c r="EH789" t="str">
        <f>IF(NOT(ISBLANK($B789)),VLOOKUP($B789,AssetCategories!$A:$E,4,0),"")</f>
        <v/>
      </c>
      <c r="EM789" t="str">
        <f>IF(NOT(ISBLANK($B789)),VLOOKUP($B789,AssetCategories!$A:$E,2,0),"")</f>
        <v/>
      </c>
      <c r="EN789" t="str">
        <f>IF(NOT(ISBLANK($B789)),VLOOKUP($B789,AssetCategories!$A:$E,3,0),"")</f>
        <v/>
      </c>
      <c r="EP789" s="33" t="str">
        <f t="shared" si="25"/>
        <v/>
      </c>
    </row>
    <row r="790" spans="16:146" x14ac:dyDescent="0.25">
      <c r="P790" s="33" t="str" cm="1">
        <f t="array" ref="P790">IFERROR(SUM(VALUE(_xlfn.TEXTSPLIT(O790, ";"))), "")</f>
        <v/>
      </c>
      <c r="DO790" t="str">
        <f t="shared" si="24"/>
        <v/>
      </c>
      <c r="EG790" s="33" t="str">
        <f>IF(NOT(ISBLANK($B790)),VLOOKUP($B790,AssetCategories!$A:$E,5,0),"")</f>
        <v/>
      </c>
      <c r="EH790" t="str">
        <f>IF(NOT(ISBLANK($B790)),VLOOKUP($B790,AssetCategories!$A:$E,4,0),"")</f>
        <v/>
      </c>
      <c r="EM790" t="str">
        <f>IF(NOT(ISBLANK($B790)),VLOOKUP($B790,AssetCategories!$A:$E,2,0),"")</f>
        <v/>
      </c>
      <c r="EN790" t="str">
        <f>IF(NOT(ISBLANK($B790)),VLOOKUP($B790,AssetCategories!$A:$E,3,0),"")</f>
        <v/>
      </c>
      <c r="EP790" s="33" t="str">
        <f t="shared" si="25"/>
        <v/>
      </c>
    </row>
    <row r="791" spans="16:146" x14ac:dyDescent="0.25">
      <c r="P791" s="33" t="str" cm="1">
        <f t="array" ref="P791">IFERROR(SUM(VALUE(_xlfn.TEXTSPLIT(O791, ";"))), "")</f>
        <v/>
      </c>
      <c r="DO791" t="str">
        <f t="shared" si="24"/>
        <v/>
      </c>
      <c r="EG791" s="33" t="str">
        <f>IF(NOT(ISBLANK($B791)),VLOOKUP($B791,AssetCategories!$A:$E,5,0),"")</f>
        <v/>
      </c>
      <c r="EH791" t="str">
        <f>IF(NOT(ISBLANK($B791)),VLOOKUP($B791,AssetCategories!$A:$E,4,0),"")</f>
        <v/>
      </c>
      <c r="EM791" t="str">
        <f>IF(NOT(ISBLANK($B791)),VLOOKUP($B791,AssetCategories!$A:$E,2,0),"")</f>
        <v/>
      </c>
      <c r="EN791" t="str">
        <f>IF(NOT(ISBLANK($B791)),VLOOKUP($B791,AssetCategories!$A:$E,3,0),"")</f>
        <v/>
      </c>
      <c r="EP791" s="33" t="str">
        <f t="shared" si="25"/>
        <v/>
      </c>
    </row>
    <row r="792" spans="16:146" x14ac:dyDescent="0.25">
      <c r="P792" s="33" t="str" cm="1">
        <f t="array" ref="P792">IFERROR(SUM(VALUE(_xlfn.TEXTSPLIT(O792, ";"))), "")</f>
        <v/>
      </c>
      <c r="DO792" t="str">
        <f t="shared" si="24"/>
        <v/>
      </c>
      <c r="EG792" s="33" t="str">
        <f>IF(NOT(ISBLANK($B792)),VLOOKUP($B792,AssetCategories!$A:$E,5,0),"")</f>
        <v/>
      </c>
      <c r="EH792" t="str">
        <f>IF(NOT(ISBLANK($B792)),VLOOKUP($B792,AssetCategories!$A:$E,4,0),"")</f>
        <v/>
      </c>
      <c r="EM792" t="str">
        <f>IF(NOT(ISBLANK($B792)),VLOOKUP($B792,AssetCategories!$A:$E,2,0),"")</f>
        <v/>
      </c>
      <c r="EN792" t="str">
        <f>IF(NOT(ISBLANK($B792)),VLOOKUP($B792,AssetCategories!$A:$E,3,0),"")</f>
        <v/>
      </c>
      <c r="EP792" s="33" t="str">
        <f t="shared" si="25"/>
        <v/>
      </c>
    </row>
    <row r="793" spans="16:146" x14ac:dyDescent="0.25">
      <c r="P793" s="33" t="str" cm="1">
        <f t="array" ref="P793">IFERROR(SUM(VALUE(_xlfn.TEXTSPLIT(O793, ";"))), "")</f>
        <v/>
      </c>
      <c r="DO793" t="str">
        <f t="shared" si="24"/>
        <v/>
      </c>
      <c r="EG793" s="33" t="str">
        <f>IF(NOT(ISBLANK($B793)),VLOOKUP($B793,AssetCategories!$A:$E,5,0),"")</f>
        <v/>
      </c>
      <c r="EH793" t="str">
        <f>IF(NOT(ISBLANK($B793)),VLOOKUP($B793,AssetCategories!$A:$E,4,0),"")</f>
        <v/>
      </c>
      <c r="EM793" t="str">
        <f>IF(NOT(ISBLANK($B793)),VLOOKUP($B793,AssetCategories!$A:$E,2,0),"")</f>
        <v/>
      </c>
      <c r="EN793" t="str">
        <f>IF(NOT(ISBLANK($B793)),VLOOKUP($B793,AssetCategories!$A:$E,3,0),"")</f>
        <v/>
      </c>
      <c r="EP793" s="33" t="str">
        <f t="shared" si="25"/>
        <v/>
      </c>
    </row>
    <row r="794" spans="16:146" x14ac:dyDescent="0.25">
      <c r="P794" s="33" t="str" cm="1">
        <f t="array" ref="P794">IFERROR(SUM(VALUE(_xlfn.TEXTSPLIT(O794, ";"))), "")</f>
        <v/>
      </c>
      <c r="DO794" t="str">
        <f t="shared" si="24"/>
        <v/>
      </c>
      <c r="EG794" s="33" t="str">
        <f>IF(NOT(ISBLANK($B794)),VLOOKUP($B794,AssetCategories!$A:$E,5,0),"")</f>
        <v/>
      </c>
      <c r="EH794" t="str">
        <f>IF(NOT(ISBLANK($B794)),VLOOKUP($B794,AssetCategories!$A:$E,4,0),"")</f>
        <v/>
      </c>
      <c r="EM794" t="str">
        <f>IF(NOT(ISBLANK($B794)),VLOOKUP($B794,AssetCategories!$A:$E,2,0),"")</f>
        <v/>
      </c>
      <c r="EN794" t="str">
        <f>IF(NOT(ISBLANK($B794)),VLOOKUP($B794,AssetCategories!$A:$E,3,0),"")</f>
        <v/>
      </c>
      <c r="EP794" s="33" t="str">
        <f t="shared" si="25"/>
        <v/>
      </c>
    </row>
    <row r="795" spans="16:146" x14ac:dyDescent="0.25">
      <c r="P795" s="33" t="str" cm="1">
        <f t="array" ref="P795">IFERROR(SUM(VALUE(_xlfn.TEXTSPLIT(O795, ";"))), "")</f>
        <v/>
      </c>
      <c r="DO795" t="str">
        <f t="shared" si="24"/>
        <v/>
      </c>
      <c r="EG795" s="33" t="str">
        <f>IF(NOT(ISBLANK($B795)),VLOOKUP($B795,AssetCategories!$A:$E,5,0),"")</f>
        <v/>
      </c>
      <c r="EH795" t="str">
        <f>IF(NOT(ISBLANK($B795)),VLOOKUP($B795,AssetCategories!$A:$E,4,0),"")</f>
        <v/>
      </c>
      <c r="EM795" t="str">
        <f>IF(NOT(ISBLANK($B795)),VLOOKUP($B795,AssetCategories!$A:$E,2,0),"")</f>
        <v/>
      </c>
      <c r="EN795" t="str">
        <f>IF(NOT(ISBLANK($B795)),VLOOKUP($B795,AssetCategories!$A:$E,3,0),"")</f>
        <v/>
      </c>
      <c r="EP795" s="33" t="str">
        <f t="shared" si="25"/>
        <v/>
      </c>
    </row>
    <row r="796" spans="16:146" x14ac:dyDescent="0.25">
      <c r="P796" s="33" t="str" cm="1">
        <f t="array" ref="P796">IFERROR(SUM(VALUE(_xlfn.TEXTSPLIT(O796, ";"))), "")</f>
        <v/>
      </c>
      <c r="DO796" t="str">
        <f t="shared" si="24"/>
        <v/>
      </c>
      <c r="EG796" s="33" t="str">
        <f>IF(NOT(ISBLANK($B796)),VLOOKUP($B796,AssetCategories!$A:$E,5,0),"")</f>
        <v/>
      </c>
      <c r="EH796" t="str">
        <f>IF(NOT(ISBLANK($B796)),VLOOKUP($B796,AssetCategories!$A:$E,4,0),"")</f>
        <v/>
      </c>
      <c r="EM796" t="str">
        <f>IF(NOT(ISBLANK($B796)),VLOOKUP($B796,AssetCategories!$A:$E,2,0),"")</f>
        <v/>
      </c>
      <c r="EN796" t="str">
        <f>IF(NOT(ISBLANK($B796)),VLOOKUP($B796,AssetCategories!$A:$E,3,0),"")</f>
        <v/>
      </c>
      <c r="EP796" s="33" t="str">
        <f t="shared" si="25"/>
        <v/>
      </c>
    </row>
    <row r="797" spans="16:146" x14ac:dyDescent="0.25">
      <c r="P797" s="33" t="str" cm="1">
        <f t="array" ref="P797">IFERROR(SUM(VALUE(_xlfn.TEXTSPLIT(O797, ";"))), "")</f>
        <v/>
      </c>
      <c r="DO797" t="str">
        <f t="shared" si="24"/>
        <v/>
      </c>
      <c r="EG797" s="33" t="str">
        <f>IF(NOT(ISBLANK($B797)),VLOOKUP($B797,AssetCategories!$A:$E,5,0),"")</f>
        <v/>
      </c>
      <c r="EH797" t="str">
        <f>IF(NOT(ISBLANK($B797)),VLOOKUP($B797,AssetCategories!$A:$E,4,0),"")</f>
        <v/>
      </c>
      <c r="EM797" t="str">
        <f>IF(NOT(ISBLANK($B797)),VLOOKUP($B797,AssetCategories!$A:$E,2,0),"")</f>
        <v/>
      </c>
      <c r="EN797" t="str">
        <f>IF(NOT(ISBLANK($B797)),VLOOKUP($B797,AssetCategories!$A:$E,3,0),"")</f>
        <v/>
      </c>
      <c r="EP797" s="33" t="str">
        <f t="shared" si="25"/>
        <v/>
      </c>
    </row>
    <row r="798" spans="16:146" x14ac:dyDescent="0.25">
      <c r="P798" s="33" t="str" cm="1">
        <f t="array" ref="P798">IFERROR(SUM(VALUE(_xlfn.TEXTSPLIT(O798, ";"))), "")</f>
        <v/>
      </c>
      <c r="DO798" t="str">
        <f t="shared" si="24"/>
        <v/>
      </c>
      <c r="EG798" s="33" t="str">
        <f>IF(NOT(ISBLANK($B798)),VLOOKUP($B798,AssetCategories!$A:$E,5,0),"")</f>
        <v/>
      </c>
      <c r="EH798" t="str">
        <f>IF(NOT(ISBLANK($B798)),VLOOKUP($B798,AssetCategories!$A:$E,4,0),"")</f>
        <v/>
      </c>
      <c r="EM798" t="str">
        <f>IF(NOT(ISBLANK($B798)),VLOOKUP($B798,AssetCategories!$A:$E,2,0),"")</f>
        <v/>
      </c>
      <c r="EN798" t="str">
        <f>IF(NOT(ISBLANK($B798)),VLOOKUP($B798,AssetCategories!$A:$E,3,0),"")</f>
        <v/>
      </c>
      <c r="EP798" s="33" t="str">
        <f t="shared" si="25"/>
        <v/>
      </c>
    </row>
    <row r="799" spans="16:146" x14ac:dyDescent="0.25">
      <c r="P799" s="33" t="str" cm="1">
        <f t="array" ref="P799">IFERROR(SUM(VALUE(_xlfn.TEXTSPLIT(O799, ";"))), "")</f>
        <v/>
      </c>
      <c r="DO799" t="str">
        <f t="shared" si="24"/>
        <v/>
      </c>
      <c r="EG799" s="33" t="str">
        <f>IF(NOT(ISBLANK($B799)),VLOOKUP($B799,AssetCategories!$A:$E,5,0),"")</f>
        <v/>
      </c>
      <c r="EH799" t="str">
        <f>IF(NOT(ISBLANK($B799)),VLOOKUP($B799,AssetCategories!$A:$E,4,0),"")</f>
        <v/>
      </c>
      <c r="EM799" t="str">
        <f>IF(NOT(ISBLANK($B799)),VLOOKUP($B799,AssetCategories!$A:$E,2,0),"")</f>
        <v/>
      </c>
      <c r="EN799" t="str">
        <f>IF(NOT(ISBLANK($B799)),VLOOKUP($B799,AssetCategories!$A:$E,3,0),"")</f>
        <v/>
      </c>
      <c r="EP799" s="33" t="str">
        <f t="shared" si="25"/>
        <v/>
      </c>
    </row>
    <row r="800" spans="16:146" x14ac:dyDescent="0.25">
      <c r="P800" s="33" t="str" cm="1">
        <f t="array" ref="P800">IFERROR(SUM(VALUE(_xlfn.TEXTSPLIT(O800, ";"))), "")</f>
        <v/>
      </c>
      <c r="DO800" t="str">
        <f t="shared" si="24"/>
        <v/>
      </c>
      <c r="EG800" s="33" t="str">
        <f>IF(NOT(ISBLANK($B800)),VLOOKUP($B800,AssetCategories!$A:$E,5,0),"")</f>
        <v/>
      </c>
      <c r="EH800" t="str">
        <f>IF(NOT(ISBLANK($B800)),VLOOKUP($B800,AssetCategories!$A:$E,4,0),"")</f>
        <v/>
      </c>
      <c r="EM800" t="str">
        <f>IF(NOT(ISBLANK($B800)),VLOOKUP($B800,AssetCategories!$A:$E,2,0),"")</f>
        <v/>
      </c>
      <c r="EN800" t="str">
        <f>IF(NOT(ISBLANK($B800)),VLOOKUP($B800,AssetCategories!$A:$E,3,0),"")</f>
        <v/>
      </c>
      <c r="EP800" s="33" t="str">
        <f t="shared" si="25"/>
        <v/>
      </c>
    </row>
    <row r="801" spans="16:146" x14ac:dyDescent="0.25">
      <c r="P801" s="33" t="str" cm="1">
        <f t="array" ref="P801">IFERROR(SUM(VALUE(_xlfn.TEXTSPLIT(O801, ";"))), "")</f>
        <v/>
      </c>
      <c r="DO801" t="str">
        <f t="shared" si="24"/>
        <v/>
      </c>
      <c r="EG801" s="33" t="str">
        <f>IF(NOT(ISBLANK($B801)),VLOOKUP($B801,AssetCategories!$A:$E,5,0),"")</f>
        <v/>
      </c>
      <c r="EH801" t="str">
        <f>IF(NOT(ISBLANK($B801)),VLOOKUP($B801,AssetCategories!$A:$E,4,0),"")</f>
        <v/>
      </c>
      <c r="EM801" t="str">
        <f>IF(NOT(ISBLANK($B801)),VLOOKUP($B801,AssetCategories!$A:$E,2,0),"")</f>
        <v/>
      </c>
      <c r="EN801" t="str">
        <f>IF(NOT(ISBLANK($B801)),VLOOKUP($B801,AssetCategories!$A:$E,3,0),"")</f>
        <v/>
      </c>
      <c r="EP801" s="33" t="str">
        <f t="shared" si="25"/>
        <v/>
      </c>
    </row>
    <row r="802" spans="16:146" x14ac:dyDescent="0.25">
      <c r="P802" s="33" t="str" cm="1">
        <f t="array" ref="P802">IFERROR(SUM(VALUE(_xlfn.TEXTSPLIT(O802, ";"))), "")</f>
        <v/>
      </c>
      <c r="DO802" t="str">
        <f t="shared" si="24"/>
        <v/>
      </c>
      <c r="EG802" s="33" t="str">
        <f>IF(NOT(ISBLANK($B802)),VLOOKUP($B802,AssetCategories!$A:$E,5,0),"")</f>
        <v/>
      </c>
      <c r="EH802" t="str">
        <f>IF(NOT(ISBLANK($B802)),VLOOKUP($B802,AssetCategories!$A:$E,4,0),"")</f>
        <v/>
      </c>
      <c r="EM802" t="str">
        <f>IF(NOT(ISBLANK($B802)),VLOOKUP($B802,AssetCategories!$A:$E,2,0),"")</f>
        <v/>
      </c>
      <c r="EN802" t="str">
        <f>IF(NOT(ISBLANK($B802)),VLOOKUP($B802,AssetCategories!$A:$E,3,0),"")</f>
        <v/>
      </c>
      <c r="EP802" s="33" t="str">
        <f t="shared" si="25"/>
        <v/>
      </c>
    </row>
    <row r="803" spans="16:146" x14ac:dyDescent="0.25">
      <c r="P803" s="33" t="str" cm="1">
        <f t="array" ref="P803">IFERROR(SUM(VALUE(_xlfn.TEXTSPLIT(O803, ";"))), "")</f>
        <v/>
      </c>
      <c r="DO803" t="str">
        <f t="shared" si="24"/>
        <v/>
      </c>
      <c r="EG803" s="33" t="str">
        <f>IF(NOT(ISBLANK($B803)),VLOOKUP($B803,AssetCategories!$A:$E,5,0),"")</f>
        <v/>
      </c>
      <c r="EH803" t="str">
        <f>IF(NOT(ISBLANK($B803)),VLOOKUP($B803,AssetCategories!$A:$E,4,0),"")</f>
        <v/>
      </c>
      <c r="EM803" t="str">
        <f>IF(NOT(ISBLANK($B803)),VLOOKUP($B803,AssetCategories!$A:$E,2,0),"")</f>
        <v/>
      </c>
      <c r="EN803" t="str">
        <f>IF(NOT(ISBLANK($B803)),VLOOKUP($B803,AssetCategories!$A:$E,3,0),"")</f>
        <v/>
      </c>
      <c r="EP803" s="33" t="str">
        <f t="shared" si="25"/>
        <v/>
      </c>
    </row>
    <row r="804" spans="16:146" x14ac:dyDescent="0.25">
      <c r="P804" s="33" t="str" cm="1">
        <f t="array" ref="P804">IFERROR(SUM(VALUE(_xlfn.TEXTSPLIT(O804, ";"))), "")</f>
        <v/>
      </c>
      <c r="DO804" t="str">
        <f t="shared" si="24"/>
        <v/>
      </c>
      <c r="EG804" s="33" t="str">
        <f>IF(NOT(ISBLANK($B804)),VLOOKUP($B804,AssetCategories!$A:$E,5,0),"")</f>
        <v/>
      </c>
      <c r="EH804" t="str">
        <f>IF(NOT(ISBLANK($B804)),VLOOKUP($B804,AssetCategories!$A:$E,4,0),"")</f>
        <v/>
      </c>
      <c r="EM804" t="str">
        <f>IF(NOT(ISBLANK($B804)),VLOOKUP($B804,AssetCategories!$A:$E,2,0),"")</f>
        <v/>
      </c>
      <c r="EN804" t="str">
        <f>IF(NOT(ISBLANK($B804)),VLOOKUP($B804,AssetCategories!$A:$E,3,0),"")</f>
        <v/>
      </c>
      <c r="EP804" s="33" t="str">
        <f t="shared" si="25"/>
        <v/>
      </c>
    </row>
    <row r="805" spans="16:146" x14ac:dyDescent="0.25">
      <c r="P805" s="33" t="str" cm="1">
        <f t="array" ref="P805">IFERROR(SUM(VALUE(_xlfn.TEXTSPLIT(O805, ";"))), "")</f>
        <v/>
      </c>
      <c r="DO805" t="str">
        <f t="shared" si="24"/>
        <v/>
      </c>
      <c r="EG805" s="33" t="str">
        <f>IF(NOT(ISBLANK($B805)),VLOOKUP($B805,AssetCategories!$A:$E,5,0),"")</f>
        <v/>
      </c>
      <c r="EH805" t="str">
        <f>IF(NOT(ISBLANK($B805)),VLOOKUP($B805,AssetCategories!$A:$E,4,0),"")</f>
        <v/>
      </c>
      <c r="EM805" t="str">
        <f>IF(NOT(ISBLANK($B805)),VLOOKUP($B805,AssetCategories!$A:$E,2,0),"")</f>
        <v/>
      </c>
      <c r="EN805" t="str">
        <f>IF(NOT(ISBLANK($B805)),VLOOKUP($B805,AssetCategories!$A:$E,3,0),"")</f>
        <v/>
      </c>
      <c r="EP805" s="33" t="str">
        <f t="shared" si="25"/>
        <v/>
      </c>
    </row>
    <row r="806" spans="16:146" x14ac:dyDescent="0.25">
      <c r="P806" s="33" t="str" cm="1">
        <f t="array" ref="P806">IFERROR(SUM(VALUE(_xlfn.TEXTSPLIT(O806, ";"))), "")</f>
        <v/>
      </c>
      <c r="DO806" t="str">
        <f t="shared" si="24"/>
        <v/>
      </c>
      <c r="EG806" s="33" t="str">
        <f>IF(NOT(ISBLANK($B806)),VLOOKUP($B806,AssetCategories!$A:$E,5,0),"")</f>
        <v/>
      </c>
      <c r="EH806" t="str">
        <f>IF(NOT(ISBLANK($B806)),VLOOKUP($B806,AssetCategories!$A:$E,4,0),"")</f>
        <v/>
      </c>
      <c r="EM806" t="str">
        <f>IF(NOT(ISBLANK($B806)),VLOOKUP($B806,AssetCategories!$A:$E,2,0),"")</f>
        <v/>
      </c>
      <c r="EN806" t="str">
        <f>IF(NOT(ISBLANK($B806)),VLOOKUP($B806,AssetCategories!$A:$E,3,0),"")</f>
        <v/>
      </c>
      <c r="EP806" s="33" t="str">
        <f t="shared" si="25"/>
        <v/>
      </c>
    </row>
    <row r="807" spans="16:146" x14ac:dyDescent="0.25">
      <c r="P807" s="33" t="str" cm="1">
        <f t="array" ref="P807">IFERROR(SUM(VALUE(_xlfn.TEXTSPLIT(O807, ";"))), "")</f>
        <v/>
      </c>
      <c r="DO807" t="str">
        <f t="shared" si="24"/>
        <v/>
      </c>
      <c r="EG807" s="33" t="str">
        <f>IF(NOT(ISBLANK($B807)),VLOOKUP($B807,AssetCategories!$A:$E,5,0),"")</f>
        <v/>
      </c>
      <c r="EH807" t="str">
        <f>IF(NOT(ISBLANK($B807)),VLOOKUP($B807,AssetCategories!$A:$E,4,0),"")</f>
        <v/>
      </c>
      <c r="EM807" t="str">
        <f>IF(NOT(ISBLANK($B807)),VLOOKUP($B807,AssetCategories!$A:$E,2,0),"")</f>
        <v/>
      </c>
      <c r="EN807" t="str">
        <f>IF(NOT(ISBLANK($B807)),VLOOKUP($B807,AssetCategories!$A:$E,3,0),"")</f>
        <v/>
      </c>
      <c r="EP807" s="33" t="str">
        <f t="shared" si="25"/>
        <v/>
      </c>
    </row>
    <row r="808" spans="16:146" x14ac:dyDescent="0.25">
      <c r="P808" s="33" t="str" cm="1">
        <f t="array" ref="P808">IFERROR(SUM(VALUE(_xlfn.TEXTSPLIT(O808, ";"))), "")</f>
        <v/>
      </c>
      <c r="DO808" t="str">
        <f t="shared" si="24"/>
        <v/>
      </c>
      <c r="EG808" s="33" t="str">
        <f>IF(NOT(ISBLANK($B808)),VLOOKUP($B808,AssetCategories!$A:$E,5,0),"")</f>
        <v/>
      </c>
      <c r="EH808" t="str">
        <f>IF(NOT(ISBLANK($B808)),VLOOKUP($B808,AssetCategories!$A:$E,4,0),"")</f>
        <v/>
      </c>
      <c r="EM808" t="str">
        <f>IF(NOT(ISBLANK($B808)),VLOOKUP($B808,AssetCategories!$A:$E,2,0),"")</f>
        <v/>
      </c>
      <c r="EN808" t="str">
        <f>IF(NOT(ISBLANK($B808)),VLOOKUP($B808,AssetCategories!$A:$E,3,0),"")</f>
        <v/>
      </c>
      <c r="EP808" s="33" t="str">
        <f t="shared" si="25"/>
        <v/>
      </c>
    </row>
    <row r="809" spans="16:146" x14ac:dyDescent="0.25">
      <c r="P809" s="33" t="str" cm="1">
        <f t="array" ref="P809">IFERROR(SUM(VALUE(_xlfn.TEXTSPLIT(O809, ";"))), "")</f>
        <v/>
      </c>
      <c r="DO809" t="str">
        <f t="shared" si="24"/>
        <v/>
      </c>
      <c r="EG809" s="33" t="str">
        <f>IF(NOT(ISBLANK($B809)),VLOOKUP($B809,AssetCategories!$A:$E,5,0),"")</f>
        <v/>
      </c>
      <c r="EH809" t="str">
        <f>IF(NOT(ISBLANK($B809)),VLOOKUP($B809,AssetCategories!$A:$E,4,0),"")</f>
        <v/>
      </c>
      <c r="EM809" t="str">
        <f>IF(NOT(ISBLANK($B809)),VLOOKUP($B809,AssetCategories!$A:$E,2,0),"")</f>
        <v/>
      </c>
      <c r="EN809" t="str">
        <f>IF(NOT(ISBLANK($B809)),VLOOKUP($B809,AssetCategories!$A:$E,3,0),"")</f>
        <v/>
      </c>
      <c r="EP809" s="33" t="str">
        <f t="shared" si="25"/>
        <v/>
      </c>
    </row>
    <row r="810" spans="16:146" x14ac:dyDescent="0.25">
      <c r="P810" s="33" t="str" cm="1">
        <f t="array" ref="P810">IFERROR(SUM(VALUE(_xlfn.TEXTSPLIT(O810, ";"))), "")</f>
        <v/>
      </c>
      <c r="DO810" t="str">
        <f t="shared" si="24"/>
        <v/>
      </c>
      <c r="EG810" s="33" t="str">
        <f>IF(NOT(ISBLANK($B810)),VLOOKUP($B810,AssetCategories!$A:$E,5,0),"")</f>
        <v/>
      </c>
      <c r="EH810" t="str">
        <f>IF(NOT(ISBLANK($B810)),VLOOKUP($B810,AssetCategories!$A:$E,4,0),"")</f>
        <v/>
      </c>
      <c r="EM810" t="str">
        <f>IF(NOT(ISBLANK($B810)),VLOOKUP($B810,AssetCategories!$A:$E,2,0),"")</f>
        <v/>
      </c>
      <c r="EN810" t="str">
        <f>IF(NOT(ISBLANK($B810)),VLOOKUP($B810,AssetCategories!$A:$E,3,0),"")</f>
        <v/>
      </c>
      <c r="EP810" s="33" t="str">
        <f t="shared" si="25"/>
        <v/>
      </c>
    </row>
    <row r="811" spans="16:146" x14ac:dyDescent="0.25">
      <c r="P811" s="33" t="str" cm="1">
        <f t="array" ref="P811">IFERROR(SUM(VALUE(_xlfn.TEXTSPLIT(O811, ";"))), "")</f>
        <v/>
      </c>
      <c r="DO811" t="str">
        <f t="shared" si="24"/>
        <v/>
      </c>
      <c r="EG811" s="33" t="str">
        <f>IF(NOT(ISBLANK($B811)),VLOOKUP($B811,AssetCategories!$A:$E,5,0),"")</f>
        <v/>
      </c>
      <c r="EH811" t="str">
        <f>IF(NOT(ISBLANK($B811)),VLOOKUP($B811,AssetCategories!$A:$E,4,0),"")</f>
        <v/>
      </c>
      <c r="EM811" t="str">
        <f>IF(NOT(ISBLANK($B811)),VLOOKUP($B811,AssetCategories!$A:$E,2,0),"")</f>
        <v/>
      </c>
      <c r="EN811" t="str">
        <f>IF(NOT(ISBLANK($B811)),VLOOKUP($B811,AssetCategories!$A:$E,3,0),"")</f>
        <v/>
      </c>
      <c r="EP811" s="33" t="str">
        <f t="shared" si="25"/>
        <v/>
      </c>
    </row>
    <row r="812" spans="16:146" x14ac:dyDescent="0.25">
      <c r="P812" s="33" t="str" cm="1">
        <f t="array" ref="P812">IFERROR(SUM(VALUE(_xlfn.TEXTSPLIT(O812, ";"))), "")</f>
        <v/>
      </c>
      <c r="DO812" t="str">
        <f t="shared" si="24"/>
        <v/>
      </c>
      <c r="EG812" s="33" t="str">
        <f>IF(NOT(ISBLANK($B812)),VLOOKUP($B812,AssetCategories!$A:$E,5,0),"")</f>
        <v/>
      </c>
      <c r="EH812" t="str">
        <f>IF(NOT(ISBLANK($B812)),VLOOKUP($B812,AssetCategories!$A:$E,4,0),"")</f>
        <v/>
      </c>
      <c r="EM812" t="str">
        <f>IF(NOT(ISBLANK($B812)),VLOOKUP($B812,AssetCategories!$A:$E,2,0),"")</f>
        <v/>
      </c>
      <c r="EN812" t="str">
        <f>IF(NOT(ISBLANK($B812)),VLOOKUP($B812,AssetCategories!$A:$E,3,0),"")</f>
        <v/>
      </c>
      <c r="EP812" s="33" t="str">
        <f t="shared" si="25"/>
        <v/>
      </c>
    </row>
    <row r="813" spans="16:146" x14ac:dyDescent="0.25">
      <c r="P813" s="33" t="str" cm="1">
        <f t="array" ref="P813">IFERROR(SUM(VALUE(_xlfn.TEXTSPLIT(O813, ";"))), "")</f>
        <v/>
      </c>
      <c r="DO813" t="str">
        <f t="shared" si="24"/>
        <v/>
      </c>
      <c r="EG813" s="33" t="str">
        <f>IF(NOT(ISBLANK($B813)),VLOOKUP($B813,AssetCategories!$A:$E,5,0),"")</f>
        <v/>
      </c>
      <c r="EH813" t="str">
        <f>IF(NOT(ISBLANK($B813)),VLOOKUP($B813,AssetCategories!$A:$E,4,0),"")</f>
        <v/>
      </c>
      <c r="EM813" t="str">
        <f>IF(NOT(ISBLANK($B813)),VLOOKUP($B813,AssetCategories!$A:$E,2,0),"")</f>
        <v/>
      </c>
      <c r="EN813" t="str">
        <f>IF(NOT(ISBLANK($B813)),VLOOKUP($B813,AssetCategories!$A:$E,3,0),"")</f>
        <v/>
      </c>
      <c r="EP813" s="33" t="str">
        <f t="shared" si="25"/>
        <v/>
      </c>
    </row>
    <row r="814" spans="16:146" x14ac:dyDescent="0.25">
      <c r="P814" s="33" t="str" cm="1">
        <f t="array" ref="P814">IFERROR(SUM(VALUE(_xlfn.TEXTSPLIT(O814, ";"))), "")</f>
        <v/>
      </c>
      <c r="DO814" t="str">
        <f t="shared" si="24"/>
        <v/>
      </c>
      <c r="EG814" s="33" t="str">
        <f>IF(NOT(ISBLANK($B814)),VLOOKUP($B814,AssetCategories!$A:$E,5,0),"")</f>
        <v/>
      </c>
      <c r="EH814" t="str">
        <f>IF(NOT(ISBLANK($B814)),VLOOKUP($B814,AssetCategories!$A:$E,4,0),"")</f>
        <v/>
      </c>
      <c r="EM814" t="str">
        <f>IF(NOT(ISBLANK($B814)),VLOOKUP($B814,AssetCategories!$A:$E,2,0),"")</f>
        <v/>
      </c>
      <c r="EN814" t="str">
        <f>IF(NOT(ISBLANK($B814)),VLOOKUP($B814,AssetCategories!$A:$E,3,0),"")</f>
        <v/>
      </c>
      <c r="EP814" s="33" t="str">
        <f t="shared" si="25"/>
        <v/>
      </c>
    </row>
    <row r="815" spans="16:146" x14ac:dyDescent="0.25">
      <c r="P815" s="33" t="str" cm="1">
        <f t="array" ref="P815">IFERROR(SUM(VALUE(_xlfn.TEXTSPLIT(O815, ";"))), "")</f>
        <v/>
      </c>
      <c r="DO815" t="str">
        <f t="shared" si="24"/>
        <v/>
      </c>
      <c r="EG815" s="33" t="str">
        <f>IF(NOT(ISBLANK($B815)),VLOOKUP($B815,AssetCategories!$A:$E,5,0),"")</f>
        <v/>
      </c>
      <c r="EH815" t="str">
        <f>IF(NOT(ISBLANK($B815)),VLOOKUP($B815,AssetCategories!$A:$E,4,0),"")</f>
        <v/>
      </c>
      <c r="EM815" t="str">
        <f>IF(NOT(ISBLANK($B815)),VLOOKUP($B815,AssetCategories!$A:$E,2,0),"")</f>
        <v/>
      </c>
      <c r="EN815" t="str">
        <f>IF(NOT(ISBLANK($B815)),VLOOKUP($B815,AssetCategories!$A:$E,3,0),"")</f>
        <v/>
      </c>
      <c r="EP815" s="33" t="str">
        <f t="shared" si="25"/>
        <v/>
      </c>
    </row>
    <row r="816" spans="16:146" x14ac:dyDescent="0.25">
      <c r="P816" s="33" t="str" cm="1">
        <f t="array" ref="P816">IFERROR(SUM(VALUE(_xlfn.TEXTSPLIT(O816, ";"))), "")</f>
        <v/>
      </c>
      <c r="DO816" t="str">
        <f t="shared" si="24"/>
        <v/>
      </c>
      <c r="EG816" s="33" t="str">
        <f>IF(NOT(ISBLANK($B816)),VLOOKUP($B816,AssetCategories!$A:$E,5,0),"")</f>
        <v/>
      </c>
      <c r="EH816" t="str">
        <f>IF(NOT(ISBLANK($B816)),VLOOKUP($B816,AssetCategories!$A:$E,4,0),"")</f>
        <v/>
      </c>
      <c r="EM816" t="str">
        <f>IF(NOT(ISBLANK($B816)),VLOOKUP($B816,AssetCategories!$A:$E,2,0),"")</f>
        <v/>
      </c>
      <c r="EN816" t="str">
        <f>IF(NOT(ISBLANK($B816)),VLOOKUP($B816,AssetCategories!$A:$E,3,0),"")</f>
        <v/>
      </c>
      <c r="EP816" s="33" t="str">
        <f t="shared" si="25"/>
        <v/>
      </c>
    </row>
    <row r="817" spans="16:146" x14ac:dyDescent="0.25">
      <c r="P817" s="33" t="str" cm="1">
        <f t="array" ref="P817">IFERROR(SUM(VALUE(_xlfn.TEXTSPLIT(O817, ";"))), "")</f>
        <v/>
      </c>
      <c r="DO817" t="str">
        <f t="shared" si="24"/>
        <v/>
      </c>
      <c r="EG817" s="33" t="str">
        <f>IF(NOT(ISBLANK($B817)),VLOOKUP($B817,AssetCategories!$A:$E,5,0),"")</f>
        <v/>
      </c>
      <c r="EH817" t="str">
        <f>IF(NOT(ISBLANK($B817)),VLOOKUP($B817,AssetCategories!$A:$E,4,0),"")</f>
        <v/>
      </c>
      <c r="EM817" t="str">
        <f>IF(NOT(ISBLANK($B817)),VLOOKUP($B817,AssetCategories!$A:$E,2,0),"")</f>
        <v/>
      </c>
      <c r="EN817" t="str">
        <f>IF(NOT(ISBLANK($B817)),VLOOKUP($B817,AssetCategories!$A:$E,3,0),"")</f>
        <v/>
      </c>
      <c r="EP817" s="33" t="str">
        <f t="shared" si="25"/>
        <v/>
      </c>
    </row>
    <row r="818" spans="16:146" x14ac:dyDescent="0.25">
      <c r="P818" s="33" t="str" cm="1">
        <f t="array" ref="P818">IFERROR(SUM(VALUE(_xlfn.TEXTSPLIT(O818, ";"))), "")</f>
        <v/>
      </c>
      <c r="DO818" t="str">
        <f t="shared" si="24"/>
        <v/>
      </c>
      <c r="EG818" s="33" t="str">
        <f>IF(NOT(ISBLANK($B818)),VLOOKUP($B818,AssetCategories!$A:$E,5,0),"")</f>
        <v/>
      </c>
      <c r="EH818" t="str">
        <f>IF(NOT(ISBLANK($B818)),VLOOKUP($B818,AssetCategories!$A:$E,4,0),"")</f>
        <v/>
      </c>
      <c r="EM818" t="str">
        <f>IF(NOT(ISBLANK($B818)),VLOOKUP($B818,AssetCategories!$A:$E,2,0),"")</f>
        <v/>
      </c>
      <c r="EN818" t="str">
        <f>IF(NOT(ISBLANK($B818)),VLOOKUP($B818,AssetCategories!$A:$E,3,0),"")</f>
        <v/>
      </c>
      <c r="EP818" s="33" t="str">
        <f t="shared" si="25"/>
        <v/>
      </c>
    </row>
    <row r="819" spans="16:146" x14ac:dyDescent="0.25">
      <c r="P819" s="33" t="str" cm="1">
        <f t="array" ref="P819">IFERROR(SUM(VALUE(_xlfn.TEXTSPLIT(O819, ";"))), "")</f>
        <v/>
      </c>
      <c r="DO819" t="str">
        <f t="shared" si="24"/>
        <v/>
      </c>
      <c r="EG819" s="33" t="str">
        <f>IF(NOT(ISBLANK($B819)),VLOOKUP($B819,AssetCategories!$A:$E,5,0),"")</f>
        <v/>
      </c>
      <c r="EH819" t="str">
        <f>IF(NOT(ISBLANK($B819)),VLOOKUP($B819,AssetCategories!$A:$E,4,0),"")</f>
        <v/>
      </c>
      <c r="EM819" t="str">
        <f>IF(NOT(ISBLANK($B819)),VLOOKUP($B819,AssetCategories!$A:$E,2,0),"")</f>
        <v/>
      </c>
      <c r="EN819" t="str">
        <f>IF(NOT(ISBLANK($B819)),VLOOKUP($B819,AssetCategories!$A:$E,3,0),"")</f>
        <v/>
      </c>
      <c r="EP819" s="33" t="str">
        <f t="shared" si="25"/>
        <v/>
      </c>
    </row>
    <row r="820" spans="16:146" x14ac:dyDescent="0.25">
      <c r="P820" s="33" t="str" cm="1">
        <f t="array" ref="P820">IFERROR(SUM(VALUE(_xlfn.TEXTSPLIT(O820, ";"))), "")</f>
        <v/>
      </c>
      <c r="DO820" t="str">
        <f t="shared" si="24"/>
        <v/>
      </c>
      <c r="EG820" s="33" t="str">
        <f>IF(NOT(ISBLANK($B820)),VLOOKUP($B820,AssetCategories!$A:$E,5,0),"")</f>
        <v/>
      </c>
      <c r="EH820" t="str">
        <f>IF(NOT(ISBLANK($B820)),VLOOKUP($B820,AssetCategories!$A:$E,4,0),"")</f>
        <v/>
      </c>
      <c r="EM820" t="str">
        <f>IF(NOT(ISBLANK($B820)),VLOOKUP($B820,AssetCategories!$A:$E,2,0),"")</f>
        <v/>
      </c>
      <c r="EN820" t="str">
        <f>IF(NOT(ISBLANK($B820)),VLOOKUP($B820,AssetCategories!$A:$E,3,0),"")</f>
        <v/>
      </c>
      <c r="EP820" s="33" t="str">
        <f t="shared" si="25"/>
        <v/>
      </c>
    </row>
    <row r="821" spans="16:146" x14ac:dyDescent="0.25">
      <c r="P821" s="33" t="str" cm="1">
        <f t="array" ref="P821">IFERROR(SUM(VALUE(_xlfn.TEXTSPLIT(O821, ";"))), "")</f>
        <v/>
      </c>
      <c r="DO821" t="str">
        <f t="shared" si="24"/>
        <v/>
      </c>
      <c r="EG821" s="33" t="str">
        <f>IF(NOT(ISBLANK($B821)),VLOOKUP($B821,AssetCategories!$A:$E,5,0),"")</f>
        <v/>
      </c>
      <c r="EH821" t="str">
        <f>IF(NOT(ISBLANK($B821)),VLOOKUP($B821,AssetCategories!$A:$E,4,0),"")</f>
        <v/>
      </c>
      <c r="EM821" t="str">
        <f>IF(NOT(ISBLANK($B821)),VLOOKUP($B821,AssetCategories!$A:$E,2,0),"")</f>
        <v/>
      </c>
      <c r="EN821" t="str">
        <f>IF(NOT(ISBLANK($B821)),VLOOKUP($B821,AssetCategories!$A:$E,3,0),"")</f>
        <v/>
      </c>
      <c r="EP821" s="33" t="str">
        <f t="shared" si="25"/>
        <v/>
      </c>
    </row>
    <row r="822" spans="16:146" x14ac:dyDescent="0.25">
      <c r="P822" s="33" t="str" cm="1">
        <f t="array" ref="P822">IFERROR(SUM(VALUE(_xlfn.TEXTSPLIT(O822, ";"))), "")</f>
        <v/>
      </c>
      <c r="DO822" t="str">
        <f t="shared" si="24"/>
        <v/>
      </c>
      <c r="EG822" s="33" t="str">
        <f>IF(NOT(ISBLANK($B822)),VLOOKUP($B822,AssetCategories!$A:$E,5,0),"")</f>
        <v/>
      </c>
      <c r="EH822" t="str">
        <f>IF(NOT(ISBLANK($B822)),VLOOKUP($B822,AssetCategories!$A:$E,4,0),"")</f>
        <v/>
      </c>
      <c r="EM822" t="str">
        <f>IF(NOT(ISBLANK($B822)),VLOOKUP($B822,AssetCategories!$A:$E,2,0),"")</f>
        <v/>
      </c>
      <c r="EN822" t="str">
        <f>IF(NOT(ISBLANK($B822)),VLOOKUP($B822,AssetCategories!$A:$E,3,0),"")</f>
        <v/>
      </c>
      <c r="EP822" s="33" t="str">
        <f t="shared" si="25"/>
        <v/>
      </c>
    </row>
    <row r="823" spans="16:146" x14ac:dyDescent="0.25">
      <c r="P823" s="33" t="str" cm="1">
        <f t="array" ref="P823">IFERROR(SUM(VALUE(_xlfn.TEXTSPLIT(O823, ";"))), "")</f>
        <v/>
      </c>
      <c r="DO823" t="str">
        <f t="shared" si="24"/>
        <v/>
      </c>
      <c r="EG823" s="33" t="str">
        <f>IF(NOT(ISBLANK($B823)),VLOOKUP($B823,AssetCategories!$A:$E,5,0),"")</f>
        <v/>
      </c>
      <c r="EH823" t="str">
        <f>IF(NOT(ISBLANK($B823)),VLOOKUP($B823,AssetCategories!$A:$E,4,0),"")</f>
        <v/>
      </c>
      <c r="EM823" t="str">
        <f>IF(NOT(ISBLANK($B823)),VLOOKUP($B823,AssetCategories!$A:$E,2,0),"")</f>
        <v/>
      </c>
      <c r="EN823" t="str">
        <f>IF(NOT(ISBLANK($B823)),VLOOKUP($B823,AssetCategories!$A:$E,3,0),"")</f>
        <v/>
      </c>
      <c r="EP823" s="33" t="str">
        <f t="shared" si="25"/>
        <v/>
      </c>
    </row>
    <row r="824" spans="16:146" x14ac:dyDescent="0.25">
      <c r="P824" s="33" t="str" cm="1">
        <f t="array" ref="P824">IFERROR(SUM(VALUE(_xlfn.TEXTSPLIT(O824, ";"))), "")</f>
        <v/>
      </c>
      <c r="DO824" t="str">
        <f t="shared" si="24"/>
        <v/>
      </c>
      <c r="EG824" s="33" t="str">
        <f>IF(NOT(ISBLANK($B824)),VLOOKUP($B824,AssetCategories!$A:$E,5,0),"")</f>
        <v/>
      </c>
      <c r="EH824" t="str">
        <f>IF(NOT(ISBLANK($B824)),VLOOKUP($B824,AssetCategories!$A:$E,4,0),"")</f>
        <v/>
      </c>
      <c r="EM824" t="str">
        <f>IF(NOT(ISBLANK($B824)),VLOOKUP($B824,AssetCategories!$A:$E,2,0),"")</f>
        <v/>
      </c>
      <c r="EN824" t="str">
        <f>IF(NOT(ISBLANK($B824)),VLOOKUP($B824,AssetCategories!$A:$E,3,0),"")</f>
        <v/>
      </c>
      <c r="EP824" s="33" t="str">
        <f t="shared" si="25"/>
        <v/>
      </c>
    </row>
    <row r="825" spans="16:146" x14ac:dyDescent="0.25">
      <c r="P825" s="33" t="str" cm="1">
        <f t="array" ref="P825">IFERROR(SUM(VALUE(_xlfn.TEXTSPLIT(O825, ";"))), "")</f>
        <v/>
      </c>
      <c r="DO825" t="str">
        <f t="shared" si="24"/>
        <v/>
      </c>
      <c r="EG825" s="33" t="str">
        <f>IF(NOT(ISBLANK($B825)),VLOOKUP($B825,AssetCategories!$A:$E,5,0),"")</f>
        <v/>
      </c>
      <c r="EH825" t="str">
        <f>IF(NOT(ISBLANK($B825)),VLOOKUP($B825,AssetCategories!$A:$E,4,0),"")</f>
        <v/>
      </c>
      <c r="EM825" t="str">
        <f>IF(NOT(ISBLANK($B825)),VLOOKUP($B825,AssetCategories!$A:$E,2,0),"")</f>
        <v/>
      </c>
      <c r="EN825" t="str">
        <f>IF(NOT(ISBLANK($B825)),VLOOKUP($B825,AssetCategories!$A:$E,3,0),"")</f>
        <v/>
      </c>
      <c r="EP825" s="33" t="str">
        <f t="shared" si="25"/>
        <v/>
      </c>
    </row>
    <row r="826" spans="16:146" x14ac:dyDescent="0.25">
      <c r="P826" s="33" t="str" cm="1">
        <f t="array" ref="P826">IFERROR(SUM(VALUE(_xlfn.TEXTSPLIT(O826, ";"))), "")</f>
        <v/>
      </c>
      <c r="DO826" t="str">
        <f t="shared" si="24"/>
        <v/>
      </c>
      <c r="EG826" s="33" t="str">
        <f>IF(NOT(ISBLANK($B826)),VLOOKUP($B826,AssetCategories!$A:$E,5,0),"")</f>
        <v/>
      </c>
      <c r="EH826" t="str">
        <f>IF(NOT(ISBLANK($B826)),VLOOKUP($B826,AssetCategories!$A:$E,4,0),"")</f>
        <v/>
      </c>
      <c r="EM826" t="str">
        <f>IF(NOT(ISBLANK($B826)),VLOOKUP($B826,AssetCategories!$A:$E,2,0),"")</f>
        <v/>
      </c>
      <c r="EN826" t="str">
        <f>IF(NOT(ISBLANK($B826)),VLOOKUP($B826,AssetCategories!$A:$E,3,0),"")</f>
        <v/>
      </c>
      <c r="EP826" s="33" t="str">
        <f t="shared" si="25"/>
        <v/>
      </c>
    </row>
    <row r="827" spans="16:146" x14ac:dyDescent="0.25">
      <c r="P827" s="33" t="str" cm="1">
        <f t="array" ref="P827">IFERROR(SUM(VALUE(_xlfn.TEXTSPLIT(O827, ";"))), "")</f>
        <v/>
      </c>
      <c r="DO827" t="str">
        <f t="shared" si="24"/>
        <v/>
      </c>
      <c r="EG827" s="33" t="str">
        <f>IF(NOT(ISBLANK($B827)),VLOOKUP($B827,AssetCategories!$A:$E,5,0),"")</f>
        <v/>
      </c>
      <c r="EH827" t="str">
        <f>IF(NOT(ISBLANK($B827)),VLOOKUP($B827,AssetCategories!$A:$E,4,0),"")</f>
        <v/>
      </c>
      <c r="EM827" t="str">
        <f>IF(NOT(ISBLANK($B827)),VLOOKUP($B827,AssetCategories!$A:$E,2,0),"")</f>
        <v/>
      </c>
      <c r="EN827" t="str">
        <f>IF(NOT(ISBLANK($B827)),VLOOKUP($B827,AssetCategories!$A:$E,3,0),"")</f>
        <v/>
      </c>
      <c r="EP827" s="33" t="str">
        <f t="shared" si="25"/>
        <v/>
      </c>
    </row>
    <row r="828" spans="16:146" x14ac:dyDescent="0.25">
      <c r="P828" s="33" t="str" cm="1">
        <f t="array" ref="P828">IFERROR(SUM(VALUE(_xlfn.TEXTSPLIT(O828, ";"))), "")</f>
        <v/>
      </c>
      <c r="DO828" t="str">
        <f t="shared" si="24"/>
        <v/>
      </c>
      <c r="EG828" s="33" t="str">
        <f>IF(NOT(ISBLANK($B828)),VLOOKUP($B828,AssetCategories!$A:$E,5,0),"")</f>
        <v/>
      </c>
      <c r="EH828" t="str">
        <f>IF(NOT(ISBLANK($B828)),VLOOKUP($B828,AssetCategories!$A:$E,4,0),"")</f>
        <v/>
      </c>
      <c r="EM828" t="str">
        <f>IF(NOT(ISBLANK($B828)),VLOOKUP($B828,AssetCategories!$A:$E,2,0),"")</f>
        <v/>
      </c>
      <c r="EN828" t="str">
        <f>IF(NOT(ISBLANK($B828)),VLOOKUP($B828,AssetCategories!$A:$E,3,0),"")</f>
        <v/>
      </c>
      <c r="EP828" s="33" t="str">
        <f t="shared" si="25"/>
        <v/>
      </c>
    </row>
    <row r="829" spans="16:146" x14ac:dyDescent="0.25">
      <c r="P829" s="33" t="str" cm="1">
        <f t="array" ref="P829">IFERROR(SUM(VALUE(_xlfn.TEXTSPLIT(O829, ";"))), "")</f>
        <v/>
      </c>
      <c r="DO829" t="str">
        <f t="shared" si="24"/>
        <v/>
      </c>
      <c r="EG829" s="33" t="str">
        <f>IF(NOT(ISBLANK($B829)),VLOOKUP($B829,AssetCategories!$A:$E,5,0),"")</f>
        <v/>
      </c>
      <c r="EH829" t="str">
        <f>IF(NOT(ISBLANK($B829)),VLOOKUP($B829,AssetCategories!$A:$E,4,0),"")</f>
        <v/>
      </c>
      <c r="EM829" t="str">
        <f>IF(NOT(ISBLANK($B829)),VLOOKUP($B829,AssetCategories!$A:$E,2,0),"")</f>
        <v/>
      </c>
      <c r="EN829" t="str">
        <f>IF(NOT(ISBLANK($B829)),VLOOKUP($B829,AssetCategories!$A:$E,3,0),"")</f>
        <v/>
      </c>
      <c r="EP829" s="33" t="str">
        <f t="shared" si="25"/>
        <v/>
      </c>
    </row>
    <row r="830" spans="16:146" x14ac:dyDescent="0.25">
      <c r="P830" s="33" t="str" cm="1">
        <f t="array" ref="P830">IFERROR(SUM(VALUE(_xlfn.TEXTSPLIT(O830, ";"))), "")</f>
        <v/>
      </c>
      <c r="DO830" t="str">
        <f t="shared" si="24"/>
        <v/>
      </c>
      <c r="EG830" s="33" t="str">
        <f>IF(NOT(ISBLANK($B830)),VLOOKUP($B830,AssetCategories!$A:$E,5,0),"")</f>
        <v/>
      </c>
      <c r="EH830" t="str">
        <f>IF(NOT(ISBLANK($B830)),VLOOKUP($B830,AssetCategories!$A:$E,4,0),"")</f>
        <v/>
      </c>
      <c r="EM830" t="str">
        <f>IF(NOT(ISBLANK($B830)),VLOOKUP($B830,AssetCategories!$A:$E,2,0),"")</f>
        <v/>
      </c>
      <c r="EN830" t="str">
        <f>IF(NOT(ISBLANK($B830)),VLOOKUP($B830,AssetCategories!$A:$E,3,0),"")</f>
        <v/>
      </c>
      <c r="EP830" s="33" t="str">
        <f t="shared" si="25"/>
        <v/>
      </c>
    </row>
    <row r="831" spans="16:146" x14ac:dyDescent="0.25">
      <c r="P831" s="33" t="str" cm="1">
        <f t="array" ref="P831">IFERROR(SUM(VALUE(_xlfn.TEXTSPLIT(O831, ";"))), "")</f>
        <v/>
      </c>
      <c r="DO831" t="str">
        <f t="shared" si="24"/>
        <v/>
      </c>
      <c r="EG831" s="33" t="str">
        <f>IF(NOT(ISBLANK($B831)),VLOOKUP($B831,AssetCategories!$A:$E,5,0),"")</f>
        <v/>
      </c>
      <c r="EH831" t="str">
        <f>IF(NOT(ISBLANK($B831)),VLOOKUP($B831,AssetCategories!$A:$E,4,0),"")</f>
        <v/>
      </c>
      <c r="EM831" t="str">
        <f>IF(NOT(ISBLANK($B831)),VLOOKUP($B831,AssetCategories!$A:$E,2,0),"")</f>
        <v/>
      </c>
      <c r="EN831" t="str">
        <f>IF(NOT(ISBLANK($B831)),VLOOKUP($B831,AssetCategories!$A:$E,3,0),"")</f>
        <v/>
      </c>
      <c r="EP831" s="33" t="str">
        <f t="shared" si="25"/>
        <v/>
      </c>
    </row>
    <row r="832" spans="16:146" x14ac:dyDescent="0.25">
      <c r="P832" s="33" t="str" cm="1">
        <f t="array" ref="P832">IFERROR(SUM(VALUE(_xlfn.TEXTSPLIT(O832, ";"))), "")</f>
        <v/>
      </c>
      <c r="DO832" t="str">
        <f t="shared" si="24"/>
        <v/>
      </c>
      <c r="EG832" s="33" t="str">
        <f>IF(NOT(ISBLANK($B832)),VLOOKUP($B832,AssetCategories!$A:$E,5,0),"")</f>
        <v/>
      </c>
      <c r="EH832" t="str">
        <f>IF(NOT(ISBLANK($B832)),VLOOKUP($B832,AssetCategories!$A:$E,4,0),"")</f>
        <v/>
      </c>
      <c r="EM832" t="str">
        <f>IF(NOT(ISBLANK($B832)),VLOOKUP($B832,AssetCategories!$A:$E,2,0),"")</f>
        <v/>
      </c>
      <c r="EN832" t="str">
        <f>IF(NOT(ISBLANK($B832)),VLOOKUP($B832,AssetCategories!$A:$E,3,0),"")</f>
        <v/>
      </c>
      <c r="EP832" s="33" t="str">
        <f t="shared" si="25"/>
        <v/>
      </c>
    </row>
    <row r="833" spans="16:146" x14ac:dyDescent="0.25">
      <c r="P833" s="33" t="str" cm="1">
        <f t="array" ref="P833">IFERROR(SUM(VALUE(_xlfn.TEXTSPLIT(O833, ";"))), "")</f>
        <v/>
      </c>
      <c r="DO833" t="str">
        <f t="shared" si="24"/>
        <v/>
      </c>
      <c r="EG833" s="33" t="str">
        <f>IF(NOT(ISBLANK($B833)),VLOOKUP($B833,AssetCategories!$A:$E,5,0),"")</f>
        <v/>
      </c>
      <c r="EH833" t="str">
        <f>IF(NOT(ISBLANK($B833)),VLOOKUP($B833,AssetCategories!$A:$E,4,0),"")</f>
        <v/>
      </c>
      <c r="EM833" t="str">
        <f>IF(NOT(ISBLANK($B833)),VLOOKUP($B833,AssetCategories!$A:$E,2,0),"")</f>
        <v/>
      </c>
      <c r="EN833" t="str">
        <f>IF(NOT(ISBLANK($B833)),VLOOKUP($B833,AssetCategories!$A:$E,3,0),"")</f>
        <v/>
      </c>
      <c r="EP833" s="33" t="str">
        <f t="shared" si="25"/>
        <v/>
      </c>
    </row>
    <row r="834" spans="16:146" x14ac:dyDescent="0.25">
      <c r="P834" s="33" t="str" cm="1">
        <f t="array" ref="P834">IFERROR(SUM(VALUE(_xlfn.TEXTSPLIT(O834, ";"))), "")</f>
        <v/>
      </c>
      <c r="DO834" t="str">
        <f t="shared" si="24"/>
        <v/>
      </c>
      <c r="EG834" s="33" t="str">
        <f>IF(NOT(ISBLANK($B834)),VLOOKUP($B834,AssetCategories!$A:$E,5,0),"")</f>
        <v/>
      </c>
      <c r="EH834" t="str">
        <f>IF(NOT(ISBLANK($B834)),VLOOKUP($B834,AssetCategories!$A:$E,4,0),"")</f>
        <v/>
      </c>
      <c r="EM834" t="str">
        <f>IF(NOT(ISBLANK($B834)),VLOOKUP($B834,AssetCategories!$A:$E,2,0),"")</f>
        <v/>
      </c>
      <c r="EN834" t="str">
        <f>IF(NOT(ISBLANK($B834)),VLOOKUP($B834,AssetCategories!$A:$E,3,0),"")</f>
        <v/>
      </c>
      <c r="EP834" s="33" t="str">
        <f t="shared" si="25"/>
        <v/>
      </c>
    </row>
    <row r="835" spans="16:146" x14ac:dyDescent="0.25">
      <c r="P835" s="33" t="str" cm="1">
        <f t="array" ref="P835">IFERROR(SUM(VALUE(_xlfn.TEXTSPLIT(O835, ";"))), "")</f>
        <v/>
      </c>
      <c r="DO835" t="str">
        <f t="shared" si="24"/>
        <v/>
      </c>
      <c r="EG835" s="33" t="str">
        <f>IF(NOT(ISBLANK($B835)),VLOOKUP($B835,AssetCategories!$A:$E,5,0),"")</f>
        <v/>
      </c>
      <c r="EH835" t="str">
        <f>IF(NOT(ISBLANK($B835)),VLOOKUP($B835,AssetCategories!$A:$E,4,0),"")</f>
        <v/>
      </c>
      <c r="EM835" t="str">
        <f>IF(NOT(ISBLANK($B835)),VLOOKUP($B835,AssetCategories!$A:$E,2,0),"")</f>
        <v/>
      </c>
      <c r="EN835" t="str">
        <f>IF(NOT(ISBLANK($B835)),VLOOKUP($B835,AssetCategories!$A:$E,3,0),"")</f>
        <v/>
      </c>
      <c r="EP835" s="33" t="str">
        <f t="shared" si="25"/>
        <v/>
      </c>
    </row>
    <row r="836" spans="16:146" x14ac:dyDescent="0.25">
      <c r="P836" s="33" t="str" cm="1">
        <f t="array" ref="P836">IFERROR(SUM(VALUE(_xlfn.TEXTSPLIT(O836, ";"))), "")</f>
        <v/>
      </c>
      <c r="DO836" t="str">
        <f t="shared" si="24"/>
        <v/>
      </c>
      <c r="EG836" s="33" t="str">
        <f>IF(NOT(ISBLANK($B836)),VLOOKUP($B836,AssetCategories!$A:$E,5,0),"")</f>
        <v/>
      </c>
      <c r="EH836" t="str">
        <f>IF(NOT(ISBLANK($B836)),VLOOKUP($B836,AssetCategories!$A:$E,4,0),"")</f>
        <v/>
      </c>
      <c r="EM836" t="str">
        <f>IF(NOT(ISBLANK($B836)),VLOOKUP($B836,AssetCategories!$A:$E,2,0),"")</f>
        <v/>
      </c>
      <c r="EN836" t="str">
        <f>IF(NOT(ISBLANK($B836)),VLOOKUP($B836,AssetCategories!$A:$E,3,0),"")</f>
        <v/>
      </c>
      <c r="EP836" s="33" t="str">
        <f t="shared" si="25"/>
        <v/>
      </c>
    </row>
    <row r="837" spans="16:146" x14ac:dyDescent="0.25">
      <c r="P837" s="33" t="str" cm="1">
        <f t="array" ref="P837">IFERROR(SUM(VALUE(_xlfn.TEXTSPLIT(O837, ";"))), "")</f>
        <v/>
      </c>
      <c r="DO837" t="str">
        <f t="shared" ref="DO837:DO900" si="26">IF(SUM(DE837:DN837)=0, "", SUM(DE837:DN837))</f>
        <v/>
      </c>
      <c r="EG837" s="33" t="str">
        <f>IF(NOT(ISBLANK($B837)),VLOOKUP($B837,AssetCategories!$A:$E,5,0),"")</f>
        <v/>
      </c>
      <c r="EH837" t="str">
        <f>IF(NOT(ISBLANK($B837)),VLOOKUP($B837,AssetCategories!$A:$E,4,0),"")</f>
        <v/>
      </c>
      <c r="EM837" t="str">
        <f>IF(NOT(ISBLANK($B837)),VLOOKUP($B837,AssetCategories!$A:$E,2,0),"")</f>
        <v/>
      </c>
      <c r="EN837" t="str">
        <f>IF(NOT(ISBLANK($B837)),VLOOKUP($B837,AssetCategories!$A:$E,3,0),"")</f>
        <v/>
      </c>
      <c r="EP837" s="33" t="str">
        <f t="shared" ref="EP837:EP900" si="27">IFERROR(P837-EO837, "")</f>
        <v/>
      </c>
    </row>
    <row r="838" spans="16:146" x14ac:dyDescent="0.25">
      <c r="P838" s="33" t="str" cm="1">
        <f t="array" ref="P838">IFERROR(SUM(VALUE(_xlfn.TEXTSPLIT(O838, ";"))), "")</f>
        <v/>
      </c>
      <c r="DO838" t="str">
        <f t="shared" si="26"/>
        <v/>
      </c>
      <c r="EG838" s="33" t="str">
        <f>IF(NOT(ISBLANK($B838)),VLOOKUP($B838,AssetCategories!$A:$E,5,0),"")</f>
        <v/>
      </c>
      <c r="EH838" t="str">
        <f>IF(NOT(ISBLANK($B838)),VLOOKUP($B838,AssetCategories!$A:$E,4,0),"")</f>
        <v/>
      </c>
      <c r="EM838" t="str">
        <f>IF(NOT(ISBLANK($B838)),VLOOKUP($B838,AssetCategories!$A:$E,2,0),"")</f>
        <v/>
      </c>
      <c r="EN838" t="str">
        <f>IF(NOT(ISBLANK($B838)),VLOOKUP($B838,AssetCategories!$A:$E,3,0),"")</f>
        <v/>
      </c>
      <c r="EP838" s="33" t="str">
        <f t="shared" si="27"/>
        <v/>
      </c>
    </row>
    <row r="839" spans="16:146" x14ac:dyDescent="0.25">
      <c r="P839" s="33" t="str" cm="1">
        <f t="array" ref="P839">IFERROR(SUM(VALUE(_xlfn.TEXTSPLIT(O839, ";"))), "")</f>
        <v/>
      </c>
      <c r="DO839" t="str">
        <f t="shared" si="26"/>
        <v/>
      </c>
      <c r="EG839" s="33" t="str">
        <f>IF(NOT(ISBLANK($B839)),VLOOKUP($B839,AssetCategories!$A:$E,5,0),"")</f>
        <v/>
      </c>
      <c r="EH839" t="str">
        <f>IF(NOT(ISBLANK($B839)),VLOOKUP($B839,AssetCategories!$A:$E,4,0),"")</f>
        <v/>
      </c>
      <c r="EM839" t="str">
        <f>IF(NOT(ISBLANK($B839)),VLOOKUP($B839,AssetCategories!$A:$E,2,0),"")</f>
        <v/>
      </c>
      <c r="EN839" t="str">
        <f>IF(NOT(ISBLANK($B839)),VLOOKUP($B839,AssetCategories!$A:$E,3,0),"")</f>
        <v/>
      </c>
      <c r="EP839" s="33" t="str">
        <f t="shared" si="27"/>
        <v/>
      </c>
    </row>
    <row r="840" spans="16:146" x14ac:dyDescent="0.25">
      <c r="P840" s="33" t="str" cm="1">
        <f t="array" ref="P840">IFERROR(SUM(VALUE(_xlfn.TEXTSPLIT(O840, ";"))), "")</f>
        <v/>
      </c>
      <c r="DO840" t="str">
        <f t="shared" si="26"/>
        <v/>
      </c>
      <c r="EG840" s="33" t="str">
        <f>IF(NOT(ISBLANK($B840)),VLOOKUP($B840,AssetCategories!$A:$E,5,0),"")</f>
        <v/>
      </c>
      <c r="EH840" t="str">
        <f>IF(NOT(ISBLANK($B840)),VLOOKUP($B840,AssetCategories!$A:$E,4,0),"")</f>
        <v/>
      </c>
      <c r="EM840" t="str">
        <f>IF(NOT(ISBLANK($B840)),VLOOKUP($B840,AssetCategories!$A:$E,2,0),"")</f>
        <v/>
      </c>
      <c r="EN840" t="str">
        <f>IF(NOT(ISBLANK($B840)),VLOOKUP($B840,AssetCategories!$A:$E,3,0),"")</f>
        <v/>
      </c>
      <c r="EP840" s="33" t="str">
        <f t="shared" si="27"/>
        <v/>
      </c>
    </row>
    <row r="841" spans="16:146" x14ac:dyDescent="0.25">
      <c r="P841" s="33" t="str" cm="1">
        <f t="array" ref="P841">IFERROR(SUM(VALUE(_xlfn.TEXTSPLIT(O841, ";"))), "")</f>
        <v/>
      </c>
      <c r="DO841" t="str">
        <f t="shared" si="26"/>
        <v/>
      </c>
      <c r="EG841" s="33" t="str">
        <f>IF(NOT(ISBLANK($B841)),VLOOKUP($B841,AssetCategories!$A:$E,5,0),"")</f>
        <v/>
      </c>
      <c r="EH841" t="str">
        <f>IF(NOT(ISBLANK($B841)),VLOOKUP($B841,AssetCategories!$A:$E,4,0),"")</f>
        <v/>
      </c>
      <c r="EM841" t="str">
        <f>IF(NOT(ISBLANK($B841)),VLOOKUP($B841,AssetCategories!$A:$E,2,0),"")</f>
        <v/>
      </c>
      <c r="EN841" t="str">
        <f>IF(NOT(ISBLANK($B841)),VLOOKUP($B841,AssetCategories!$A:$E,3,0),"")</f>
        <v/>
      </c>
      <c r="EP841" s="33" t="str">
        <f t="shared" si="27"/>
        <v/>
      </c>
    </row>
    <row r="842" spans="16:146" x14ac:dyDescent="0.25">
      <c r="P842" s="33" t="str" cm="1">
        <f t="array" ref="P842">IFERROR(SUM(VALUE(_xlfn.TEXTSPLIT(O842, ";"))), "")</f>
        <v/>
      </c>
      <c r="DO842" t="str">
        <f t="shared" si="26"/>
        <v/>
      </c>
      <c r="EG842" s="33" t="str">
        <f>IF(NOT(ISBLANK($B842)),VLOOKUP($B842,AssetCategories!$A:$E,5,0),"")</f>
        <v/>
      </c>
      <c r="EH842" t="str">
        <f>IF(NOT(ISBLANK($B842)),VLOOKUP($B842,AssetCategories!$A:$E,4,0),"")</f>
        <v/>
      </c>
      <c r="EM842" t="str">
        <f>IF(NOT(ISBLANK($B842)),VLOOKUP($B842,AssetCategories!$A:$E,2,0),"")</f>
        <v/>
      </c>
      <c r="EN842" t="str">
        <f>IF(NOT(ISBLANK($B842)),VLOOKUP($B842,AssetCategories!$A:$E,3,0),"")</f>
        <v/>
      </c>
      <c r="EP842" s="33" t="str">
        <f t="shared" si="27"/>
        <v/>
      </c>
    </row>
    <row r="843" spans="16:146" x14ac:dyDescent="0.25">
      <c r="P843" s="33" t="str" cm="1">
        <f t="array" ref="P843">IFERROR(SUM(VALUE(_xlfn.TEXTSPLIT(O843, ";"))), "")</f>
        <v/>
      </c>
      <c r="DO843" t="str">
        <f t="shared" si="26"/>
        <v/>
      </c>
      <c r="EG843" s="33" t="str">
        <f>IF(NOT(ISBLANK($B843)),VLOOKUP($B843,AssetCategories!$A:$E,5,0),"")</f>
        <v/>
      </c>
      <c r="EH843" t="str">
        <f>IF(NOT(ISBLANK($B843)),VLOOKUP($B843,AssetCategories!$A:$E,4,0),"")</f>
        <v/>
      </c>
      <c r="EM843" t="str">
        <f>IF(NOT(ISBLANK($B843)),VLOOKUP($B843,AssetCategories!$A:$E,2,0),"")</f>
        <v/>
      </c>
      <c r="EN843" t="str">
        <f>IF(NOT(ISBLANK($B843)),VLOOKUP($B843,AssetCategories!$A:$E,3,0),"")</f>
        <v/>
      </c>
      <c r="EP843" s="33" t="str">
        <f t="shared" si="27"/>
        <v/>
      </c>
    </row>
    <row r="844" spans="16:146" x14ac:dyDescent="0.25">
      <c r="P844" s="33" t="str" cm="1">
        <f t="array" ref="P844">IFERROR(SUM(VALUE(_xlfn.TEXTSPLIT(O844, ";"))), "")</f>
        <v/>
      </c>
      <c r="DO844" t="str">
        <f t="shared" si="26"/>
        <v/>
      </c>
      <c r="EG844" s="33" t="str">
        <f>IF(NOT(ISBLANK($B844)),VLOOKUP($B844,AssetCategories!$A:$E,5,0),"")</f>
        <v/>
      </c>
      <c r="EH844" t="str">
        <f>IF(NOT(ISBLANK($B844)),VLOOKUP($B844,AssetCategories!$A:$E,4,0),"")</f>
        <v/>
      </c>
      <c r="EM844" t="str">
        <f>IF(NOT(ISBLANK($B844)),VLOOKUP($B844,AssetCategories!$A:$E,2,0),"")</f>
        <v/>
      </c>
      <c r="EN844" t="str">
        <f>IF(NOT(ISBLANK($B844)),VLOOKUP($B844,AssetCategories!$A:$E,3,0),"")</f>
        <v/>
      </c>
      <c r="EP844" s="33" t="str">
        <f t="shared" si="27"/>
        <v/>
      </c>
    </row>
    <row r="845" spans="16:146" x14ac:dyDescent="0.25">
      <c r="P845" s="33" t="str" cm="1">
        <f t="array" ref="P845">IFERROR(SUM(VALUE(_xlfn.TEXTSPLIT(O845, ";"))), "")</f>
        <v/>
      </c>
      <c r="DO845" t="str">
        <f t="shared" si="26"/>
        <v/>
      </c>
      <c r="EG845" s="33" t="str">
        <f>IF(NOT(ISBLANK($B845)),VLOOKUP($B845,AssetCategories!$A:$E,5,0),"")</f>
        <v/>
      </c>
      <c r="EH845" t="str">
        <f>IF(NOT(ISBLANK($B845)),VLOOKUP($B845,AssetCategories!$A:$E,4,0),"")</f>
        <v/>
      </c>
      <c r="EM845" t="str">
        <f>IF(NOT(ISBLANK($B845)),VLOOKUP($B845,AssetCategories!$A:$E,2,0),"")</f>
        <v/>
      </c>
      <c r="EN845" t="str">
        <f>IF(NOT(ISBLANK($B845)),VLOOKUP($B845,AssetCategories!$A:$E,3,0),"")</f>
        <v/>
      </c>
      <c r="EP845" s="33" t="str">
        <f t="shared" si="27"/>
        <v/>
      </c>
    </row>
    <row r="846" spans="16:146" x14ac:dyDescent="0.25">
      <c r="P846" s="33" t="str" cm="1">
        <f t="array" ref="P846">IFERROR(SUM(VALUE(_xlfn.TEXTSPLIT(O846, ";"))), "")</f>
        <v/>
      </c>
      <c r="DO846" t="str">
        <f t="shared" si="26"/>
        <v/>
      </c>
      <c r="EG846" s="33" t="str">
        <f>IF(NOT(ISBLANK($B846)),VLOOKUP($B846,AssetCategories!$A:$E,5,0),"")</f>
        <v/>
      </c>
      <c r="EH846" t="str">
        <f>IF(NOT(ISBLANK($B846)),VLOOKUP($B846,AssetCategories!$A:$E,4,0),"")</f>
        <v/>
      </c>
      <c r="EM846" t="str">
        <f>IF(NOT(ISBLANK($B846)),VLOOKUP($B846,AssetCategories!$A:$E,2,0),"")</f>
        <v/>
      </c>
      <c r="EN846" t="str">
        <f>IF(NOT(ISBLANK($B846)),VLOOKUP($B846,AssetCategories!$A:$E,3,0),"")</f>
        <v/>
      </c>
      <c r="EP846" s="33" t="str">
        <f t="shared" si="27"/>
        <v/>
      </c>
    </row>
    <row r="847" spans="16:146" x14ac:dyDescent="0.25">
      <c r="P847" s="33" t="str" cm="1">
        <f t="array" ref="P847">IFERROR(SUM(VALUE(_xlfn.TEXTSPLIT(O847, ";"))), "")</f>
        <v/>
      </c>
      <c r="DO847" t="str">
        <f t="shared" si="26"/>
        <v/>
      </c>
      <c r="EG847" s="33" t="str">
        <f>IF(NOT(ISBLANK($B847)),VLOOKUP($B847,AssetCategories!$A:$E,5,0),"")</f>
        <v/>
      </c>
      <c r="EH847" t="str">
        <f>IF(NOT(ISBLANK($B847)),VLOOKUP($B847,AssetCategories!$A:$E,4,0),"")</f>
        <v/>
      </c>
      <c r="EM847" t="str">
        <f>IF(NOT(ISBLANK($B847)),VLOOKUP($B847,AssetCategories!$A:$E,2,0),"")</f>
        <v/>
      </c>
      <c r="EN847" t="str">
        <f>IF(NOT(ISBLANK($B847)),VLOOKUP($B847,AssetCategories!$A:$E,3,0),"")</f>
        <v/>
      </c>
      <c r="EP847" s="33" t="str">
        <f t="shared" si="27"/>
        <v/>
      </c>
    </row>
    <row r="848" spans="16:146" x14ac:dyDescent="0.25">
      <c r="P848" s="33" t="str" cm="1">
        <f t="array" ref="P848">IFERROR(SUM(VALUE(_xlfn.TEXTSPLIT(O848, ";"))), "")</f>
        <v/>
      </c>
      <c r="DO848" t="str">
        <f t="shared" si="26"/>
        <v/>
      </c>
      <c r="EG848" s="33" t="str">
        <f>IF(NOT(ISBLANK($B848)),VLOOKUP($B848,AssetCategories!$A:$E,5,0),"")</f>
        <v/>
      </c>
      <c r="EH848" t="str">
        <f>IF(NOT(ISBLANK($B848)),VLOOKUP($B848,AssetCategories!$A:$E,4,0),"")</f>
        <v/>
      </c>
      <c r="EM848" t="str">
        <f>IF(NOT(ISBLANK($B848)),VLOOKUP($B848,AssetCategories!$A:$E,2,0),"")</f>
        <v/>
      </c>
      <c r="EN848" t="str">
        <f>IF(NOT(ISBLANK($B848)),VLOOKUP($B848,AssetCategories!$A:$E,3,0),"")</f>
        <v/>
      </c>
      <c r="EP848" s="33" t="str">
        <f t="shared" si="27"/>
        <v/>
      </c>
    </row>
    <row r="849" spans="16:146" x14ac:dyDescent="0.25">
      <c r="P849" s="33" t="str" cm="1">
        <f t="array" ref="P849">IFERROR(SUM(VALUE(_xlfn.TEXTSPLIT(O849, ";"))), "")</f>
        <v/>
      </c>
      <c r="DO849" t="str">
        <f t="shared" si="26"/>
        <v/>
      </c>
      <c r="EG849" s="33" t="str">
        <f>IF(NOT(ISBLANK($B849)),VLOOKUP($B849,AssetCategories!$A:$E,5,0),"")</f>
        <v/>
      </c>
      <c r="EH849" t="str">
        <f>IF(NOT(ISBLANK($B849)),VLOOKUP($B849,AssetCategories!$A:$E,4,0),"")</f>
        <v/>
      </c>
      <c r="EM849" t="str">
        <f>IF(NOT(ISBLANK($B849)),VLOOKUP($B849,AssetCategories!$A:$E,2,0),"")</f>
        <v/>
      </c>
      <c r="EN849" t="str">
        <f>IF(NOT(ISBLANK($B849)),VLOOKUP($B849,AssetCategories!$A:$E,3,0),"")</f>
        <v/>
      </c>
      <c r="EP849" s="33" t="str">
        <f t="shared" si="27"/>
        <v/>
      </c>
    </row>
    <row r="850" spans="16:146" x14ac:dyDescent="0.25">
      <c r="P850" s="33" t="str" cm="1">
        <f t="array" ref="P850">IFERROR(SUM(VALUE(_xlfn.TEXTSPLIT(O850, ";"))), "")</f>
        <v/>
      </c>
      <c r="DO850" t="str">
        <f t="shared" si="26"/>
        <v/>
      </c>
      <c r="EG850" s="33" t="str">
        <f>IF(NOT(ISBLANK($B850)),VLOOKUP($B850,AssetCategories!$A:$E,5,0),"")</f>
        <v/>
      </c>
      <c r="EH850" t="str">
        <f>IF(NOT(ISBLANK($B850)),VLOOKUP($B850,AssetCategories!$A:$E,4,0),"")</f>
        <v/>
      </c>
      <c r="EM850" t="str">
        <f>IF(NOT(ISBLANK($B850)),VLOOKUP($B850,AssetCategories!$A:$E,2,0),"")</f>
        <v/>
      </c>
      <c r="EN850" t="str">
        <f>IF(NOT(ISBLANK($B850)),VLOOKUP($B850,AssetCategories!$A:$E,3,0),"")</f>
        <v/>
      </c>
      <c r="EP850" s="33" t="str">
        <f t="shared" si="27"/>
        <v/>
      </c>
    </row>
    <row r="851" spans="16:146" x14ac:dyDescent="0.25">
      <c r="P851" s="33" t="str" cm="1">
        <f t="array" ref="P851">IFERROR(SUM(VALUE(_xlfn.TEXTSPLIT(O851, ";"))), "")</f>
        <v/>
      </c>
      <c r="DO851" t="str">
        <f t="shared" si="26"/>
        <v/>
      </c>
      <c r="EG851" s="33" t="str">
        <f>IF(NOT(ISBLANK($B851)),VLOOKUP($B851,AssetCategories!$A:$E,5,0),"")</f>
        <v/>
      </c>
      <c r="EH851" t="str">
        <f>IF(NOT(ISBLANK($B851)),VLOOKUP($B851,AssetCategories!$A:$E,4,0),"")</f>
        <v/>
      </c>
      <c r="EM851" t="str">
        <f>IF(NOT(ISBLANK($B851)),VLOOKUP($B851,AssetCategories!$A:$E,2,0),"")</f>
        <v/>
      </c>
      <c r="EN851" t="str">
        <f>IF(NOT(ISBLANK($B851)),VLOOKUP($B851,AssetCategories!$A:$E,3,0),"")</f>
        <v/>
      </c>
      <c r="EP851" s="33" t="str">
        <f t="shared" si="27"/>
        <v/>
      </c>
    </row>
    <row r="852" spans="16:146" x14ac:dyDescent="0.25">
      <c r="P852" s="33" t="str" cm="1">
        <f t="array" ref="P852">IFERROR(SUM(VALUE(_xlfn.TEXTSPLIT(O852, ";"))), "")</f>
        <v/>
      </c>
      <c r="DO852" t="str">
        <f t="shared" si="26"/>
        <v/>
      </c>
      <c r="EG852" s="33" t="str">
        <f>IF(NOT(ISBLANK($B852)),VLOOKUP($B852,AssetCategories!$A:$E,5,0),"")</f>
        <v/>
      </c>
      <c r="EH852" t="str">
        <f>IF(NOT(ISBLANK($B852)),VLOOKUP($B852,AssetCategories!$A:$E,4,0),"")</f>
        <v/>
      </c>
      <c r="EM852" t="str">
        <f>IF(NOT(ISBLANK($B852)),VLOOKUP($B852,AssetCategories!$A:$E,2,0),"")</f>
        <v/>
      </c>
      <c r="EN852" t="str">
        <f>IF(NOT(ISBLANK($B852)),VLOOKUP($B852,AssetCategories!$A:$E,3,0),"")</f>
        <v/>
      </c>
      <c r="EP852" s="33" t="str">
        <f t="shared" si="27"/>
        <v/>
      </c>
    </row>
    <row r="853" spans="16:146" x14ac:dyDescent="0.25">
      <c r="P853" s="33" t="str" cm="1">
        <f t="array" ref="P853">IFERROR(SUM(VALUE(_xlfn.TEXTSPLIT(O853, ";"))), "")</f>
        <v/>
      </c>
      <c r="DO853" t="str">
        <f t="shared" si="26"/>
        <v/>
      </c>
      <c r="EG853" s="33" t="str">
        <f>IF(NOT(ISBLANK($B853)),VLOOKUP($B853,AssetCategories!$A:$E,5,0),"")</f>
        <v/>
      </c>
      <c r="EH853" t="str">
        <f>IF(NOT(ISBLANK($B853)),VLOOKUP($B853,AssetCategories!$A:$E,4,0),"")</f>
        <v/>
      </c>
      <c r="EM853" t="str">
        <f>IF(NOT(ISBLANK($B853)),VLOOKUP($B853,AssetCategories!$A:$E,2,0),"")</f>
        <v/>
      </c>
      <c r="EN853" t="str">
        <f>IF(NOT(ISBLANK($B853)),VLOOKUP($B853,AssetCategories!$A:$E,3,0),"")</f>
        <v/>
      </c>
      <c r="EP853" s="33" t="str">
        <f t="shared" si="27"/>
        <v/>
      </c>
    </row>
    <row r="854" spans="16:146" x14ac:dyDescent="0.25">
      <c r="P854" s="33" t="str" cm="1">
        <f t="array" ref="P854">IFERROR(SUM(VALUE(_xlfn.TEXTSPLIT(O854, ";"))), "")</f>
        <v/>
      </c>
      <c r="DO854" t="str">
        <f t="shared" si="26"/>
        <v/>
      </c>
      <c r="EG854" s="33" t="str">
        <f>IF(NOT(ISBLANK($B854)),VLOOKUP($B854,AssetCategories!$A:$E,5,0),"")</f>
        <v/>
      </c>
      <c r="EH854" t="str">
        <f>IF(NOT(ISBLANK($B854)),VLOOKUP($B854,AssetCategories!$A:$E,4,0),"")</f>
        <v/>
      </c>
      <c r="EM854" t="str">
        <f>IF(NOT(ISBLANK($B854)),VLOOKUP($B854,AssetCategories!$A:$E,2,0),"")</f>
        <v/>
      </c>
      <c r="EN854" t="str">
        <f>IF(NOT(ISBLANK($B854)),VLOOKUP($B854,AssetCategories!$A:$E,3,0),"")</f>
        <v/>
      </c>
      <c r="EP854" s="33" t="str">
        <f t="shared" si="27"/>
        <v/>
      </c>
    </row>
    <row r="855" spans="16:146" x14ac:dyDescent="0.25">
      <c r="P855" s="33" t="str" cm="1">
        <f t="array" ref="P855">IFERROR(SUM(VALUE(_xlfn.TEXTSPLIT(O855, ";"))), "")</f>
        <v/>
      </c>
      <c r="DO855" t="str">
        <f t="shared" si="26"/>
        <v/>
      </c>
      <c r="EG855" s="33" t="str">
        <f>IF(NOT(ISBLANK($B855)),VLOOKUP($B855,AssetCategories!$A:$E,5,0),"")</f>
        <v/>
      </c>
      <c r="EH855" t="str">
        <f>IF(NOT(ISBLANK($B855)),VLOOKUP($B855,AssetCategories!$A:$E,4,0),"")</f>
        <v/>
      </c>
      <c r="EM855" t="str">
        <f>IF(NOT(ISBLANK($B855)),VLOOKUP($B855,AssetCategories!$A:$E,2,0),"")</f>
        <v/>
      </c>
      <c r="EN855" t="str">
        <f>IF(NOT(ISBLANK($B855)),VLOOKUP($B855,AssetCategories!$A:$E,3,0),"")</f>
        <v/>
      </c>
      <c r="EP855" s="33" t="str">
        <f t="shared" si="27"/>
        <v/>
      </c>
    </row>
    <row r="856" spans="16:146" x14ac:dyDescent="0.25">
      <c r="P856" s="33" t="str" cm="1">
        <f t="array" ref="P856">IFERROR(SUM(VALUE(_xlfn.TEXTSPLIT(O856, ";"))), "")</f>
        <v/>
      </c>
      <c r="DO856" t="str">
        <f t="shared" si="26"/>
        <v/>
      </c>
      <c r="EG856" s="33" t="str">
        <f>IF(NOT(ISBLANK($B856)),VLOOKUP($B856,AssetCategories!$A:$E,5,0),"")</f>
        <v/>
      </c>
      <c r="EH856" t="str">
        <f>IF(NOT(ISBLANK($B856)),VLOOKUP($B856,AssetCategories!$A:$E,4,0),"")</f>
        <v/>
      </c>
      <c r="EM856" t="str">
        <f>IF(NOT(ISBLANK($B856)),VLOOKUP($B856,AssetCategories!$A:$E,2,0),"")</f>
        <v/>
      </c>
      <c r="EN856" t="str">
        <f>IF(NOT(ISBLANK($B856)),VLOOKUP($B856,AssetCategories!$A:$E,3,0),"")</f>
        <v/>
      </c>
      <c r="EP856" s="33" t="str">
        <f t="shared" si="27"/>
        <v/>
      </c>
    </row>
    <row r="857" spans="16:146" x14ac:dyDescent="0.25">
      <c r="P857" s="33" t="str" cm="1">
        <f t="array" ref="P857">IFERROR(SUM(VALUE(_xlfn.TEXTSPLIT(O857, ";"))), "")</f>
        <v/>
      </c>
      <c r="DO857" t="str">
        <f t="shared" si="26"/>
        <v/>
      </c>
      <c r="EG857" s="33" t="str">
        <f>IF(NOT(ISBLANK($B857)),VLOOKUP($B857,AssetCategories!$A:$E,5,0),"")</f>
        <v/>
      </c>
      <c r="EH857" t="str">
        <f>IF(NOT(ISBLANK($B857)),VLOOKUP($B857,AssetCategories!$A:$E,4,0),"")</f>
        <v/>
      </c>
      <c r="EM857" t="str">
        <f>IF(NOT(ISBLANK($B857)),VLOOKUP($B857,AssetCategories!$A:$E,2,0),"")</f>
        <v/>
      </c>
      <c r="EN857" t="str">
        <f>IF(NOT(ISBLANK($B857)),VLOOKUP($B857,AssetCategories!$A:$E,3,0),"")</f>
        <v/>
      </c>
      <c r="EP857" s="33" t="str">
        <f t="shared" si="27"/>
        <v/>
      </c>
    </row>
    <row r="858" spans="16:146" x14ac:dyDescent="0.25">
      <c r="P858" s="33" t="str" cm="1">
        <f t="array" ref="P858">IFERROR(SUM(VALUE(_xlfn.TEXTSPLIT(O858, ";"))), "")</f>
        <v/>
      </c>
      <c r="DO858" t="str">
        <f t="shared" si="26"/>
        <v/>
      </c>
      <c r="EG858" s="33" t="str">
        <f>IF(NOT(ISBLANK($B858)),VLOOKUP($B858,AssetCategories!$A:$E,5,0),"")</f>
        <v/>
      </c>
      <c r="EH858" t="str">
        <f>IF(NOT(ISBLANK($B858)),VLOOKUP($B858,AssetCategories!$A:$E,4,0),"")</f>
        <v/>
      </c>
      <c r="EM858" t="str">
        <f>IF(NOT(ISBLANK($B858)),VLOOKUP($B858,AssetCategories!$A:$E,2,0),"")</f>
        <v/>
      </c>
      <c r="EN858" t="str">
        <f>IF(NOT(ISBLANK($B858)),VLOOKUP($B858,AssetCategories!$A:$E,3,0),"")</f>
        <v/>
      </c>
      <c r="EP858" s="33" t="str">
        <f t="shared" si="27"/>
        <v/>
      </c>
    </row>
    <row r="859" spans="16:146" x14ac:dyDescent="0.25">
      <c r="P859" s="33" t="str" cm="1">
        <f t="array" ref="P859">IFERROR(SUM(VALUE(_xlfn.TEXTSPLIT(O859, ";"))), "")</f>
        <v/>
      </c>
      <c r="DO859" t="str">
        <f t="shared" si="26"/>
        <v/>
      </c>
      <c r="EG859" s="33" t="str">
        <f>IF(NOT(ISBLANK($B859)),VLOOKUP($B859,AssetCategories!$A:$E,5,0),"")</f>
        <v/>
      </c>
      <c r="EH859" t="str">
        <f>IF(NOT(ISBLANK($B859)),VLOOKUP($B859,AssetCategories!$A:$E,4,0),"")</f>
        <v/>
      </c>
      <c r="EM859" t="str">
        <f>IF(NOT(ISBLANK($B859)),VLOOKUP($B859,AssetCategories!$A:$E,2,0),"")</f>
        <v/>
      </c>
      <c r="EN859" t="str">
        <f>IF(NOT(ISBLANK($B859)),VLOOKUP($B859,AssetCategories!$A:$E,3,0),"")</f>
        <v/>
      </c>
      <c r="EP859" s="33" t="str">
        <f t="shared" si="27"/>
        <v/>
      </c>
    </row>
    <row r="860" spans="16:146" x14ac:dyDescent="0.25">
      <c r="P860" s="33" t="str" cm="1">
        <f t="array" ref="P860">IFERROR(SUM(VALUE(_xlfn.TEXTSPLIT(O860, ";"))), "")</f>
        <v/>
      </c>
      <c r="DO860" t="str">
        <f t="shared" si="26"/>
        <v/>
      </c>
      <c r="EG860" s="33" t="str">
        <f>IF(NOT(ISBLANK($B860)),VLOOKUP($B860,AssetCategories!$A:$E,5,0),"")</f>
        <v/>
      </c>
      <c r="EH860" t="str">
        <f>IF(NOT(ISBLANK($B860)),VLOOKUP($B860,AssetCategories!$A:$E,4,0),"")</f>
        <v/>
      </c>
      <c r="EM860" t="str">
        <f>IF(NOT(ISBLANK($B860)),VLOOKUP($B860,AssetCategories!$A:$E,2,0),"")</f>
        <v/>
      </c>
      <c r="EN860" t="str">
        <f>IF(NOT(ISBLANK($B860)),VLOOKUP($B860,AssetCategories!$A:$E,3,0),"")</f>
        <v/>
      </c>
      <c r="EP860" s="33" t="str">
        <f t="shared" si="27"/>
        <v/>
      </c>
    </row>
    <row r="861" spans="16:146" x14ac:dyDescent="0.25">
      <c r="P861" s="33" t="str" cm="1">
        <f t="array" ref="P861">IFERROR(SUM(VALUE(_xlfn.TEXTSPLIT(O861, ";"))), "")</f>
        <v/>
      </c>
      <c r="DO861" t="str">
        <f t="shared" si="26"/>
        <v/>
      </c>
      <c r="EG861" s="33" t="str">
        <f>IF(NOT(ISBLANK($B861)),VLOOKUP($B861,AssetCategories!$A:$E,5,0),"")</f>
        <v/>
      </c>
      <c r="EH861" t="str">
        <f>IF(NOT(ISBLANK($B861)),VLOOKUP($B861,AssetCategories!$A:$E,4,0),"")</f>
        <v/>
      </c>
      <c r="EM861" t="str">
        <f>IF(NOT(ISBLANK($B861)),VLOOKUP($B861,AssetCategories!$A:$E,2,0),"")</f>
        <v/>
      </c>
      <c r="EN861" t="str">
        <f>IF(NOT(ISBLANK($B861)),VLOOKUP($B861,AssetCategories!$A:$E,3,0),"")</f>
        <v/>
      </c>
      <c r="EP861" s="33" t="str">
        <f t="shared" si="27"/>
        <v/>
      </c>
    </row>
    <row r="862" spans="16:146" x14ac:dyDescent="0.25">
      <c r="P862" s="33" t="str" cm="1">
        <f t="array" ref="P862">IFERROR(SUM(VALUE(_xlfn.TEXTSPLIT(O862, ";"))), "")</f>
        <v/>
      </c>
      <c r="DO862" t="str">
        <f t="shared" si="26"/>
        <v/>
      </c>
      <c r="EG862" s="33" t="str">
        <f>IF(NOT(ISBLANK($B862)),VLOOKUP($B862,AssetCategories!$A:$E,5,0),"")</f>
        <v/>
      </c>
      <c r="EH862" t="str">
        <f>IF(NOT(ISBLANK($B862)),VLOOKUP($B862,AssetCategories!$A:$E,4,0),"")</f>
        <v/>
      </c>
      <c r="EM862" t="str">
        <f>IF(NOT(ISBLANK($B862)),VLOOKUP($B862,AssetCategories!$A:$E,2,0),"")</f>
        <v/>
      </c>
      <c r="EN862" t="str">
        <f>IF(NOT(ISBLANK($B862)),VLOOKUP($B862,AssetCategories!$A:$E,3,0),"")</f>
        <v/>
      </c>
      <c r="EP862" s="33" t="str">
        <f t="shared" si="27"/>
        <v/>
      </c>
    </row>
    <row r="863" spans="16:146" x14ac:dyDescent="0.25">
      <c r="P863" s="33" t="str" cm="1">
        <f t="array" ref="P863">IFERROR(SUM(VALUE(_xlfn.TEXTSPLIT(O863, ";"))), "")</f>
        <v/>
      </c>
      <c r="DO863" t="str">
        <f t="shared" si="26"/>
        <v/>
      </c>
      <c r="EG863" s="33" t="str">
        <f>IF(NOT(ISBLANK($B863)),VLOOKUP($B863,AssetCategories!$A:$E,5,0),"")</f>
        <v/>
      </c>
      <c r="EH863" t="str">
        <f>IF(NOT(ISBLANK($B863)),VLOOKUP($B863,AssetCategories!$A:$E,4,0),"")</f>
        <v/>
      </c>
      <c r="EM863" t="str">
        <f>IF(NOT(ISBLANK($B863)),VLOOKUP($B863,AssetCategories!$A:$E,2,0),"")</f>
        <v/>
      </c>
      <c r="EN863" t="str">
        <f>IF(NOT(ISBLANK($B863)),VLOOKUP($B863,AssetCategories!$A:$E,3,0),"")</f>
        <v/>
      </c>
      <c r="EP863" s="33" t="str">
        <f t="shared" si="27"/>
        <v/>
      </c>
    </row>
    <row r="864" spans="16:146" x14ac:dyDescent="0.25">
      <c r="P864" s="33" t="str" cm="1">
        <f t="array" ref="P864">IFERROR(SUM(VALUE(_xlfn.TEXTSPLIT(O864, ";"))), "")</f>
        <v/>
      </c>
      <c r="DO864" t="str">
        <f t="shared" si="26"/>
        <v/>
      </c>
      <c r="EG864" s="33" t="str">
        <f>IF(NOT(ISBLANK($B864)),VLOOKUP($B864,AssetCategories!$A:$E,5,0),"")</f>
        <v/>
      </c>
      <c r="EH864" t="str">
        <f>IF(NOT(ISBLANK($B864)),VLOOKUP($B864,AssetCategories!$A:$E,4,0),"")</f>
        <v/>
      </c>
      <c r="EM864" t="str">
        <f>IF(NOT(ISBLANK($B864)),VLOOKUP($B864,AssetCategories!$A:$E,2,0),"")</f>
        <v/>
      </c>
      <c r="EN864" t="str">
        <f>IF(NOT(ISBLANK($B864)),VLOOKUP($B864,AssetCategories!$A:$E,3,0),"")</f>
        <v/>
      </c>
      <c r="EP864" s="33" t="str">
        <f t="shared" si="27"/>
        <v/>
      </c>
    </row>
    <row r="865" spans="16:146" x14ac:dyDescent="0.25">
      <c r="P865" s="33" t="str" cm="1">
        <f t="array" ref="P865">IFERROR(SUM(VALUE(_xlfn.TEXTSPLIT(O865, ";"))), "")</f>
        <v/>
      </c>
      <c r="DO865" t="str">
        <f t="shared" si="26"/>
        <v/>
      </c>
      <c r="EG865" s="33" t="str">
        <f>IF(NOT(ISBLANK($B865)),VLOOKUP($B865,AssetCategories!$A:$E,5,0),"")</f>
        <v/>
      </c>
      <c r="EH865" t="str">
        <f>IF(NOT(ISBLANK($B865)),VLOOKUP($B865,AssetCategories!$A:$E,4,0),"")</f>
        <v/>
      </c>
      <c r="EM865" t="str">
        <f>IF(NOT(ISBLANK($B865)),VLOOKUP($B865,AssetCategories!$A:$E,2,0),"")</f>
        <v/>
      </c>
      <c r="EN865" t="str">
        <f>IF(NOT(ISBLANK($B865)),VLOOKUP($B865,AssetCategories!$A:$E,3,0),"")</f>
        <v/>
      </c>
      <c r="EP865" s="33" t="str">
        <f t="shared" si="27"/>
        <v/>
      </c>
    </row>
    <row r="866" spans="16:146" x14ac:dyDescent="0.25">
      <c r="P866" s="33" t="str" cm="1">
        <f t="array" ref="P866">IFERROR(SUM(VALUE(_xlfn.TEXTSPLIT(O866, ";"))), "")</f>
        <v/>
      </c>
      <c r="DO866" t="str">
        <f t="shared" si="26"/>
        <v/>
      </c>
      <c r="EG866" s="33" t="str">
        <f>IF(NOT(ISBLANK($B866)),VLOOKUP($B866,AssetCategories!$A:$E,5,0),"")</f>
        <v/>
      </c>
      <c r="EH866" t="str">
        <f>IF(NOT(ISBLANK($B866)),VLOOKUP($B866,AssetCategories!$A:$E,4,0),"")</f>
        <v/>
      </c>
      <c r="EM866" t="str">
        <f>IF(NOT(ISBLANK($B866)),VLOOKUP($B866,AssetCategories!$A:$E,2,0),"")</f>
        <v/>
      </c>
      <c r="EN866" t="str">
        <f>IF(NOT(ISBLANK($B866)),VLOOKUP($B866,AssetCategories!$A:$E,3,0),"")</f>
        <v/>
      </c>
      <c r="EP866" s="33" t="str">
        <f t="shared" si="27"/>
        <v/>
      </c>
    </row>
    <row r="867" spans="16:146" x14ac:dyDescent="0.25">
      <c r="P867" s="33" t="str" cm="1">
        <f t="array" ref="P867">IFERROR(SUM(VALUE(_xlfn.TEXTSPLIT(O867, ";"))), "")</f>
        <v/>
      </c>
      <c r="DO867" t="str">
        <f t="shared" si="26"/>
        <v/>
      </c>
      <c r="EG867" s="33" t="str">
        <f>IF(NOT(ISBLANK($B867)),VLOOKUP($B867,AssetCategories!$A:$E,5,0),"")</f>
        <v/>
      </c>
      <c r="EH867" t="str">
        <f>IF(NOT(ISBLANK($B867)),VLOOKUP($B867,AssetCategories!$A:$E,4,0),"")</f>
        <v/>
      </c>
      <c r="EM867" t="str">
        <f>IF(NOT(ISBLANK($B867)),VLOOKUP($B867,AssetCategories!$A:$E,2,0),"")</f>
        <v/>
      </c>
      <c r="EN867" t="str">
        <f>IF(NOT(ISBLANK($B867)),VLOOKUP($B867,AssetCategories!$A:$E,3,0),"")</f>
        <v/>
      </c>
      <c r="EP867" s="33" t="str">
        <f t="shared" si="27"/>
        <v/>
      </c>
    </row>
    <row r="868" spans="16:146" x14ac:dyDescent="0.25">
      <c r="P868" s="33" t="str" cm="1">
        <f t="array" ref="P868">IFERROR(SUM(VALUE(_xlfn.TEXTSPLIT(O868, ";"))), "")</f>
        <v/>
      </c>
      <c r="DO868" t="str">
        <f t="shared" si="26"/>
        <v/>
      </c>
      <c r="EG868" s="33" t="str">
        <f>IF(NOT(ISBLANK($B868)),VLOOKUP($B868,AssetCategories!$A:$E,5,0),"")</f>
        <v/>
      </c>
      <c r="EH868" t="str">
        <f>IF(NOT(ISBLANK($B868)),VLOOKUP($B868,AssetCategories!$A:$E,4,0),"")</f>
        <v/>
      </c>
      <c r="EM868" t="str">
        <f>IF(NOT(ISBLANK($B868)),VLOOKUP($B868,AssetCategories!$A:$E,2,0),"")</f>
        <v/>
      </c>
      <c r="EN868" t="str">
        <f>IF(NOT(ISBLANK($B868)),VLOOKUP($B868,AssetCategories!$A:$E,3,0),"")</f>
        <v/>
      </c>
      <c r="EP868" s="33" t="str">
        <f t="shared" si="27"/>
        <v/>
      </c>
    </row>
    <row r="869" spans="16:146" x14ac:dyDescent="0.25">
      <c r="P869" s="33" t="str" cm="1">
        <f t="array" ref="P869">IFERROR(SUM(VALUE(_xlfn.TEXTSPLIT(O869, ";"))), "")</f>
        <v/>
      </c>
      <c r="DO869" t="str">
        <f t="shared" si="26"/>
        <v/>
      </c>
      <c r="EG869" s="33" t="str">
        <f>IF(NOT(ISBLANK($B869)),VLOOKUP($B869,AssetCategories!$A:$E,5,0),"")</f>
        <v/>
      </c>
      <c r="EH869" t="str">
        <f>IF(NOT(ISBLANK($B869)),VLOOKUP($B869,AssetCategories!$A:$E,4,0),"")</f>
        <v/>
      </c>
      <c r="EM869" t="str">
        <f>IF(NOT(ISBLANK($B869)),VLOOKUP($B869,AssetCategories!$A:$E,2,0),"")</f>
        <v/>
      </c>
      <c r="EN869" t="str">
        <f>IF(NOT(ISBLANK($B869)),VLOOKUP($B869,AssetCategories!$A:$E,3,0),"")</f>
        <v/>
      </c>
      <c r="EP869" s="33" t="str">
        <f t="shared" si="27"/>
        <v/>
      </c>
    </row>
    <row r="870" spans="16:146" x14ac:dyDescent="0.25">
      <c r="P870" s="33" t="str" cm="1">
        <f t="array" ref="P870">IFERROR(SUM(VALUE(_xlfn.TEXTSPLIT(O870, ";"))), "")</f>
        <v/>
      </c>
      <c r="DO870" t="str">
        <f t="shared" si="26"/>
        <v/>
      </c>
      <c r="EG870" s="33" t="str">
        <f>IF(NOT(ISBLANK($B870)),VLOOKUP($B870,AssetCategories!$A:$E,5,0),"")</f>
        <v/>
      </c>
      <c r="EH870" t="str">
        <f>IF(NOT(ISBLANK($B870)),VLOOKUP($B870,AssetCategories!$A:$E,4,0),"")</f>
        <v/>
      </c>
      <c r="EM870" t="str">
        <f>IF(NOT(ISBLANK($B870)),VLOOKUP($B870,AssetCategories!$A:$E,2,0),"")</f>
        <v/>
      </c>
      <c r="EN870" t="str">
        <f>IF(NOT(ISBLANK($B870)),VLOOKUP($B870,AssetCategories!$A:$E,3,0),"")</f>
        <v/>
      </c>
      <c r="EP870" s="33" t="str">
        <f t="shared" si="27"/>
        <v/>
      </c>
    </row>
    <row r="871" spans="16:146" x14ac:dyDescent="0.25">
      <c r="P871" s="33" t="str" cm="1">
        <f t="array" ref="P871">IFERROR(SUM(VALUE(_xlfn.TEXTSPLIT(O871, ";"))), "")</f>
        <v/>
      </c>
      <c r="DO871" t="str">
        <f t="shared" si="26"/>
        <v/>
      </c>
      <c r="EG871" s="33" t="str">
        <f>IF(NOT(ISBLANK($B871)),VLOOKUP($B871,AssetCategories!$A:$E,5,0),"")</f>
        <v/>
      </c>
      <c r="EH871" t="str">
        <f>IF(NOT(ISBLANK($B871)),VLOOKUP($B871,AssetCategories!$A:$E,4,0),"")</f>
        <v/>
      </c>
      <c r="EM871" t="str">
        <f>IF(NOT(ISBLANK($B871)),VLOOKUP($B871,AssetCategories!$A:$E,2,0),"")</f>
        <v/>
      </c>
      <c r="EN871" t="str">
        <f>IF(NOT(ISBLANK($B871)),VLOOKUP($B871,AssetCategories!$A:$E,3,0),"")</f>
        <v/>
      </c>
      <c r="EP871" s="33" t="str">
        <f t="shared" si="27"/>
        <v/>
      </c>
    </row>
    <row r="872" spans="16:146" x14ac:dyDescent="0.25">
      <c r="P872" s="33" t="str" cm="1">
        <f t="array" ref="P872">IFERROR(SUM(VALUE(_xlfn.TEXTSPLIT(O872, ";"))), "")</f>
        <v/>
      </c>
      <c r="DO872" t="str">
        <f t="shared" si="26"/>
        <v/>
      </c>
      <c r="EG872" s="33" t="str">
        <f>IF(NOT(ISBLANK($B872)),VLOOKUP($B872,AssetCategories!$A:$E,5,0),"")</f>
        <v/>
      </c>
      <c r="EH872" t="str">
        <f>IF(NOT(ISBLANK($B872)),VLOOKUP($B872,AssetCategories!$A:$E,4,0),"")</f>
        <v/>
      </c>
      <c r="EM872" t="str">
        <f>IF(NOT(ISBLANK($B872)),VLOOKUP($B872,AssetCategories!$A:$E,2,0),"")</f>
        <v/>
      </c>
      <c r="EN872" t="str">
        <f>IF(NOT(ISBLANK($B872)),VLOOKUP($B872,AssetCategories!$A:$E,3,0),"")</f>
        <v/>
      </c>
      <c r="EP872" s="33" t="str">
        <f t="shared" si="27"/>
        <v/>
      </c>
    </row>
    <row r="873" spans="16:146" x14ac:dyDescent="0.25">
      <c r="P873" s="33" t="str" cm="1">
        <f t="array" ref="P873">IFERROR(SUM(VALUE(_xlfn.TEXTSPLIT(O873, ";"))), "")</f>
        <v/>
      </c>
      <c r="DO873" t="str">
        <f t="shared" si="26"/>
        <v/>
      </c>
      <c r="EG873" s="33" t="str">
        <f>IF(NOT(ISBLANK($B873)),VLOOKUP($B873,AssetCategories!$A:$E,5,0),"")</f>
        <v/>
      </c>
      <c r="EH873" t="str">
        <f>IF(NOT(ISBLANK($B873)),VLOOKUP($B873,AssetCategories!$A:$E,4,0),"")</f>
        <v/>
      </c>
      <c r="EM873" t="str">
        <f>IF(NOT(ISBLANK($B873)),VLOOKUP($B873,AssetCategories!$A:$E,2,0),"")</f>
        <v/>
      </c>
      <c r="EN873" t="str">
        <f>IF(NOT(ISBLANK($B873)),VLOOKUP($B873,AssetCategories!$A:$E,3,0),"")</f>
        <v/>
      </c>
      <c r="EP873" s="33" t="str">
        <f t="shared" si="27"/>
        <v/>
      </c>
    </row>
    <row r="874" spans="16:146" x14ac:dyDescent="0.25">
      <c r="P874" s="33" t="str" cm="1">
        <f t="array" ref="P874">IFERROR(SUM(VALUE(_xlfn.TEXTSPLIT(O874, ";"))), "")</f>
        <v/>
      </c>
      <c r="DO874" t="str">
        <f t="shared" si="26"/>
        <v/>
      </c>
      <c r="EG874" s="33" t="str">
        <f>IF(NOT(ISBLANK($B874)),VLOOKUP($B874,AssetCategories!$A:$E,5,0),"")</f>
        <v/>
      </c>
      <c r="EH874" t="str">
        <f>IF(NOT(ISBLANK($B874)),VLOOKUP($B874,AssetCategories!$A:$E,4,0),"")</f>
        <v/>
      </c>
      <c r="EM874" t="str">
        <f>IF(NOT(ISBLANK($B874)),VLOOKUP($B874,AssetCategories!$A:$E,2,0),"")</f>
        <v/>
      </c>
      <c r="EN874" t="str">
        <f>IF(NOT(ISBLANK($B874)),VLOOKUP($B874,AssetCategories!$A:$E,3,0),"")</f>
        <v/>
      </c>
      <c r="EP874" s="33" t="str">
        <f t="shared" si="27"/>
        <v/>
      </c>
    </row>
    <row r="875" spans="16:146" x14ac:dyDescent="0.25">
      <c r="P875" s="33" t="str" cm="1">
        <f t="array" ref="P875">IFERROR(SUM(VALUE(_xlfn.TEXTSPLIT(O875, ";"))), "")</f>
        <v/>
      </c>
      <c r="DO875" t="str">
        <f t="shared" si="26"/>
        <v/>
      </c>
      <c r="EG875" s="33" t="str">
        <f>IF(NOT(ISBLANK($B875)),VLOOKUP($B875,AssetCategories!$A:$E,5,0),"")</f>
        <v/>
      </c>
      <c r="EH875" t="str">
        <f>IF(NOT(ISBLANK($B875)),VLOOKUP($B875,AssetCategories!$A:$E,4,0),"")</f>
        <v/>
      </c>
      <c r="EM875" t="str">
        <f>IF(NOT(ISBLANK($B875)),VLOOKUP($B875,AssetCategories!$A:$E,2,0),"")</f>
        <v/>
      </c>
      <c r="EN875" t="str">
        <f>IF(NOT(ISBLANK($B875)),VLOOKUP($B875,AssetCategories!$A:$E,3,0),"")</f>
        <v/>
      </c>
      <c r="EP875" s="33" t="str">
        <f t="shared" si="27"/>
        <v/>
      </c>
    </row>
    <row r="876" spans="16:146" x14ac:dyDescent="0.25">
      <c r="P876" s="33" t="str" cm="1">
        <f t="array" ref="P876">IFERROR(SUM(VALUE(_xlfn.TEXTSPLIT(O876, ";"))), "")</f>
        <v/>
      </c>
      <c r="DO876" t="str">
        <f t="shared" si="26"/>
        <v/>
      </c>
      <c r="EG876" s="33" t="str">
        <f>IF(NOT(ISBLANK($B876)),VLOOKUP($B876,AssetCategories!$A:$E,5,0),"")</f>
        <v/>
      </c>
      <c r="EH876" t="str">
        <f>IF(NOT(ISBLANK($B876)),VLOOKUP($B876,AssetCategories!$A:$E,4,0),"")</f>
        <v/>
      </c>
      <c r="EM876" t="str">
        <f>IF(NOT(ISBLANK($B876)),VLOOKUP($B876,AssetCategories!$A:$E,2,0),"")</f>
        <v/>
      </c>
      <c r="EN876" t="str">
        <f>IF(NOT(ISBLANK($B876)),VLOOKUP($B876,AssetCategories!$A:$E,3,0),"")</f>
        <v/>
      </c>
      <c r="EP876" s="33" t="str">
        <f t="shared" si="27"/>
        <v/>
      </c>
    </row>
    <row r="877" spans="16:146" x14ac:dyDescent="0.25">
      <c r="P877" s="33" t="str" cm="1">
        <f t="array" ref="P877">IFERROR(SUM(VALUE(_xlfn.TEXTSPLIT(O877, ";"))), "")</f>
        <v/>
      </c>
      <c r="DO877" t="str">
        <f t="shared" si="26"/>
        <v/>
      </c>
      <c r="EG877" s="33" t="str">
        <f>IF(NOT(ISBLANK($B877)),VLOOKUP($B877,AssetCategories!$A:$E,5,0),"")</f>
        <v/>
      </c>
      <c r="EH877" t="str">
        <f>IF(NOT(ISBLANK($B877)),VLOOKUP($B877,AssetCategories!$A:$E,4,0),"")</f>
        <v/>
      </c>
      <c r="EM877" t="str">
        <f>IF(NOT(ISBLANK($B877)),VLOOKUP($B877,AssetCategories!$A:$E,2,0),"")</f>
        <v/>
      </c>
      <c r="EN877" t="str">
        <f>IF(NOT(ISBLANK($B877)),VLOOKUP($B877,AssetCategories!$A:$E,3,0),"")</f>
        <v/>
      </c>
      <c r="EP877" s="33" t="str">
        <f t="shared" si="27"/>
        <v/>
      </c>
    </row>
    <row r="878" spans="16:146" x14ac:dyDescent="0.25">
      <c r="P878" s="33" t="str" cm="1">
        <f t="array" ref="P878">IFERROR(SUM(VALUE(_xlfn.TEXTSPLIT(O878, ";"))), "")</f>
        <v/>
      </c>
      <c r="DO878" t="str">
        <f t="shared" si="26"/>
        <v/>
      </c>
      <c r="EG878" s="33" t="str">
        <f>IF(NOT(ISBLANK($B878)),VLOOKUP($B878,AssetCategories!$A:$E,5,0),"")</f>
        <v/>
      </c>
      <c r="EH878" t="str">
        <f>IF(NOT(ISBLANK($B878)),VLOOKUP($B878,AssetCategories!$A:$E,4,0),"")</f>
        <v/>
      </c>
      <c r="EM878" t="str">
        <f>IF(NOT(ISBLANK($B878)),VLOOKUP($B878,AssetCategories!$A:$E,2,0),"")</f>
        <v/>
      </c>
      <c r="EN878" t="str">
        <f>IF(NOT(ISBLANK($B878)),VLOOKUP($B878,AssetCategories!$A:$E,3,0),"")</f>
        <v/>
      </c>
      <c r="EP878" s="33" t="str">
        <f t="shared" si="27"/>
        <v/>
      </c>
    </row>
    <row r="879" spans="16:146" x14ac:dyDescent="0.25">
      <c r="P879" s="33" t="str" cm="1">
        <f t="array" ref="P879">IFERROR(SUM(VALUE(_xlfn.TEXTSPLIT(O879, ";"))), "")</f>
        <v/>
      </c>
      <c r="DO879" t="str">
        <f t="shared" si="26"/>
        <v/>
      </c>
      <c r="EG879" s="33" t="str">
        <f>IF(NOT(ISBLANK($B879)),VLOOKUP($B879,AssetCategories!$A:$E,5,0),"")</f>
        <v/>
      </c>
      <c r="EH879" t="str">
        <f>IF(NOT(ISBLANK($B879)),VLOOKUP($B879,AssetCategories!$A:$E,4,0),"")</f>
        <v/>
      </c>
      <c r="EM879" t="str">
        <f>IF(NOT(ISBLANK($B879)),VLOOKUP($B879,AssetCategories!$A:$E,2,0),"")</f>
        <v/>
      </c>
      <c r="EN879" t="str">
        <f>IF(NOT(ISBLANK($B879)),VLOOKUP($B879,AssetCategories!$A:$E,3,0),"")</f>
        <v/>
      </c>
      <c r="EP879" s="33" t="str">
        <f t="shared" si="27"/>
        <v/>
      </c>
    </row>
    <row r="880" spans="16:146" x14ac:dyDescent="0.25">
      <c r="P880" s="33" t="str" cm="1">
        <f t="array" ref="P880">IFERROR(SUM(VALUE(_xlfn.TEXTSPLIT(O880, ";"))), "")</f>
        <v/>
      </c>
      <c r="DO880" t="str">
        <f t="shared" si="26"/>
        <v/>
      </c>
      <c r="EG880" s="33" t="str">
        <f>IF(NOT(ISBLANK($B880)),VLOOKUP($B880,AssetCategories!$A:$E,5,0),"")</f>
        <v/>
      </c>
      <c r="EH880" t="str">
        <f>IF(NOT(ISBLANK($B880)),VLOOKUP($B880,AssetCategories!$A:$E,4,0),"")</f>
        <v/>
      </c>
      <c r="EM880" t="str">
        <f>IF(NOT(ISBLANK($B880)),VLOOKUP($B880,AssetCategories!$A:$E,2,0),"")</f>
        <v/>
      </c>
      <c r="EN880" t="str">
        <f>IF(NOT(ISBLANK($B880)),VLOOKUP($B880,AssetCategories!$A:$E,3,0),"")</f>
        <v/>
      </c>
      <c r="EP880" s="33" t="str">
        <f t="shared" si="27"/>
        <v/>
      </c>
    </row>
    <row r="881" spans="16:146" x14ac:dyDescent="0.25">
      <c r="P881" s="33" t="str" cm="1">
        <f t="array" ref="P881">IFERROR(SUM(VALUE(_xlfn.TEXTSPLIT(O881, ";"))), "")</f>
        <v/>
      </c>
      <c r="DO881" t="str">
        <f t="shared" si="26"/>
        <v/>
      </c>
      <c r="EG881" s="33" t="str">
        <f>IF(NOT(ISBLANK($B881)),VLOOKUP($B881,AssetCategories!$A:$E,5,0),"")</f>
        <v/>
      </c>
      <c r="EH881" t="str">
        <f>IF(NOT(ISBLANK($B881)),VLOOKUP($B881,AssetCategories!$A:$E,4,0),"")</f>
        <v/>
      </c>
      <c r="EM881" t="str">
        <f>IF(NOT(ISBLANK($B881)),VLOOKUP($B881,AssetCategories!$A:$E,2,0),"")</f>
        <v/>
      </c>
      <c r="EN881" t="str">
        <f>IF(NOT(ISBLANK($B881)),VLOOKUP($B881,AssetCategories!$A:$E,3,0),"")</f>
        <v/>
      </c>
      <c r="EP881" s="33" t="str">
        <f t="shared" si="27"/>
        <v/>
      </c>
    </row>
    <row r="882" spans="16:146" x14ac:dyDescent="0.25">
      <c r="P882" s="33" t="str" cm="1">
        <f t="array" ref="P882">IFERROR(SUM(VALUE(_xlfn.TEXTSPLIT(O882, ";"))), "")</f>
        <v/>
      </c>
      <c r="DO882" t="str">
        <f t="shared" si="26"/>
        <v/>
      </c>
      <c r="EG882" s="33" t="str">
        <f>IF(NOT(ISBLANK($B882)),VLOOKUP($B882,AssetCategories!$A:$E,5,0),"")</f>
        <v/>
      </c>
      <c r="EH882" t="str">
        <f>IF(NOT(ISBLANK($B882)),VLOOKUP($B882,AssetCategories!$A:$E,4,0),"")</f>
        <v/>
      </c>
      <c r="EM882" t="str">
        <f>IF(NOT(ISBLANK($B882)),VLOOKUP($B882,AssetCategories!$A:$E,2,0),"")</f>
        <v/>
      </c>
      <c r="EN882" t="str">
        <f>IF(NOT(ISBLANK($B882)),VLOOKUP($B882,AssetCategories!$A:$E,3,0),"")</f>
        <v/>
      </c>
      <c r="EP882" s="33" t="str">
        <f t="shared" si="27"/>
        <v/>
      </c>
    </row>
    <row r="883" spans="16:146" x14ac:dyDescent="0.25">
      <c r="P883" s="33" t="str" cm="1">
        <f t="array" ref="P883">IFERROR(SUM(VALUE(_xlfn.TEXTSPLIT(O883, ";"))), "")</f>
        <v/>
      </c>
      <c r="DO883" t="str">
        <f t="shared" si="26"/>
        <v/>
      </c>
      <c r="EG883" s="33" t="str">
        <f>IF(NOT(ISBLANK($B883)),VLOOKUP($B883,AssetCategories!$A:$E,5,0),"")</f>
        <v/>
      </c>
      <c r="EH883" t="str">
        <f>IF(NOT(ISBLANK($B883)),VLOOKUP($B883,AssetCategories!$A:$E,4,0),"")</f>
        <v/>
      </c>
      <c r="EM883" t="str">
        <f>IF(NOT(ISBLANK($B883)),VLOOKUP($B883,AssetCategories!$A:$E,2,0),"")</f>
        <v/>
      </c>
      <c r="EN883" t="str">
        <f>IF(NOT(ISBLANK($B883)),VLOOKUP($B883,AssetCategories!$A:$E,3,0),"")</f>
        <v/>
      </c>
      <c r="EP883" s="33" t="str">
        <f t="shared" si="27"/>
        <v/>
      </c>
    </row>
    <row r="884" spans="16:146" x14ac:dyDescent="0.25">
      <c r="P884" s="33" t="str" cm="1">
        <f t="array" ref="P884">IFERROR(SUM(VALUE(_xlfn.TEXTSPLIT(O884, ";"))), "")</f>
        <v/>
      </c>
      <c r="DO884" t="str">
        <f t="shared" si="26"/>
        <v/>
      </c>
      <c r="EG884" s="33" t="str">
        <f>IF(NOT(ISBLANK($B884)),VLOOKUP($B884,AssetCategories!$A:$E,5,0),"")</f>
        <v/>
      </c>
      <c r="EH884" t="str">
        <f>IF(NOT(ISBLANK($B884)),VLOOKUP($B884,AssetCategories!$A:$E,4,0),"")</f>
        <v/>
      </c>
      <c r="EM884" t="str">
        <f>IF(NOT(ISBLANK($B884)),VLOOKUP($B884,AssetCategories!$A:$E,2,0),"")</f>
        <v/>
      </c>
      <c r="EN884" t="str">
        <f>IF(NOT(ISBLANK($B884)),VLOOKUP($B884,AssetCategories!$A:$E,3,0),"")</f>
        <v/>
      </c>
      <c r="EP884" s="33" t="str">
        <f t="shared" si="27"/>
        <v/>
      </c>
    </row>
    <row r="885" spans="16:146" x14ac:dyDescent="0.25">
      <c r="P885" s="33" t="str" cm="1">
        <f t="array" ref="P885">IFERROR(SUM(VALUE(_xlfn.TEXTSPLIT(O885, ";"))), "")</f>
        <v/>
      </c>
      <c r="DO885" t="str">
        <f t="shared" si="26"/>
        <v/>
      </c>
      <c r="EG885" s="33" t="str">
        <f>IF(NOT(ISBLANK($B885)),VLOOKUP($B885,AssetCategories!$A:$E,5,0),"")</f>
        <v/>
      </c>
      <c r="EH885" t="str">
        <f>IF(NOT(ISBLANK($B885)),VLOOKUP($B885,AssetCategories!$A:$E,4,0),"")</f>
        <v/>
      </c>
      <c r="EM885" t="str">
        <f>IF(NOT(ISBLANK($B885)),VLOOKUP($B885,AssetCategories!$A:$E,2,0),"")</f>
        <v/>
      </c>
      <c r="EN885" t="str">
        <f>IF(NOT(ISBLANK($B885)),VLOOKUP($B885,AssetCategories!$A:$E,3,0),"")</f>
        <v/>
      </c>
      <c r="EP885" s="33" t="str">
        <f t="shared" si="27"/>
        <v/>
      </c>
    </row>
    <row r="886" spans="16:146" x14ac:dyDescent="0.25">
      <c r="P886" s="33" t="str" cm="1">
        <f t="array" ref="P886">IFERROR(SUM(VALUE(_xlfn.TEXTSPLIT(O886, ";"))), "")</f>
        <v/>
      </c>
      <c r="DO886" t="str">
        <f t="shared" si="26"/>
        <v/>
      </c>
      <c r="EG886" s="33" t="str">
        <f>IF(NOT(ISBLANK($B886)),VLOOKUP($B886,AssetCategories!$A:$E,5,0),"")</f>
        <v/>
      </c>
      <c r="EH886" t="str">
        <f>IF(NOT(ISBLANK($B886)),VLOOKUP($B886,AssetCategories!$A:$E,4,0),"")</f>
        <v/>
      </c>
      <c r="EM886" t="str">
        <f>IF(NOT(ISBLANK($B886)),VLOOKUP($B886,AssetCategories!$A:$E,2,0),"")</f>
        <v/>
      </c>
      <c r="EN886" t="str">
        <f>IF(NOT(ISBLANK($B886)),VLOOKUP($B886,AssetCategories!$A:$E,3,0),"")</f>
        <v/>
      </c>
      <c r="EP886" s="33" t="str">
        <f t="shared" si="27"/>
        <v/>
      </c>
    </row>
    <row r="887" spans="16:146" x14ac:dyDescent="0.25">
      <c r="P887" s="33" t="str" cm="1">
        <f t="array" ref="P887">IFERROR(SUM(VALUE(_xlfn.TEXTSPLIT(O887, ";"))), "")</f>
        <v/>
      </c>
      <c r="DO887" t="str">
        <f t="shared" si="26"/>
        <v/>
      </c>
      <c r="EG887" s="33" t="str">
        <f>IF(NOT(ISBLANK($B887)),VLOOKUP($B887,AssetCategories!$A:$E,5,0),"")</f>
        <v/>
      </c>
      <c r="EH887" t="str">
        <f>IF(NOT(ISBLANK($B887)),VLOOKUP($B887,AssetCategories!$A:$E,4,0),"")</f>
        <v/>
      </c>
      <c r="EM887" t="str">
        <f>IF(NOT(ISBLANK($B887)),VLOOKUP($B887,AssetCategories!$A:$E,2,0),"")</f>
        <v/>
      </c>
      <c r="EN887" t="str">
        <f>IF(NOT(ISBLANK($B887)),VLOOKUP($B887,AssetCategories!$A:$E,3,0),"")</f>
        <v/>
      </c>
      <c r="EP887" s="33" t="str">
        <f t="shared" si="27"/>
        <v/>
      </c>
    </row>
    <row r="888" spans="16:146" x14ac:dyDescent="0.25">
      <c r="P888" s="33" t="str" cm="1">
        <f t="array" ref="P888">IFERROR(SUM(VALUE(_xlfn.TEXTSPLIT(O888, ";"))), "")</f>
        <v/>
      </c>
      <c r="DO888" t="str">
        <f t="shared" si="26"/>
        <v/>
      </c>
      <c r="EG888" s="33" t="str">
        <f>IF(NOT(ISBLANK($B888)),VLOOKUP($B888,AssetCategories!$A:$E,5,0),"")</f>
        <v/>
      </c>
      <c r="EH888" t="str">
        <f>IF(NOT(ISBLANK($B888)),VLOOKUP($B888,AssetCategories!$A:$E,4,0),"")</f>
        <v/>
      </c>
      <c r="EM888" t="str">
        <f>IF(NOT(ISBLANK($B888)),VLOOKUP($B888,AssetCategories!$A:$E,2,0),"")</f>
        <v/>
      </c>
      <c r="EN888" t="str">
        <f>IF(NOT(ISBLANK($B888)),VLOOKUP($B888,AssetCategories!$A:$E,3,0),"")</f>
        <v/>
      </c>
      <c r="EP888" s="33" t="str">
        <f t="shared" si="27"/>
        <v/>
      </c>
    </row>
    <row r="889" spans="16:146" x14ac:dyDescent="0.25">
      <c r="P889" s="33" t="str" cm="1">
        <f t="array" ref="P889">IFERROR(SUM(VALUE(_xlfn.TEXTSPLIT(O889, ";"))), "")</f>
        <v/>
      </c>
      <c r="DO889" t="str">
        <f t="shared" si="26"/>
        <v/>
      </c>
      <c r="EG889" s="33" t="str">
        <f>IF(NOT(ISBLANK($B889)),VLOOKUP($B889,AssetCategories!$A:$E,5,0),"")</f>
        <v/>
      </c>
      <c r="EH889" t="str">
        <f>IF(NOT(ISBLANK($B889)),VLOOKUP($B889,AssetCategories!$A:$E,4,0),"")</f>
        <v/>
      </c>
      <c r="EM889" t="str">
        <f>IF(NOT(ISBLANK($B889)),VLOOKUP($B889,AssetCategories!$A:$E,2,0),"")</f>
        <v/>
      </c>
      <c r="EN889" t="str">
        <f>IF(NOT(ISBLANK($B889)),VLOOKUP($B889,AssetCategories!$A:$E,3,0),"")</f>
        <v/>
      </c>
      <c r="EP889" s="33" t="str">
        <f t="shared" si="27"/>
        <v/>
      </c>
    </row>
    <row r="890" spans="16:146" x14ac:dyDescent="0.25">
      <c r="P890" s="33" t="str" cm="1">
        <f t="array" ref="P890">IFERROR(SUM(VALUE(_xlfn.TEXTSPLIT(O890, ";"))), "")</f>
        <v/>
      </c>
      <c r="DO890" t="str">
        <f t="shared" si="26"/>
        <v/>
      </c>
      <c r="EG890" s="33" t="str">
        <f>IF(NOT(ISBLANK($B890)),VLOOKUP($B890,AssetCategories!$A:$E,5,0),"")</f>
        <v/>
      </c>
      <c r="EH890" t="str">
        <f>IF(NOT(ISBLANK($B890)),VLOOKUP($B890,AssetCategories!$A:$E,4,0),"")</f>
        <v/>
      </c>
      <c r="EM890" t="str">
        <f>IF(NOT(ISBLANK($B890)),VLOOKUP($B890,AssetCategories!$A:$E,2,0),"")</f>
        <v/>
      </c>
      <c r="EN890" t="str">
        <f>IF(NOT(ISBLANK($B890)),VLOOKUP($B890,AssetCategories!$A:$E,3,0),"")</f>
        <v/>
      </c>
      <c r="EP890" s="33" t="str">
        <f t="shared" si="27"/>
        <v/>
      </c>
    </row>
    <row r="891" spans="16:146" x14ac:dyDescent="0.25">
      <c r="P891" s="33" t="str" cm="1">
        <f t="array" ref="P891">IFERROR(SUM(VALUE(_xlfn.TEXTSPLIT(O891, ";"))), "")</f>
        <v/>
      </c>
      <c r="DO891" t="str">
        <f t="shared" si="26"/>
        <v/>
      </c>
      <c r="EG891" s="33" t="str">
        <f>IF(NOT(ISBLANK($B891)),VLOOKUP($B891,AssetCategories!$A:$E,5,0),"")</f>
        <v/>
      </c>
      <c r="EH891" t="str">
        <f>IF(NOT(ISBLANK($B891)),VLOOKUP($B891,AssetCategories!$A:$E,4,0),"")</f>
        <v/>
      </c>
      <c r="EM891" t="str">
        <f>IF(NOT(ISBLANK($B891)),VLOOKUP($B891,AssetCategories!$A:$E,2,0),"")</f>
        <v/>
      </c>
      <c r="EN891" t="str">
        <f>IF(NOT(ISBLANK($B891)),VLOOKUP($B891,AssetCategories!$A:$E,3,0),"")</f>
        <v/>
      </c>
      <c r="EP891" s="33" t="str">
        <f t="shared" si="27"/>
        <v/>
      </c>
    </row>
    <row r="892" spans="16:146" x14ac:dyDescent="0.25">
      <c r="P892" s="33" t="str" cm="1">
        <f t="array" ref="P892">IFERROR(SUM(VALUE(_xlfn.TEXTSPLIT(O892, ";"))), "")</f>
        <v/>
      </c>
      <c r="DO892" t="str">
        <f t="shared" si="26"/>
        <v/>
      </c>
      <c r="EG892" s="33" t="str">
        <f>IF(NOT(ISBLANK($B892)),VLOOKUP($B892,AssetCategories!$A:$E,5,0),"")</f>
        <v/>
      </c>
      <c r="EH892" t="str">
        <f>IF(NOT(ISBLANK($B892)),VLOOKUP($B892,AssetCategories!$A:$E,4,0),"")</f>
        <v/>
      </c>
      <c r="EM892" t="str">
        <f>IF(NOT(ISBLANK($B892)),VLOOKUP($B892,AssetCategories!$A:$E,2,0),"")</f>
        <v/>
      </c>
      <c r="EN892" t="str">
        <f>IF(NOT(ISBLANK($B892)),VLOOKUP($B892,AssetCategories!$A:$E,3,0),"")</f>
        <v/>
      </c>
      <c r="EP892" s="33" t="str">
        <f t="shared" si="27"/>
        <v/>
      </c>
    </row>
    <row r="893" spans="16:146" x14ac:dyDescent="0.25">
      <c r="P893" s="33" t="str" cm="1">
        <f t="array" ref="P893">IFERROR(SUM(VALUE(_xlfn.TEXTSPLIT(O893, ";"))), "")</f>
        <v/>
      </c>
      <c r="DO893" t="str">
        <f t="shared" si="26"/>
        <v/>
      </c>
      <c r="EG893" s="33" t="str">
        <f>IF(NOT(ISBLANK($B893)),VLOOKUP($B893,AssetCategories!$A:$E,5,0),"")</f>
        <v/>
      </c>
      <c r="EH893" t="str">
        <f>IF(NOT(ISBLANK($B893)),VLOOKUP($B893,AssetCategories!$A:$E,4,0),"")</f>
        <v/>
      </c>
      <c r="EM893" t="str">
        <f>IF(NOT(ISBLANK($B893)),VLOOKUP($B893,AssetCategories!$A:$E,2,0),"")</f>
        <v/>
      </c>
      <c r="EN893" t="str">
        <f>IF(NOT(ISBLANK($B893)),VLOOKUP($B893,AssetCategories!$A:$E,3,0),"")</f>
        <v/>
      </c>
      <c r="EP893" s="33" t="str">
        <f t="shared" si="27"/>
        <v/>
      </c>
    </row>
    <row r="894" spans="16:146" x14ac:dyDescent="0.25">
      <c r="P894" s="33" t="str" cm="1">
        <f t="array" ref="P894">IFERROR(SUM(VALUE(_xlfn.TEXTSPLIT(O894, ";"))), "")</f>
        <v/>
      </c>
      <c r="DO894" t="str">
        <f t="shared" si="26"/>
        <v/>
      </c>
      <c r="EG894" s="33" t="str">
        <f>IF(NOT(ISBLANK($B894)),VLOOKUP($B894,AssetCategories!$A:$E,5,0),"")</f>
        <v/>
      </c>
      <c r="EH894" t="str">
        <f>IF(NOT(ISBLANK($B894)),VLOOKUP($B894,AssetCategories!$A:$E,4,0),"")</f>
        <v/>
      </c>
      <c r="EM894" t="str">
        <f>IF(NOT(ISBLANK($B894)),VLOOKUP($B894,AssetCategories!$A:$E,2,0),"")</f>
        <v/>
      </c>
      <c r="EN894" t="str">
        <f>IF(NOT(ISBLANK($B894)),VLOOKUP($B894,AssetCategories!$A:$E,3,0),"")</f>
        <v/>
      </c>
      <c r="EP894" s="33" t="str">
        <f t="shared" si="27"/>
        <v/>
      </c>
    </row>
    <row r="895" spans="16:146" x14ac:dyDescent="0.25">
      <c r="P895" s="33" t="str" cm="1">
        <f t="array" ref="P895">IFERROR(SUM(VALUE(_xlfn.TEXTSPLIT(O895, ";"))), "")</f>
        <v/>
      </c>
      <c r="DO895" t="str">
        <f t="shared" si="26"/>
        <v/>
      </c>
      <c r="EG895" s="33" t="str">
        <f>IF(NOT(ISBLANK($B895)),VLOOKUP($B895,AssetCategories!$A:$E,5,0),"")</f>
        <v/>
      </c>
      <c r="EH895" t="str">
        <f>IF(NOT(ISBLANK($B895)),VLOOKUP($B895,AssetCategories!$A:$E,4,0),"")</f>
        <v/>
      </c>
      <c r="EM895" t="str">
        <f>IF(NOT(ISBLANK($B895)),VLOOKUP($B895,AssetCategories!$A:$E,2,0),"")</f>
        <v/>
      </c>
      <c r="EN895" t="str">
        <f>IF(NOT(ISBLANK($B895)),VLOOKUP($B895,AssetCategories!$A:$E,3,0),"")</f>
        <v/>
      </c>
      <c r="EP895" s="33" t="str">
        <f t="shared" si="27"/>
        <v/>
      </c>
    </row>
    <row r="896" spans="16:146" x14ac:dyDescent="0.25">
      <c r="P896" s="33" t="str" cm="1">
        <f t="array" ref="P896">IFERROR(SUM(VALUE(_xlfn.TEXTSPLIT(O896, ";"))), "")</f>
        <v/>
      </c>
      <c r="DO896" t="str">
        <f t="shared" si="26"/>
        <v/>
      </c>
      <c r="EG896" s="33" t="str">
        <f>IF(NOT(ISBLANK($B896)),VLOOKUP($B896,AssetCategories!$A:$E,5,0),"")</f>
        <v/>
      </c>
      <c r="EH896" t="str">
        <f>IF(NOT(ISBLANK($B896)),VLOOKUP($B896,AssetCategories!$A:$E,4,0),"")</f>
        <v/>
      </c>
      <c r="EM896" t="str">
        <f>IF(NOT(ISBLANK($B896)),VLOOKUP($B896,AssetCategories!$A:$E,2,0),"")</f>
        <v/>
      </c>
      <c r="EN896" t="str">
        <f>IF(NOT(ISBLANK($B896)),VLOOKUP($B896,AssetCategories!$A:$E,3,0),"")</f>
        <v/>
      </c>
      <c r="EP896" s="33" t="str">
        <f t="shared" si="27"/>
        <v/>
      </c>
    </row>
    <row r="897" spans="16:146" x14ac:dyDescent="0.25">
      <c r="P897" s="33" t="str" cm="1">
        <f t="array" ref="P897">IFERROR(SUM(VALUE(_xlfn.TEXTSPLIT(O897, ";"))), "")</f>
        <v/>
      </c>
      <c r="DO897" t="str">
        <f t="shared" si="26"/>
        <v/>
      </c>
      <c r="EG897" s="33" t="str">
        <f>IF(NOT(ISBLANK($B897)),VLOOKUP($B897,AssetCategories!$A:$E,5,0),"")</f>
        <v/>
      </c>
      <c r="EH897" t="str">
        <f>IF(NOT(ISBLANK($B897)),VLOOKUP($B897,AssetCategories!$A:$E,4,0),"")</f>
        <v/>
      </c>
      <c r="EM897" t="str">
        <f>IF(NOT(ISBLANK($B897)),VLOOKUP($B897,AssetCategories!$A:$E,2,0),"")</f>
        <v/>
      </c>
      <c r="EN897" t="str">
        <f>IF(NOT(ISBLANK($B897)),VLOOKUP($B897,AssetCategories!$A:$E,3,0),"")</f>
        <v/>
      </c>
      <c r="EP897" s="33" t="str">
        <f t="shared" si="27"/>
        <v/>
      </c>
    </row>
    <row r="898" spans="16:146" x14ac:dyDescent="0.25">
      <c r="P898" s="33" t="str" cm="1">
        <f t="array" ref="P898">IFERROR(SUM(VALUE(_xlfn.TEXTSPLIT(O898, ";"))), "")</f>
        <v/>
      </c>
      <c r="DO898" t="str">
        <f t="shared" si="26"/>
        <v/>
      </c>
      <c r="EG898" s="33" t="str">
        <f>IF(NOT(ISBLANK($B898)),VLOOKUP($B898,AssetCategories!$A:$E,5,0),"")</f>
        <v/>
      </c>
      <c r="EH898" t="str">
        <f>IF(NOT(ISBLANK($B898)),VLOOKUP($B898,AssetCategories!$A:$E,4,0),"")</f>
        <v/>
      </c>
      <c r="EM898" t="str">
        <f>IF(NOT(ISBLANK($B898)),VLOOKUP($B898,AssetCategories!$A:$E,2,0),"")</f>
        <v/>
      </c>
      <c r="EN898" t="str">
        <f>IF(NOT(ISBLANK($B898)),VLOOKUP($B898,AssetCategories!$A:$E,3,0),"")</f>
        <v/>
      </c>
      <c r="EP898" s="33" t="str">
        <f t="shared" si="27"/>
        <v/>
      </c>
    </row>
    <row r="899" spans="16:146" x14ac:dyDescent="0.25">
      <c r="P899" s="33" t="str" cm="1">
        <f t="array" ref="P899">IFERROR(SUM(VALUE(_xlfn.TEXTSPLIT(O899, ";"))), "")</f>
        <v/>
      </c>
      <c r="DO899" t="str">
        <f t="shared" si="26"/>
        <v/>
      </c>
      <c r="EG899" s="33" t="str">
        <f>IF(NOT(ISBLANK($B899)),VLOOKUP($B899,AssetCategories!$A:$E,5,0),"")</f>
        <v/>
      </c>
      <c r="EH899" t="str">
        <f>IF(NOT(ISBLANK($B899)),VLOOKUP($B899,AssetCategories!$A:$E,4,0),"")</f>
        <v/>
      </c>
      <c r="EM899" t="str">
        <f>IF(NOT(ISBLANK($B899)),VLOOKUP($B899,AssetCategories!$A:$E,2,0),"")</f>
        <v/>
      </c>
      <c r="EN899" t="str">
        <f>IF(NOT(ISBLANK($B899)),VLOOKUP($B899,AssetCategories!$A:$E,3,0),"")</f>
        <v/>
      </c>
      <c r="EP899" s="33" t="str">
        <f t="shared" si="27"/>
        <v/>
      </c>
    </row>
    <row r="900" spans="16:146" x14ac:dyDescent="0.25">
      <c r="P900" s="33" t="str" cm="1">
        <f t="array" ref="P900">IFERROR(SUM(VALUE(_xlfn.TEXTSPLIT(O900, ";"))), "")</f>
        <v/>
      </c>
      <c r="DO900" t="str">
        <f t="shared" si="26"/>
        <v/>
      </c>
      <c r="EG900" s="33" t="str">
        <f>IF(NOT(ISBLANK($B900)),VLOOKUP($B900,AssetCategories!$A:$E,5,0),"")</f>
        <v/>
      </c>
      <c r="EH900" t="str">
        <f>IF(NOT(ISBLANK($B900)),VLOOKUP($B900,AssetCategories!$A:$E,4,0),"")</f>
        <v/>
      </c>
      <c r="EM900" t="str">
        <f>IF(NOT(ISBLANK($B900)),VLOOKUP($B900,AssetCategories!$A:$E,2,0),"")</f>
        <v/>
      </c>
      <c r="EN900" t="str">
        <f>IF(NOT(ISBLANK($B900)),VLOOKUP($B900,AssetCategories!$A:$E,3,0),"")</f>
        <v/>
      </c>
      <c r="EP900" s="33" t="str">
        <f t="shared" si="27"/>
        <v/>
      </c>
    </row>
    <row r="901" spans="16:146" x14ac:dyDescent="0.25">
      <c r="P901" s="33" t="str" cm="1">
        <f t="array" ref="P901">IFERROR(SUM(VALUE(_xlfn.TEXTSPLIT(O901, ";"))), "")</f>
        <v/>
      </c>
      <c r="DO901" t="str">
        <f t="shared" ref="DO901:DO964" si="28">IF(SUM(DE901:DN901)=0, "", SUM(DE901:DN901))</f>
        <v/>
      </c>
      <c r="EG901" s="33" t="str">
        <f>IF(NOT(ISBLANK($B901)),VLOOKUP($B901,AssetCategories!$A:$E,5,0),"")</f>
        <v/>
      </c>
      <c r="EH901" t="str">
        <f>IF(NOT(ISBLANK($B901)),VLOOKUP($B901,AssetCategories!$A:$E,4,0),"")</f>
        <v/>
      </c>
      <c r="EM901" t="str">
        <f>IF(NOT(ISBLANK($B901)),VLOOKUP($B901,AssetCategories!$A:$E,2,0),"")</f>
        <v/>
      </c>
      <c r="EN901" t="str">
        <f>IF(NOT(ISBLANK($B901)),VLOOKUP($B901,AssetCategories!$A:$E,3,0),"")</f>
        <v/>
      </c>
      <c r="EP901" s="33" t="str">
        <f t="shared" ref="EP901:EP964" si="29">IFERROR(P901-EO901, "")</f>
        <v/>
      </c>
    </row>
    <row r="902" spans="16:146" x14ac:dyDescent="0.25">
      <c r="P902" s="33" t="str" cm="1">
        <f t="array" ref="P902">IFERROR(SUM(VALUE(_xlfn.TEXTSPLIT(O902, ";"))), "")</f>
        <v/>
      </c>
      <c r="DO902" t="str">
        <f t="shared" si="28"/>
        <v/>
      </c>
      <c r="EG902" s="33" t="str">
        <f>IF(NOT(ISBLANK($B902)),VLOOKUP($B902,AssetCategories!$A:$E,5,0),"")</f>
        <v/>
      </c>
      <c r="EH902" t="str">
        <f>IF(NOT(ISBLANK($B902)),VLOOKUP($B902,AssetCategories!$A:$E,4,0),"")</f>
        <v/>
      </c>
      <c r="EM902" t="str">
        <f>IF(NOT(ISBLANK($B902)),VLOOKUP($B902,AssetCategories!$A:$E,2,0),"")</f>
        <v/>
      </c>
      <c r="EN902" t="str">
        <f>IF(NOT(ISBLANK($B902)),VLOOKUP($B902,AssetCategories!$A:$E,3,0),"")</f>
        <v/>
      </c>
      <c r="EP902" s="33" t="str">
        <f t="shared" si="29"/>
        <v/>
      </c>
    </row>
    <row r="903" spans="16:146" x14ac:dyDescent="0.25">
      <c r="P903" s="33" t="str" cm="1">
        <f t="array" ref="P903">IFERROR(SUM(VALUE(_xlfn.TEXTSPLIT(O903, ";"))), "")</f>
        <v/>
      </c>
      <c r="DO903" t="str">
        <f t="shared" si="28"/>
        <v/>
      </c>
      <c r="EG903" s="33" t="str">
        <f>IF(NOT(ISBLANK($B903)),VLOOKUP($B903,AssetCategories!$A:$E,5,0),"")</f>
        <v/>
      </c>
      <c r="EH903" t="str">
        <f>IF(NOT(ISBLANK($B903)),VLOOKUP($B903,AssetCategories!$A:$E,4,0),"")</f>
        <v/>
      </c>
      <c r="EM903" t="str">
        <f>IF(NOT(ISBLANK($B903)),VLOOKUP($B903,AssetCategories!$A:$E,2,0),"")</f>
        <v/>
      </c>
      <c r="EN903" t="str">
        <f>IF(NOT(ISBLANK($B903)),VLOOKUP($B903,AssetCategories!$A:$E,3,0),"")</f>
        <v/>
      </c>
      <c r="EP903" s="33" t="str">
        <f t="shared" si="29"/>
        <v/>
      </c>
    </row>
    <row r="904" spans="16:146" x14ac:dyDescent="0.25">
      <c r="P904" s="33" t="str" cm="1">
        <f t="array" ref="P904">IFERROR(SUM(VALUE(_xlfn.TEXTSPLIT(O904, ";"))), "")</f>
        <v/>
      </c>
      <c r="DO904" t="str">
        <f t="shared" si="28"/>
        <v/>
      </c>
      <c r="EG904" s="33" t="str">
        <f>IF(NOT(ISBLANK($B904)),VLOOKUP($B904,AssetCategories!$A:$E,5,0),"")</f>
        <v/>
      </c>
      <c r="EH904" t="str">
        <f>IF(NOT(ISBLANK($B904)),VLOOKUP($B904,AssetCategories!$A:$E,4,0),"")</f>
        <v/>
      </c>
      <c r="EM904" t="str">
        <f>IF(NOT(ISBLANK($B904)),VLOOKUP($B904,AssetCategories!$A:$E,2,0),"")</f>
        <v/>
      </c>
      <c r="EN904" t="str">
        <f>IF(NOT(ISBLANK($B904)),VLOOKUP($B904,AssetCategories!$A:$E,3,0),"")</f>
        <v/>
      </c>
      <c r="EP904" s="33" t="str">
        <f t="shared" si="29"/>
        <v/>
      </c>
    </row>
    <row r="905" spans="16:146" x14ac:dyDescent="0.25">
      <c r="P905" s="33" t="str" cm="1">
        <f t="array" ref="P905">IFERROR(SUM(VALUE(_xlfn.TEXTSPLIT(O905, ";"))), "")</f>
        <v/>
      </c>
      <c r="DO905" t="str">
        <f t="shared" si="28"/>
        <v/>
      </c>
      <c r="EG905" s="33" t="str">
        <f>IF(NOT(ISBLANK($B905)),VLOOKUP($B905,AssetCategories!$A:$E,5,0),"")</f>
        <v/>
      </c>
      <c r="EH905" t="str">
        <f>IF(NOT(ISBLANK($B905)),VLOOKUP($B905,AssetCategories!$A:$E,4,0),"")</f>
        <v/>
      </c>
      <c r="EM905" t="str">
        <f>IF(NOT(ISBLANK($B905)),VLOOKUP($B905,AssetCategories!$A:$E,2,0),"")</f>
        <v/>
      </c>
      <c r="EN905" t="str">
        <f>IF(NOT(ISBLANK($B905)),VLOOKUP($B905,AssetCategories!$A:$E,3,0),"")</f>
        <v/>
      </c>
      <c r="EP905" s="33" t="str">
        <f t="shared" si="29"/>
        <v/>
      </c>
    </row>
    <row r="906" spans="16:146" x14ac:dyDescent="0.25">
      <c r="P906" s="33" t="str" cm="1">
        <f t="array" ref="P906">IFERROR(SUM(VALUE(_xlfn.TEXTSPLIT(O906, ";"))), "")</f>
        <v/>
      </c>
      <c r="DO906" t="str">
        <f t="shared" si="28"/>
        <v/>
      </c>
      <c r="EG906" s="33" t="str">
        <f>IF(NOT(ISBLANK($B906)),VLOOKUP($B906,AssetCategories!$A:$E,5,0),"")</f>
        <v/>
      </c>
      <c r="EH906" t="str">
        <f>IF(NOT(ISBLANK($B906)),VLOOKUP($B906,AssetCategories!$A:$E,4,0),"")</f>
        <v/>
      </c>
      <c r="EM906" t="str">
        <f>IF(NOT(ISBLANK($B906)),VLOOKUP($B906,AssetCategories!$A:$E,2,0),"")</f>
        <v/>
      </c>
      <c r="EN906" t="str">
        <f>IF(NOT(ISBLANK($B906)),VLOOKUP($B906,AssetCategories!$A:$E,3,0),"")</f>
        <v/>
      </c>
      <c r="EP906" s="33" t="str">
        <f t="shared" si="29"/>
        <v/>
      </c>
    </row>
    <row r="907" spans="16:146" x14ac:dyDescent="0.25">
      <c r="P907" s="33" t="str" cm="1">
        <f t="array" ref="P907">IFERROR(SUM(VALUE(_xlfn.TEXTSPLIT(O907, ";"))), "")</f>
        <v/>
      </c>
      <c r="DO907" t="str">
        <f t="shared" si="28"/>
        <v/>
      </c>
      <c r="EG907" s="33" t="str">
        <f>IF(NOT(ISBLANK($B907)),VLOOKUP($B907,AssetCategories!$A:$E,5,0),"")</f>
        <v/>
      </c>
      <c r="EH907" t="str">
        <f>IF(NOT(ISBLANK($B907)),VLOOKUP($B907,AssetCategories!$A:$E,4,0),"")</f>
        <v/>
      </c>
      <c r="EM907" t="str">
        <f>IF(NOT(ISBLANK($B907)),VLOOKUP($B907,AssetCategories!$A:$E,2,0),"")</f>
        <v/>
      </c>
      <c r="EN907" t="str">
        <f>IF(NOT(ISBLANK($B907)),VLOOKUP($B907,AssetCategories!$A:$E,3,0),"")</f>
        <v/>
      </c>
      <c r="EP907" s="33" t="str">
        <f t="shared" si="29"/>
        <v/>
      </c>
    </row>
    <row r="908" spans="16:146" x14ac:dyDescent="0.25">
      <c r="P908" s="33" t="str" cm="1">
        <f t="array" ref="P908">IFERROR(SUM(VALUE(_xlfn.TEXTSPLIT(O908, ";"))), "")</f>
        <v/>
      </c>
      <c r="DO908" t="str">
        <f t="shared" si="28"/>
        <v/>
      </c>
      <c r="EG908" s="33" t="str">
        <f>IF(NOT(ISBLANK($B908)),VLOOKUP($B908,AssetCategories!$A:$E,5,0),"")</f>
        <v/>
      </c>
      <c r="EH908" t="str">
        <f>IF(NOT(ISBLANK($B908)),VLOOKUP($B908,AssetCategories!$A:$E,4,0),"")</f>
        <v/>
      </c>
      <c r="EM908" t="str">
        <f>IF(NOT(ISBLANK($B908)),VLOOKUP($B908,AssetCategories!$A:$E,2,0),"")</f>
        <v/>
      </c>
      <c r="EN908" t="str">
        <f>IF(NOT(ISBLANK($B908)),VLOOKUP($B908,AssetCategories!$A:$E,3,0),"")</f>
        <v/>
      </c>
      <c r="EP908" s="33" t="str">
        <f t="shared" si="29"/>
        <v/>
      </c>
    </row>
    <row r="909" spans="16:146" x14ac:dyDescent="0.25">
      <c r="P909" s="33" t="str" cm="1">
        <f t="array" ref="P909">IFERROR(SUM(VALUE(_xlfn.TEXTSPLIT(O909, ";"))), "")</f>
        <v/>
      </c>
      <c r="DO909" t="str">
        <f t="shared" si="28"/>
        <v/>
      </c>
      <c r="EG909" s="33" t="str">
        <f>IF(NOT(ISBLANK($B909)),VLOOKUP($B909,AssetCategories!$A:$E,5,0),"")</f>
        <v/>
      </c>
      <c r="EH909" t="str">
        <f>IF(NOT(ISBLANK($B909)),VLOOKUP($B909,AssetCategories!$A:$E,4,0),"")</f>
        <v/>
      </c>
      <c r="EM909" t="str">
        <f>IF(NOT(ISBLANK($B909)),VLOOKUP($B909,AssetCategories!$A:$E,2,0),"")</f>
        <v/>
      </c>
      <c r="EN909" t="str">
        <f>IF(NOT(ISBLANK($B909)),VLOOKUP($B909,AssetCategories!$A:$E,3,0),"")</f>
        <v/>
      </c>
      <c r="EP909" s="33" t="str">
        <f t="shared" si="29"/>
        <v/>
      </c>
    </row>
    <row r="910" spans="16:146" x14ac:dyDescent="0.25">
      <c r="P910" s="33" t="str" cm="1">
        <f t="array" ref="P910">IFERROR(SUM(VALUE(_xlfn.TEXTSPLIT(O910, ";"))), "")</f>
        <v/>
      </c>
      <c r="DO910" t="str">
        <f t="shared" si="28"/>
        <v/>
      </c>
      <c r="EG910" s="33" t="str">
        <f>IF(NOT(ISBLANK($B910)),VLOOKUP($B910,AssetCategories!$A:$E,5,0),"")</f>
        <v/>
      </c>
      <c r="EH910" t="str">
        <f>IF(NOT(ISBLANK($B910)),VLOOKUP($B910,AssetCategories!$A:$E,4,0),"")</f>
        <v/>
      </c>
      <c r="EM910" t="str">
        <f>IF(NOT(ISBLANK($B910)),VLOOKUP($B910,AssetCategories!$A:$E,2,0),"")</f>
        <v/>
      </c>
      <c r="EN910" t="str">
        <f>IF(NOT(ISBLANK($B910)),VLOOKUP($B910,AssetCategories!$A:$E,3,0),"")</f>
        <v/>
      </c>
      <c r="EP910" s="33" t="str">
        <f t="shared" si="29"/>
        <v/>
      </c>
    </row>
    <row r="911" spans="16:146" x14ac:dyDescent="0.25">
      <c r="P911" s="33" t="str" cm="1">
        <f t="array" ref="P911">IFERROR(SUM(VALUE(_xlfn.TEXTSPLIT(O911, ";"))), "")</f>
        <v/>
      </c>
      <c r="DO911" t="str">
        <f t="shared" si="28"/>
        <v/>
      </c>
      <c r="EG911" s="33" t="str">
        <f>IF(NOT(ISBLANK($B911)),VLOOKUP($B911,AssetCategories!$A:$E,5,0),"")</f>
        <v/>
      </c>
      <c r="EH911" t="str">
        <f>IF(NOT(ISBLANK($B911)),VLOOKUP($B911,AssetCategories!$A:$E,4,0),"")</f>
        <v/>
      </c>
      <c r="EM911" t="str">
        <f>IF(NOT(ISBLANK($B911)),VLOOKUP($B911,AssetCategories!$A:$E,2,0),"")</f>
        <v/>
      </c>
      <c r="EN911" t="str">
        <f>IF(NOT(ISBLANK($B911)),VLOOKUP($B911,AssetCategories!$A:$E,3,0),"")</f>
        <v/>
      </c>
      <c r="EP911" s="33" t="str">
        <f t="shared" si="29"/>
        <v/>
      </c>
    </row>
    <row r="912" spans="16:146" x14ac:dyDescent="0.25">
      <c r="P912" s="33" t="str" cm="1">
        <f t="array" ref="P912">IFERROR(SUM(VALUE(_xlfn.TEXTSPLIT(O912, ";"))), "")</f>
        <v/>
      </c>
      <c r="DO912" t="str">
        <f t="shared" si="28"/>
        <v/>
      </c>
      <c r="EG912" s="33" t="str">
        <f>IF(NOT(ISBLANK($B912)),VLOOKUP($B912,AssetCategories!$A:$E,5,0),"")</f>
        <v/>
      </c>
      <c r="EH912" t="str">
        <f>IF(NOT(ISBLANK($B912)),VLOOKUP($B912,AssetCategories!$A:$E,4,0),"")</f>
        <v/>
      </c>
      <c r="EM912" t="str">
        <f>IF(NOT(ISBLANK($B912)),VLOOKUP($B912,AssetCategories!$A:$E,2,0),"")</f>
        <v/>
      </c>
      <c r="EN912" t="str">
        <f>IF(NOT(ISBLANK($B912)),VLOOKUP($B912,AssetCategories!$A:$E,3,0),"")</f>
        <v/>
      </c>
      <c r="EP912" s="33" t="str">
        <f t="shared" si="29"/>
        <v/>
      </c>
    </row>
    <row r="913" spans="16:146" x14ac:dyDescent="0.25">
      <c r="P913" s="33" t="str" cm="1">
        <f t="array" ref="P913">IFERROR(SUM(VALUE(_xlfn.TEXTSPLIT(O913, ";"))), "")</f>
        <v/>
      </c>
      <c r="DO913" t="str">
        <f t="shared" si="28"/>
        <v/>
      </c>
      <c r="EG913" s="33" t="str">
        <f>IF(NOT(ISBLANK($B913)),VLOOKUP($B913,AssetCategories!$A:$E,5,0),"")</f>
        <v/>
      </c>
      <c r="EH913" t="str">
        <f>IF(NOT(ISBLANK($B913)),VLOOKUP($B913,AssetCategories!$A:$E,4,0),"")</f>
        <v/>
      </c>
      <c r="EM913" t="str">
        <f>IF(NOT(ISBLANK($B913)),VLOOKUP($B913,AssetCategories!$A:$E,2,0),"")</f>
        <v/>
      </c>
      <c r="EN913" t="str">
        <f>IF(NOT(ISBLANK($B913)),VLOOKUP($B913,AssetCategories!$A:$E,3,0),"")</f>
        <v/>
      </c>
      <c r="EP913" s="33" t="str">
        <f t="shared" si="29"/>
        <v/>
      </c>
    </row>
    <row r="914" spans="16:146" x14ac:dyDescent="0.25">
      <c r="P914" s="33" t="str" cm="1">
        <f t="array" ref="P914">IFERROR(SUM(VALUE(_xlfn.TEXTSPLIT(O914, ";"))), "")</f>
        <v/>
      </c>
      <c r="DO914" t="str">
        <f t="shared" si="28"/>
        <v/>
      </c>
      <c r="EG914" s="33" t="str">
        <f>IF(NOT(ISBLANK($B914)),VLOOKUP($B914,AssetCategories!$A:$E,5,0),"")</f>
        <v/>
      </c>
      <c r="EH914" t="str">
        <f>IF(NOT(ISBLANK($B914)),VLOOKUP($B914,AssetCategories!$A:$E,4,0),"")</f>
        <v/>
      </c>
      <c r="EM914" t="str">
        <f>IF(NOT(ISBLANK($B914)),VLOOKUP($B914,AssetCategories!$A:$E,2,0),"")</f>
        <v/>
      </c>
      <c r="EN914" t="str">
        <f>IF(NOT(ISBLANK($B914)),VLOOKUP($B914,AssetCategories!$A:$E,3,0),"")</f>
        <v/>
      </c>
      <c r="EP914" s="33" t="str">
        <f t="shared" si="29"/>
        <v/>
      </c>
    </row>
    <row r="915" spans="16:146" x14ac:dyDescent="0.25">
      <c r="P915" s="33" t="str" cm="1">
        <f t="array" ref="P915">IFERROR(SUM(VALUE(_xlfn.TEXTSPLIT(O915, ";"))), "")</f>
        <v/>
      </c>
      <c r="DO915" t="str">
        <f t="shared" si="28"/>
        <v/>
      </c>
      <c r="EG915" s="33" t="str">
        <f>IF(NOT(ISBLANK($B915)),VLOOKUP($B915,AssetCategories!$A:$E,5,0),"")</f>
        <v/>
      </c>
      <c r="EH915" t="str">
        <f>IF(NOT(ISBLANK($B915)),VLOOKUP($B915,AssetCategories!$A:$E,4,0),"")</f>
        <v/>
      </c>
      <c r="EM915" t="str">
        <f>IF(NOT(ISBLANK($B915)),VLOOKUP($B915,AssetCategories!$A:$E,2,0),"")</f>
        <v/>
      </c>
      <c r="EN915" t="str">
        <f>IF(NOT(ISBLANK($B915)),VLOOKUP($B915,AssetCategories!$A:$E,3,0),"")</f>
        <v/>
      </c>
      <c r="EP915" s="33" t="str">
        <f t="shared" si="29"/>
        <v/>
      </c>
    </row>
    <row r="916" spans="16:146" x14ac:dyDescent="0.25">
      <c r="P916" s="33" t="str" cm="1">
        <f t="array" ref="P916">IFERROR(SUM(VALUE(_xlfn.TEXTSPLIT(O916, ";"))), "")</f>
        <v/>
      </c>
      <c r="DO916" t="str">
        <f t="shared" si="28"/>
        <v/>
      </c>
      <c r="EG916" s="33" t="str">
        <f>IF(NOT(ISBLANK($B916)),VLOOKUP($B916,AssetCategories!$A:$E,5,0),"")</f>
        <v/>
      </c>
      <c r="EH916" t="str">
        <f>IF(NOT(ISBLANK($B916)),VLOOKUP($B916,AssetCategories!$A:$E,4,0),"")</f>
        <v/>
      </c>
      <c r="EM916" t="str">
        <f>IF(NOT(ISBLANK($B916)),VLOOKUP($B916,AssetCategories!$A:$E,2,0),"")</f>
        <v/>
      </c>
      <c r="EN916" t="str">
        <f>IF(NOT(ISBLANK($B916)),VLOOKUP($B916,AssetCategories!$A:$E,3,0),"")</f>
        <v/>
      </c>
      <c r="EP916" s="33" t="str">
        <f t="shared" si="29"/>
        <v/>
      </c>
    </row>
    <row r="917" spans="16:146" x14ac:dyDescent="0.25">
      <c r="P917" s="33" t="str" cm="1">
        <f t="array" ref="P917">IFERROR(SUM(VALUE(_xlfn.TEXTSPLIT(O917, ";"))), "")</f>
        <v/>
      </c>
      <c r="DO917" t="str">
        <f t="shared" si="28"/>
        <v/>
      </c>
      <c r="EG917" s="33" t="str">
        <f>IF(NOT(ISBLANK($B917)),VLOOKUP($B917,AssetCategories!$A:$E,5,0),"")</f>
        <v/>
      </c>
      <c r="EH917" t="str">
        <f>IF(NOT(ISBLANK($B917)),VLOOKUP($B917,AssetCategories!$A:$E,4,0),"")</f>
        <v/>
      </c>
      <c r="EM917" t="str">
        <f>IF(NOT(ISBLANK($B917)),VLOOKUP($B917,AssetCategories!$A:$E,2,0),"")</f>
        <v/>
      </c>
      <c r="EN917" t="str">
        <f>IF(NOT(ISBLANK($B917)),VLOOKUP($B917,AssetCategories!$A:$E,3,0),"")</f>
        <v/>
      </c>
      <c r="EP917" s="33" t="str">
        <f t="shared" si="29"/>
        <v/>
      </c>
    </row>
    <row r="918" spans="16:146" x14ac:dyDescent="0.25">
      <c r="P918" s="33" t="str" cm="1">
        <f t="array" ref="P918">IFERROR(SUM(VALUE(_xlfn.TEXTSPLIT(O918, ";"))), "")</f>
        <v/>
      </c>
      <c r="DO918" t="str">
        <f t="shared" si="28"/>
        <v/>
      </c>
      <c r="EG918" s="33" t="str">
        <f>IF(NOT(ISBLANK($B918)),VLOOKUP($B918,AssetCategories!$A:$E,5,0),"")</f>
        <v/>
      </c>
      <c r="EH918" t="str">
        <f>IF(NOT(ISBLANK($B918)),VLOOKUP($B918,AssetCategories!$A:$E,4,0),"")</f>
        <v/>
      </c>
      <c r="EM918" t="str">
        <f>IF(NOT(ISBLANK($B918)),VLOOKUP($B918,AssetCategories!$A:$E,2,0),"")</f>
        <v/>
      </c>
      <c r="EN918" t="str">
        <f>IF(NOT(ISBLANK($B918)),VLOOKUP($B918,AssetCategories!$A:$E,3,0),"")</f>
        <v/>
      </c>
      <c r="EP918" s="33" t="str">
        <f t="shared" si="29"/>
        <v/>
      </c>
    </row>
    <row r="919" spans="16:146" x14ac:dyDescent="0.25">
      <c r="P919" s="33" t="str" cm="1">
        <f t="array" ref="P919">IFERROR(SUM(VALUE(_xlfn.TEXTSPLIT(O919, ";"))), "")</f>
        <v/>
      </c>
      <c r="DO919" t="str">
        <f t="shared" si="28"/>
        <v/>
      </c>
      <c r="EG919" s="33" t="str">
        <f>IF(NOT(ISBLANK($B919)),VLOOKUP($B919,AssetCategories!$A:$E,5,0),"")</f>
        <v/>
      </c>
      <c r="EH919" t="str">
        <f>IF(NOT(ISBLANK($B919)),VLOOKUP($B919,AssetCategories!$A:$E,4,0),"")</f>
        <v/>
      </c>
      <c r="EM919" t="str">
        <f>IF(NOT(ISBLANK($B919)),VLOOKUP($B919,AssetCategories!$A:$E,2,0),"")</f>
        <v/>
      </c>
      <c r="EN919" t="str">
        <f>IF(NOT(ISBLANK($B919)),VLOOKUP($B919,AssetCategories!$A:$E,3,0),"")</f>
        <v/>
      </c>
      <c r="EP919" s="33" t="str">
        <f t="shared" si="29"/>
        <v/>
      </c>
    </row>
    <row r="920" spans="16:146" x14ac:dyDescent="0.25">
      <c r="P920" s="33" t="str" cm="1">
        <f t="array" ref="P920">IFERROR(SUM(VALUE(_xlfn.TEXTSPLIT(O920, ";"))), "")</f>
        <v/>
      </c>
      <c r="DO920" t="str">
        <f t="shared" si="28"/>
        <v/>
      </c>
      <c r="EG920" s="33" t="str">
        <f>IF(NOT(ISBLANK($B920)),VLOOKUP($B920,AssetCategories!$A:$E,5,0),"")</f>
        <v/>
      </c>
      <c r="EH920" t="str">
        <f>IF(NOT(ISBLANK($B920)),VLOOKUP($B920,AssetCategories!$A:$E,4,0),"")</f>
        <v/>
      </c>
      <c r="EM920" t="str">
        <f>IF(NOT(ISBLANK($B920)),VLOOKUP($B920,AssetCategories!$A:$E,2,0),"")</f>
        <v/>
      </c>
      <c r="EN920" t="str">
        <f>IF(NOT(ISBLANK($B920)),VLOOKUP($B920,AssetCategories!$A:$E,3,0),"")</f>
        <v/>
      </c>
      <c r="EP920" s="33" t="str">
        <f t="shared" si="29"/>
        <v/>
      </c>
    </row>
    <row r="921" spans="16:146" x14ac:dyDescent="0.25">
      <c r="P921" s="33" t="str" cm="1">
        <f t="array" ref="P921">IFERROR(SUM(VALUE(_xlfn.TEXTSPLIT(O921, ";"))), "")</f>
        <v/>
      </c>
      <c r="DO921" t="str">
        <f t="shared" si="28"/>
        <v/>
      </c>
      <c r="EG921" s="33" t="str">
        <f>IF(NOT(ISBLANK($B921)),VLOOKUP($B921,AssetCategories!$A:$E,5,0),"")</f>
        <v/>
      </c>
      <c r="EH921" t="str">
        <f>IF(NOT(ISBLANK($B921)),VLOOKUP($B921,AssetCategories!$A:$E,4,0),"")</f>
        <v/>
      </c>
      <c r="EM921" t="str">
        <f>IF(NOT(ISBLANK($B921)),VLOOKUP($B921,AssetCategories!$A:$E,2,0),"")</f>
        <v/>
      </c>
      <c r="EN921" t="str">
        <f>IF(NOT(ISBLANK($B921)),VLOOKUP($B921,AssetCategories!$A:$E,3,0),"")</f>
        <v/>
      </c>
      <c r="EP921" s="33" t="str">
        <f t="shared" si="29"/>
        <v/>
      </c>
    </row>
    <row r="922" spans="16:146" x14ac:dyDescent="0.25">
      <c r="P922" s="33" t="str" cm="1">
        <f t="array" ref="P922">IFERROR(SUM(VALUE(_xlfn.TEXTSPLIT(O922, ";"))), "")</f>
        <v/>
      </c>
      <c r="DO922" t="str">
        <f t="shared" si="28"/>
        <v/>
      </c>
      <c r="EG922" s="33" t="str">
        <f>IF(NOT(ISBLANK($B922)),VLOOKUP($B922,AssetCategories!$A:$E,5,0),"")</f>
        <v/>
      </c>
      <c r="EH922" t="str">
        <f>IF(NOT(ISBLANK($B922)),VLOOKUP($B922,AssetCategories!$A:$E,4,0),"")</f>
        <v/>
      </c>
      <c r="EM922" t="str">
        <f>IF(NOT(ISBLANK($B922)),VLOOKUP($B922,AssetCategories!$A:$E,2,0),"")</f>
        <v/>
      </c>
      <c r="EN922" t="str">
        <f>IF(NOT(ISBLANK($B922)),VLOOKUP($B922,AssetCategories!$A:$E,3,0),"")</f>
        <v/>
      </c>
      <c r="EP922" s="33" t="str">
        <f t="shared" si="29"/>
        <v/>
      </c>
    </row>
    <row r="923" spans="16:146" x14ac:dyDescent="0.25">
      <c r="P923" s="33" t="str" cm="1">
        <f t="array" ref="P923">IFERROR(SUM(VALUE(_xlfn.TEXTSPLIT(O923, ";"))), "")</f>
        <v/>
      </c>
      <c r="DO923" t="str">
        <f t="shared" si="28"/>
        <v/>
      </c>
      <c r="EG923" s="33" t="str">
        <f>IF(NOT(ISBLANK($B923)),VLOOKUP($B923,AssetCategories!$A:$E,5,0),"")</f>
        <v/>
      </c>
      <c r="EH923" t="str">
        <f>IF(NOT(ISBLANK($B923)),VLOOKUP($B923,AssetCategories!$A:$E,4,0),"")</f>
        <v/>
      </c>
      <c r="EM923" t="str">
        <f>IF(NOT(ISBLANK($B923)),VLOOKUP($B923,AssetCategories!$A:$E,2,0),"")</f>
        <v/>
      </c>
      <c r="EN923" t="str">
        <f>IF(NOT(ISBLANK($B923)),VLOOKUP($B923,AssetCategories!$A:$E,3,0),"")</f>
        <v/>
      </c>
      <c r="EP923" s="33" t="str">
        <f t="shared" si="29"/>
        <v/>
      </c>
    </row>
    <row r="924" spans="16:146" x14ac:dyDescent="0.25">
      <c r="P924" s="33" t="str" cm="1">
        <f t="array" ref="P924">IFERROR(SUM(VALUE(_xlfn.TEXTSPLIT(O924, ";"))), "")</f>
        <v/>
      </c>
      <c r="DO924" t="str">
        <f t="shared" si="28"/>
        <v/>
      </c>
      <c r="EG924" s="33" t="str">
        <f>IF(NOT(ISBLANK($B924)),VLOOKUP($B924,AssetCategories!$A:$E,5,0),"")</f>
        <v/>
      </c>
      <c r="EH924" t="str">
        <f>IF(NOT(ISBLANK($B924)),VLOOKUP($B924,AssetCategories!$A:$E,4,0),"")</f>
        <v/>
      </c>
      <c r="EM924" t="str">
        <f>IF(NOT(ISBLANK($B924)),VLOOKUP($B924,AssetCategories!$A:$E,2,0),"")</f>
        <v/>
      </c>
      <c r="EN924" t="str">
        <f>IF(NOT(ISBLANK($B924)),VLOOKUP($B924,AssetCategories!$A:$E,3,0),"")</f>
        <v/>
      </c>
      <c r="EP924" s="33" t="str">
        <f t="shared" si="29"/>
        <v/>
      </c>
    </row>
    <row r="925" spans="16:146" x14ac:dyDescent="0.25">
      <c r="P925" s="33" t="str" cm="1">
        <f t="array" ref="P925">IFERROR(SUM(VALUE(_xlfn.TEXTSPLIT(O925, ";"))), "")</f>
        <v/>
      </c>
      <c r="DO925" t="str">
        <f t="shared" si="28"/>
        <v/>
      </c>
      <c r="EG925" s="33" t="str">
        <f>IF(NOT(ISBLANK($B925)),VLOOKUP($B925,AssetCategories!$A:$E,5,0),"")</f>
        <v/>
      </c>
      <c r="EH925" t="str">
        <f>IF(NOT(ISBLANK($B925)),VLOOKUP($B925,AssetCategories!$A:$E,4,0),"")</f>
        <v/>
      </c>
      <c r="EM925" t="str">
        <f>IF(NOT(ISBLANK($B925)),VLOOKUP($B925,AssetCategories!$A:$E,2,0),"")</f>
        <v/>
      </c>
      <c r="EN925" t="str">
        <f>IF(NOT(ISBLANK($B925)),VLOOKUP($B925,AssetCategories!$A:$E,3,0),"")</f>
        <v/>
      </c>
      <c r="EP925" s="33" t="str">
        <f t="shared" si="29"/>
        <v/>
      </c>
    </row>
    <row r="926" spans="16:146" x14ac:dyDescent="0.25">
      <c r="P926" s="33" t="str" cm="1">
        <f t="array" ref="P926">IFERROR(SUM(VALUE(_xlfn.TEXTSPLIT(O926, ";"))), "")</f>
        <v/>
      </c>
      <c r="DO926" t="str">
        <f t="shared" si="28"/>
        <v/>
      </c>
      <c r="EG926" s="33" t="str">
        <f>IF(NOT(ISBLANK($B926)),VLOOKUP($B926,AssetCategories!$A:$E,5,0),"")</f>
        <v/>
      </c>
      <c r="EH926" t="str">
        <f>IF(NOT(ISBLANK($B926)),VLOOKUP($B926,AssetCategories!$A:$E,4,0),"")</f>
        <v/>
      </c>
      <c r="EM926" t="str">
        <f>IF(NOT(ISBLANK($B926)),VLOOKUP($B926,AssetCategories!$A:$E,2,0),"")</f>
        <v/>
      </c>
      <c r="EN926" t="str">
        <f>IF(NOT(ISBLANK($B926)),VLOOKUP($B926,AssetCategories!$A:$E,3,0),"")</f>
        <v/>
      </c>
      <c r="EP926" s="33" t="str">
        <f t="shared" si="29"/>
        <v/>
      </c>
    </row>
    <row r="927" spans="16:146" x14ac:dyDescent="0.25">
      <c r="P927" s="33" t="str" cm="1">
        <f t="array" ref="P927">IFERROR(SUM(VALUE(_xlfn.TEXTSPLIT(O927, ";"))), "")</f>
        <v/>
      </c>
      <c r="DO927" t="str">
        <f t="shared" si="28"/>
        <v/>
      </c>
      <c r="EG927" s="33" t="str">
        <f>IF(NOT(ISBLANK($B927)),VLOOKUP($B927,AssetCategories!$A:$E,5,0),"")</f>
        <v/>
      </c>
      <c r="EH927" t="str">
        <f>IF(NOT(ISBLANK($B927)),VLOOKUP($B927,AssetCategories!$A:$E,4,0),"")</f>
        <v/>
      </c>
      <c r="EM927" t="str">
        <f>IF(NOT(ISBLANK($B927)),VLOOKUP($B927,AssetCategories!$A:$E,2,0),"")</f>
        <v/>
      </c>
      <c r="EN927" t="str">
        <f>IF(NOT(ISBLANK($B927)),VLOOKUP($B927,AssetCategories!$A:$E,3,0),"")</f>
        <v/>
      </c>
      <c r="EP927" s="33" t="str">
        <f t="shared" si="29"/>
        <v/>
      </c>
    </row>
    <row r="928" spans="16:146" x14ac:dyDescent="0.25">
      <c r="P928" s="33" t="str" cm="1">
        <f t="array" ref="P928">IFERROR(SUM(VALUE(_xlfn.TEXTSPLIT(O928, ";"))), "")</f>
        <v/>
      </c>
      <c r="DO928" t="str">
        <f t="shared" si="28"/>
        <v/>
      </c>
      <c r="EG928" s="33" t="str">
        <f>IF(NOT(ISBLANK($B928)),VLOOKUP($B928,AssetCategories!$A:$E,5,0),"")</f>
        <v/>
      </c>
      <c r="EH928" t="str">
        <f>IF(NOT(ISBLANK($B928)),VLOOKUP($B928,AssetCategories!$A:$E,4,0),"")</f>
        <v/>
      </c>
      <c r="EM928" t="str">
        <f>IF(NOT(ISBLANK($B928)),VLOOKUP($B928,AssetCategories!$A:$E,2,0),"")</f>
        <v/>
      </c>
      <c r="EN928" t="str">
        <f>IF(NOT(ISBLANK($B928)),VLOOKUP($B928,AssetCategories!$A:$E,3,0),"")</f>
        <v/>
      </c>
      <c r="EP928" s="33" t="str">
        <f t="shared" si="29"/>
        <v/>
      </c>
    </row>
    <row r="929" spans="16:146" x14ac:dyDescent="0.25">
      <c r="P929" s="33" t="str" cm="1">
        <f t="array" ref="P929">IFERROR(SUM(VALUE(_xlfn.TEXTSPLIT(O929, ";"))), "")</f>
        <v/>
      </c>
      <c r="DO929" t="str">
        <f t="shared" si="28"/>
        <v/>
      </c>
      <c r="EG929" s="33" t="str">
        <f>IF(NOT(ISBLANK($B929)),VLOOKUP($B929,AssetCategories!$A:$E,5,0),"")</f>
        <v/>
      </c>
      <c r="EH929" t="str">
        <f>IF(NOT(ISBLANK($B929)),VLOOKUP($B929,AssetCategories!$A:$E,4,0),"")</f>
        <v/>
      </c>
      <c r="EM929" t="str">
        <f>IF(NOT(ISBLANK($B929)),VLOOKUP($B929,AssetCategories!$A:$E,2,0),"")</f>
        <v/>
      </c>
      <c r="EN929" t="str">
        <f>IF(NOT(ISBLANK($B929)),VLOOKUP($B929,AssetCategories!$A:$E,3,0),"")</f>
        <v/>
      </c>
      <c r="EP929" s="33" t="str">
        <f t="shared" si="29"/>
        <v/>
      </c>
    </row>
    <row r="930" spans="16:146" x14ac:dyDescent="0.25">
      <c r="P930" s="33" t="str" cm="1">
        <f t="array" ref="P930">IFERROR(SUM(VALUE(_xlfn.TEXTSPLIT(O930, ";"))), "")</f>
        <v/>
      </c>
      <c r="DO930" t="str">
        <f t="shared" si="28"/>
        <v/>
      </c>
      <c r="EG930" s="33" t="str">
        <f>IF(NOT(ISBLANK($B930)),VLOOKUP($B930,AssetCategories!$A:$E,5,0),"")</f>
        <v/>
      </c>
      <c r="EH930" t="str">
        <f>IF(NOT(ISBLANK($B930)),VLOOKUP($B930,AssetCategories!$A:$E,4,0),"")</f>
        <v/>
      </c>
      <c r="EM930" t="str">
        <f>IF(NOT(ISBLANK($B930)),VLOOKUP($B930,AssetCategories!$A:$E,2,0),"")</f>
        <v/>
      </c>
      <c r="EN930" t="str">
        <f>IF(NOT(ISBLANK($B930)),VLOOKUP($B930,AssetCategories!$A:$E,3,0),"")</f>
        <v/>
      </c>
      <c r="EP930" s="33" t="str">
        <f t="shared" si="29"/>
        <v/>
      </c>
    </row>
    <row r="931" spans="16:146" x14ac:dyDescent="0.25">
      <c r="P931" s="33" t="str" cm="1">
        <f t="array" ref="P931">IFERROR(SUM(VALUE(_xlfn.TEXTSPLIT(O931, ";"))), "")</f>
        <v/>
      </c>
      <c r="DO931" t="str">
        <f t="shared" si="28"/>
        <v/>
      </c>
      <c r="EG931" s="33" t="str">
        <f>IF(NOT(ISBLANK($B931)),VLOOKUP($B931,AssetCategories!$A:$E,5,0),"")</f>
        <v/>
      </c>
      <c r="EH931" t="str">
        <f>IF(NOT(ISBLANK($B931)),VLOOKUP($B931,AssetCategories!$A:$E,4,0),"")</f>
        <v/>
      </c>
      <c r="EM931" t="str">
        <f>IF(NOT(ISBLANK($B931)),VLOOKUP($B931,AssetCategories!$A:$E,2,0),"")</f>
        <v/>
      </c>
      <c r="EN931" t="str">
        <f>IF(NOT(ISBLANK($B931)),VLOOKUP($B931,AssetCategories!$A:$E,3,0),"")</f>
        <v/>
      </c>
      <c r="EP931" s="33" t="str">
        <f t="shared" si="29"/>
        <v/>
      </c>
    </row>
    <row r="932" spans="16:146" x14ac:dyDescent="0.25">
      <c r="P932" s="33" t="str" cm="1">
        <f t="array" ref="P932">IFERROR(SUM(VALUE(_xlfn.TEXTSPLIT(O932, ";"))), "")</f>
        <v/>
      </c>
      <c r="DO932" t="str">
        <f t="shared" si="28"/>
        <v/>
      </c>
      <c r="EG932" s="33" t="str">
        <f>IF(NOT(ISBLANK($B932)),VLOOKUP($B932,AssetCategories!$A:$E,5,0),"")</f>
        <v/>
      </c>
      <c r="EH932" t="str">
        <f>IF(NOT(ISBLANK($B932)),VLOOKUP($B932,AssetCategories!$A:$E,4,0),"")</f>
        <v/>
      </c>
      <c r="EM932" t="str">
        <f>IF(NOT(ISBLANK($B932)),VLOOKUP($B932,AssetCategories!$A:$E,2,0),"")</f>
        <v/>
      </c>
      <c r="EN932" t="str">
        <f>IF(NOT(ISBLANK($B932)),VLOOKUP($B932,AssetCategories!$A:$E,3,0),"")</f>
        <v/>
      </c>
      <c r="EP932" s="33" t="str">
        <f t="shared" si="29"/>
        <v/>
      </c>
    </row>
    <row r="933" spans="16:146" x14ac:dyDescent="0.25">
      <c r="P933" s="33" t="str" cm="1">
        <f t="array" ref="P933">IFERROR(SUM(VALUE(_xlfn.TEXTSPLIT(O933, ";"))), "")</f>
        <v/>
      </c>
      <c r="DO933" t="str">
        <f t="shared" si="28"/>
        <v/>
      </c>
      <c r="EG933" s="33" t="str">
        <f>IF(NOT(ISBLANK($B933)),VLOOKUP($B933,AssetCategories!$A:$E,5,0),"")</f>
        <v/>
      </c>
      <c r="EH933" t="str">
        <f>IF(NOT(ISBLANK($B933)),VLOOKUP($B933,AssetCategories!$A:$E,4,0),"")</f>
        <v/>
      </c>
      <c r="EM933" t="str">
        <f>IF(NOT(ISBLANK($B933)),VLOOKUP($B933,AssetCategories!$A:$E,2,0),"")</f>
        <v/>
      </c>
      <c r="EN933" t="str">
        <f>IF(NOT(ISBLANK($B933)),VLOOKUP($B933,AssetCategories!$A:$E,3,0),"")</f>
        <v/>
      </c>
      <c r="EP933" s="33" t="str">
        <f t="shared" si="29"/>
        <v/>
      </c>
    </row>
    <row r="934" spans="16:146" x14ac:dyDescent="0.25">
      <c r="P934" s="33" t="str" cm="1">
        <f t="array" ref="P934">IFERROR(SUM(VALUE(_xlfn.TEXTSPLIT(O934, ";"))), "")</f>
        <v/>
      </c>
      <c r="DO934" t="str">
        <f t="shared" si="28"/>
        <v/>
      </c>
      <c r="EG934" s="33" t="str">
        <f>IF(NOT(ISBLANK($B934)),VLOOKUP($B934,AssetCategories!$A:$E,5,0),"")</f>
        <v/>
      </c>
      <c r="EH934" t="str">
        <f>IF(NOT(ISBLANK($B934)),VLOOKUP($B934,AssetCategories!$A:$E,4,0),"")</f>
        <v/>
      </c>
      <c r="EM934" t="str">
        <f>IF(NOT(ISBLANK($B934)),VLOOKUP($B934,AssetCategories!$A:$E,2,0),"")</f>
        <v/>
      </c>
      <c r="EN934" t="str">
        <f>IF(NOT(ISBLANK($B934)),VLOOKUP($B934,AssetCategories!$A:$E,3,0),"")</f>
        <v/>
      </c>
      <c r="EP934" s="33" t="str">
        <f t="shared" si="29"/>
        <v/>
      </c>
    </row>
    <row r="935" spans="16:146" x14ac:dyDescent="0.25">
      <c r="P935" s="33" t="str" cm="1">
        <f t="array" ref="P935">IFERROR(SUM(VALUE(_xlfn.TEXTSPLIT(O935, ";"))), "")</f>
        <v/>
      </c>
      <c r="DO935" t="str">
        <f t="shared" si="28"/>
        <v/>
      </c>
      <c r="EG935" s="33" t="str">
        <f>IF(NOT(ISBLANK($B935)),VLOOKUP($B935,AssetCategories!$A:$E,5,0),"")</f>
        <v/>
      </c>
      <c r="EH935" t="str">
        <f>IF(NOT(ISBLANK($B935)),VLOOKUP($B935,AssetCategories!$A:$E,4,0),"")</f>
        <v/>
      </c>
      <c r="EM935" t="str">
        <f>IF(NOT(ISBLANK($B935)),VLOOKUP($B935,AssetCategories!$A:$E,2,0),"")</f>
        <v/>
      </c>
      <c r="EN935" t="str">
        <f>IF(NOT(ISBLANK($B935)),VLOOKUP($B935,AssetCategories!$A:$E,3,0),"")</f>
        <v/>
      </c>
      <c r="EP935" s="33" t="str">
        <f t="shared" si="29"/>
        <v/>
      </c>
    </row>
    <row r="936" spans="16:146" x14ac:dyDescent="0.25">
      <c r="P936" s="33" t="str" cm="1">
        <f t="array" ref="P936">IFERROR(SUM(VALUE(_xlfn.TEXTSPLIT(O936, ";"))), "")</f>
        <v/>
      </c>
      <c r="DO936" t="str">
        <f t="shared" si="28"/>
        <v/>
      </c>
      <c r="EG936" s="33" t="str">
        <f>IF(NOT(ISBLANK($B936)),VLOOKUP($B936,AssetCategories!$A:$E,5,0),"")</f>
        <v/>
      </c>
      <c r="EH936" t="str">
        <f>IF(NOT(ISBLANK($B936)),VLOOKUP($B936,AssetCategories!$A:$E,4,0),"")</f>
        <v/>
      </c>
      <c r="EM936" t="str">
        <f>IF(NOT(ISBLANK($B936)),VLOOKUP($B936,AssetCategories!$A:$E,2,0),"")</f>
        <v/>
      </c>
      <c r="EN936" t="str">
        <f>IF(NOT(ISBLANK($B936)),VLOOKUP($B936,AssetCategories!$A:$E,3,0),"")</f>
        <v/>
      </c>
      <c r="EP936" s="33" t="str">
        <f t="shared" si="29"/>
        <v/>
      </c>
    </row>
    <row r="937" spans="16:146" x14ac:dyDescent="0.25">
      <c r="P937" s="33" t="str" cm="1">
        <f t="array" ref="P937">IFERROR(SUM(VALUE(_xlfn.TEXTSPLIT(O937, ";"))), "")</f>
        <v/>
      </c>
      <c r="DO937" t="str">
        <f t="shared" si="28"/>
        <v/>
      </c>
      <c r="EG937" s="33" t="str">
        <f>IF(NOT(ISBLANK($B937)),VLOOKUP($B937,AssetCategories!$A:$E,5,0),"")</f>
        <v/>
      </c>
      <c r="EH937" t="str">
        <f>IF(NOT(ISBLANK($B937)),VLOOKUP($B937,AssetCategories!$A:$E,4,0),"")</f>
        <v/>
      </c>
      <c r="EM937" t="str">
        <f>IF(NOT(ISBLANK($B937)),VLOOKUP($B937,AssetCategories!$A:$E,2,0),"")</f>
        <v/>
      </c>
      <c r="EN937" t="str">
        <f>IF(NOT(ISBLANK($B937)),VLOOKUP($B937,AssetCategories!$A:$E,3,0),"")</f>
        <v/>
      </c>
      <c r="EP937" s="33" t="str">
        <f t="shared" si="29"/>
        <v/>
      </c>
    </row>
    <row r="938" spans="16:146" x14ac:dyDescent="0.25">
      <c r="P938" s="33" t="str" cm="1">
        <f t="array" ref="P938">IFERROR(SUM(VALUE(_xlfn.TEXTSPLIT(O938, ";"))), "")</f>
        <v/>
      </c>
      <c r="DO938" t="str">
        <f t="shared" si="28"/>
        <v/>
      </c>
      <c r="EG938" s="33" t="str">
        <f>IF(NOT(ISBLANK($B938)),VLOOKUP($B938,AssetCategories!$A:$E,5,0),"")</f>
        <v/>
      </c>
      <c r="EH938" t="str">
        <f>IF(NOT(ISBLANK($B938)),VLOOKUP($B938,AssetCategories!$A:$E,4,0),"")</f>
        <v/>
      </c>
      <c r="EM938" t="str">
        <f>IF(NOT(ISBLANK($B938)),VLOOKUP($B938,AssetCategories!$A:$E,2,0),"")</f>
        <v/>
      </c>
      <c r="EN938" t="str">
        <f>IF(NOT(ISBLANK($B938)),VLOOKUP($B938,AssetCategories!$A:$E,3,0),"")</f>
        <v/>
      </c>
      <c r="EP938" s="33" t="str">
        <f t="shared" si="29"/>
        <v/>
      </c>
    </row>
    <row r="939" spans="16:146" x14ac:dyDescent="0.25">
      <c r="P939" s="33" t="str" cm="1">
        <f t="array" ref="P939">IFERROR(SUM(VALUE(_xlfn.TEXTSPLIT(O939, ";"))), "")</f>
        <v/>
      </c>
      <c r="DO939" t="str">
        <f t="shared" si="28"/>
        <v/>
      </c>
      <c r="EG939" s="33" t="str">
        <f>IF(NOT(ISBLANK($B939)),VLOOKUP($B939,AssetCategories!$A:$E,5,0),"")</f>
        <v/>
      </c>
      <c r="EH939" t="str">
        <f>IF(NOT(ISBLANK($B939)),VLOOKUP($B939,AssetCategories!$A:$E,4,0),"")</f>
        <v/>
      </c>
      <c r="EM939" t="str">
        <f>IF(NOT(ISBLANK($B939)),VLOOKUP($B939,AssetCategories!$A:$E,2,0),"")</f>
        <v/>
      </c>
      <c r="EN939" t="str">
        <f>IF(NOT(ISBLANK($B939)),VLOOKUP($B939,AssetCategories!$A:$E,3,0),"")</f>
        <v/>
      </c>
      <c r="EP939" s="33" t="str">
        <f t="shared" si="29"/>
        <v/>
      </c>
    </row>
    <row r="940" spans="16:146" x14ac:dyDescent="0.25">
      <c r="P940" s="33" t="str" cm="1">
        <f t="array" ref="P940">IFERROR(SUM(VALUE(_xlfn.TEXTSPLIT(O940, ";"))), "")</f>
        <v/>
      </c>
      <c r="DO940" t="str">
        <f t="shared" si="28"/>
        <v/>
      </c>
      <c r="EG940" s="33" t="str">
        <f>IF(NOT(ISBLANK($B940)),VLOOKUP($B940,AssetCategories!$A:$E,5,0),"")</f>
        <v/>
      </c>
      <c r="EH940" t="str">
        <f>IF(NOT(ISBLANK($B940)),VLOOKUP($B940,AssetCategories!$A:$E,4,0),"")</f>
        <v/>
      </c>
      <c r="EM940" t="str">
        <f>IF(NOT(ISBLANK($B940)),VLOOKUP($B940,AssetCategories!$A:$E,2,0),"")</f>
        <v/>
      </c>
      <c r="EN940" t="str">
        <f>IF(NOT(ISBLANK($B940)),VLOOKUP($B940,AssetCategories!$A:$E,3,0),"")</f>
        <v/>
      </c>
      <c r="EP940" s="33" t="str">
        <f t="shared" si="29"/>
        <v/>
      </c>
    </row>
    <row r="941" spans="16:146" x14ac:dyDescent="0.25">
      <c r="P941" s="33" t="str" cm="1">
        <f t="array" ref="P941">IFERROR(SUM(VALUE(_xlfn.TEXTSPLIT(O941, ";"))), "")</f>
        <v/>
      </c>
      <c r="DO941" t="str">
        <f t="shared" si="28"/>
        <v/>
      </c>
      <c r="EG941" s="33" t="str">
        <f>IF(NOT(ISBLANK($B941)),VLOOKUP($B941,AssetCategories!$A:$E,5,0),"")</f>
        <v/>
      </c>
      <c r="EH941" t="str">
        <f>IF(NOT(ISBLANK($B941)),VLOOKUP($B941,AssetCategories!$A:$E,4,0),"")</f>
        <v/>
      </c>
      <c r="EM941" t="str">
        <f>IF(NOT(ISBLANK($B941)),VLOOKUP($B941,AssetCategories!$A:$E,2,0),"")</f>
        <v/>
      </c>
      <c r="EN941" t="str">
        <f>IF(NOT(ISBLANK($B941)),VLOOKUP($B941,AssetCategories!$A:$E,3,0),"")</f>
        <v/>
      </c>
      <c r="EP941" s="33" t="str">
        <f t="shared" si="29"/>
        <v/>
      </c>
    </row>
    <row r="942" spans="16:146" x14ac:dyDescent="0.25">
      <c r="P942" s="33" t="str" cm="1">
        <f t="array" ref="P942">IFERROR(SUM(VALUE(_xlfn.TEXTSPLIT(O942, ";"))), "")</f>
        <v/>
      </c>
      <c r="DO942" t="str">
        <f t="shared" si="28"/>
        <v/>
      </c>
      <c r="EG942" s="33" t="str">
        <f>IF(NOT(ISBLANK($B942)),VLOOKUP($B942,AssetCategories!$A:$E,5,0),"")</f>
        <v/>
      </c>
      <c r="EH942" t="str">
        <f>IF(NOT(ISBLANK($B942)),VLOOKUP($B942,AssetCategories!$A:$E,4,0),"")</f>
        <v/>
      </c>
      <c r="EM942" t="str">
        <f>IF(NOT(ISBLANK($B942)),VLOOKUP($B942,AssetCategories!$A:$E,2,0),"")</f>
        <v/>
      </c>
      <c r="EN942" t="str">
        <f>IF(NOT(ISBLANK($B942)),VLOOKUP($B942,AssetCategories!$A:$E,3,0),"")</f>
        <v/>
      </c>
      <c r="EP942" s="33" t="str">
        <f t="shared" si="29"/>
        <v/>
      </c>
    </row>
    <row r="943" spans="16:146" x14ac:dyDescent="0.25">
      <c r="P943" s="33" t="str" cm="1">
        <f t="array" ref="P943">IFERROR(SUM(VALUE(_xlfn.TEXTSPLIT(O943, ";"))), "")</f>
        <v/>
      </c>
      <c r="DO943" t="str">
        <f t="shared" si="28"/>
        <v/>
      </c>
      <c r="EG943" s="33" t="str">
        <f>IF(NOT(ISBLANK($B943)),VLOOKUP($B943,AssetCategories!$A:$E,5,0),"")</f>
        <v/>
      </c>
      <c r="EH943" t="str">
        <f>IF(NOT(ISBLANK($B943)),VLOOKUP($B943,AssetCategories!$A:$E,4,0),"")</f>
        <v/>
      </c>
      <c r="EM943" t="str">
        <f>IF(NOT(ISBLANK($B943)),VLOOKUP($B943,AssetCategories!$A:$E,2,0),"")</f>
        <v/>
      </c>
      <c r="EN943" t="str">
        <f>IF(NOT(ISBLANK($B943)),VLOOKUP($B943,AssetCategories!$A:$E,3,0),"")</f>
        <v/>
      </c>
      <c r="EP943" s="33" t="str">
        <f t="shared" si="29"/>
        <v/>
      </c>
    </row>
    <row r="944" spans="16:146" x14ac:dyDescent="0.25">
      <c r="P944" s="33" t="str" cm="1">
        <f t="array" ref="P944">IFERROR(SUM(VALUE(_xlfn.TEXTSPLIT(O944, ";"))), "")</f>
        <v/>
      </c>
      <c r="DO944" t="str">
        <f t="shared" si="28"/>
        <v/>
      </c>
      <c r="EG944" s="33" t="str">
        <f>IF(NOT(ISBLANK($B944)),VLOOKUP($B944,AssetCategories!$A:$E,5,0),"")</f>
        <v/>
      </c>
      <c r="EH944" t="str">
        <f>IF(NOT(ISBLANK($B944)),VLOOKUP($B944,AssetCategories!$A:$E,4,0),"")</f>
        <v/>
      </c>
      <c r="EM944" t="str">
        <f>IF(NOT(ISBLANK($B944)),VLOOKUP($B944,AssetCategories!$A:$E,2,0),"")</f>
        <v/>
      </c>
      <c r="EN944" t="str">
        <f>IF(NOT(ISBLANK($B944)),VLOOKUP($B944,AssetCategories!$A:$E,3,0),"")</f>
        <v/>
      </c>
      <c r="EP944" s="33" t="str">
        <f t="shared" si="29"/>
        <v/>
      </c>
    </row>
    <row r="945" spans="16:146" x14ac:dyDescent="0.25">
      <c r="P945" s="33" t="str" cm="1">
        <f t="array" ref="P945">IFERROR(SUM(VALUE(_xlfn.TEXTSPLIT(O945, ";"))), "")</f>
        <v/>
      </c>
      <c r="DO945" t="str">
        <f t="shared" si="28"/>
        <v/>
      </c>
      <c r="EG945" s="33" t="str">
        <f>IF(NOT(ISBLANK($B945)),VLOOKUP($B945,AssetCategories!$A:$E,5,0),"")</f>
        <v/>
      </c>
      <c r="EH945" t="str">
        <f>IF(NOT(ISBLANK($B945)),VLOOKUP($B945,AssetCategories!$A:$E,4,0),"")</f>
        <v/>
      </c>
      <c r="EM945" t="str">
        <f>IF(NOT(ISBLANK($B945)),VLOOKUP($B945,AssetCategories!$A:$E,2,0),"")</f>
        <v/>
      </c>
      <c r="EN945" t="str">
        <f>IF(NOT(ISBLANK($B945)),VLOOKUP($B945,AssetCategories!$A:$E,3,0),"")</f>
        <v/>
      </c>
      <c r="EP945" s="33" t="str">
        <f t="shared" si="29"/>
        <v/>
      </c>
    </row>
    <row r="946" spans="16:146" x14ac:dyDescent="0.25">
      <c r="P946" s="33" t="str" cm="1">
        <f t="array" ref="P946">IFERROR(SUM(VALUE(_xlfn.TEXTSPLIT(O946, ";"))), "")</f>
        <v/>
      </c>
      <c r="DO946" t="str">
        <f t="shared" si="28"/>
        <v/>
      </c>
      <c r="EG946" s="33" t="str">
        <f>IF(NOT(ISBLANK($B946)),VLOOKUP($B946,AssetCategories!$A:$E,5,0),"")</f>
        <v/>
      </c>
      <c r="EH946" t="str">
        <f>IF(NOT(ISBLANK($B946)),VLOOKUP($B946,AssetCategories!$A:$E,4,0),"")</f>
        <v/>
      </c>
      <c r="EM946" t="str">
        <f>IF(NOT(ISBLANK($B946)),VLOOKUP($B946,AssetCategories!$A:$E,2,0),"")</f>
        <v/>
      </c>
      <c r="EN946" t="str">
        <f>IF(NOT(ISBLANK($B946)),VLOOKUP($B946,AssetCategories!$A:$E,3,0),"")</f>
        <v/>
      </c>
      <c r="EP946" s="33" t="str">
        <f t="shared" si="29"/>
        <v/>
      </c>
    </row>
    <row r="947" spans="16:146" x14ac:dyDescent="0.25">
      <c r="P947" s="33" t="str" cm="1">
        <f t="array" ref="P947">IFERROR(SUM(VALUE(_xlfn.TEXTSPLIT(O947, ";"))), "")</f>
        <v/>
      </c>
      <c r="DO947" t="str">
        <f t="shared" si="28"/>
        <v/>
      </c>
      <c r="EG947" s="33" t="str">
        <f>IF(NOT(ISBLANK($B947)),VLOOKUP($B947,AssetCategories!$A:$E,5,0),"")</f>
        <v/>
      </c>
      <c r="EH947" t="str">
        <f>IF(NOT(ISBLANK($B947)),VLOOKUP($B947,AssetCategories!$A:$E,4,0),"")</f>
        <v/>
      </c>
      <c r="EM947" t="str">
        <f>IF(NOT(ISBLANK($B947)),VLOOKUP($B947,AssetCategories!$A:$E,2,0),"")</f>
        <v/>
      </c>
      <c r="EN947" t="str">
        <f>IF(NOT(ISBLANK($B947)),VLOOKUP($B947,AssetCategories!$A:$E,3,0),"")</f>
        <v/>
      </c>
      <c r="EP947" s="33" t="str">
        <f t="shared" si="29"/>
        <v/>
      </c>
    </row>
    <row r="948" spans="16:146" x14ac:dyDescent="0.25">
      <c r="P948" s="33" t="str" cm="1">
        <f t="array" ref="P948">IFERROR(SUM(VALUE(_xlfn.TEXTSPLIT(O948, ";"))), "")</f>
        <v/>
      </c>
      <c r="DO948" t="str">
        <f t="shared" si="28"/>
        <v/>
      </c>
      <c r="EG948" s="33" t="str">
        <f>IF(NOT(ISBLANK($B948)),VLOOKUP($B948,AssetCategories!$A:$E,5,0),"")</f>
        <v/>
      </c>
      <c r="EH948" t="str">
        <f>IF(NOT(ISBLANK($B948)),VLOOKUP($B948,AssetCategories!$A:$E,4,0),"")</f>
        <v/>
      </c>
      <c r="EM948" t="str">
        <f>IF(NOT(ISBLANK($B948)),VLOOKUP($B948,AssetCategories!$A:$E,2,0),"")</f>
        <v/>
      </c>
      <c r="EN948" t="str">
        <f>IF(NOT(ISBLANK($B948)),VLOOKUP($B948,AssetCategories!$A:$E,3,0),"")</f>
        <v/>
      </c>
      <c r="EP948" s="33" t="str">
        <f t="shared" si="29"/>
        <v/>
      </c>
    </row>
    <row r="949" spans="16:146" x14ac:dyDescent="0.25">
      <c r="P949" s="33" t="str" cm="1">
        <f t="array" ref="P949">IFERROR(SUM(VALUE(_xlfn.TEXTSPLIT(O949, ";"))), "")</f>
        <v/>
      </c>
      <c r="DO949" t="str">
        <f t="shared" si="28"/>
        <v/>
      </c>
      <c r="EG949" s="33" t="str">
        <f>IF(NOT(ISBLANK($B949)),VLOOKUP($B949,AssetCategories!$A:$E,5,0),"")</f>
        <v/>
      </c>
      <c r="EH949" t="str">
        <f>IF(NOT(ISBLANK($B949)),VLOOKUP($B949,AssetCategories!$A:$E,4,0),"")</f>
        <v/>
      </c>
      <c r="EM949" t="str">
        <f>IF(NOT(ISBLANK($B949)),VLOOKUP($B949,AssetCategories!$A:$E,2,0),"")</f>
        <v/>
      </c>
      <c r="EN949" t="str">
        <f>IF(NOT(ISBLANK($B949)),VLOOKUP($B949,AssetCategories!$A:$E,3,0),"")</f>
        <v/>
      </c>
      <c r="EP949" s="33" t="str">
        <f t="shared" si="29"/>
        <v/>
      </c>
    </row>
    <row r="950" spans="16:146" x14ac:dyDescent="0.25">
      <c r="P950" s="33" t="str" cm="1">
        <f t="array" ref="P950">IFERROR(SUM(VALUE(_xlfn.TEXTSPLIT(O950, ";"))), "")</f>
        <v/>
      </c>
      <c r="DO950" t="str">
        <f t="shared" si="28"/>
        <v/>
      </c>
      <c r="EG950" s="33" t="str">
        <f>IF(NOT(ISBLANK($B950)),VLOOKUP($B950,AssetCategories!$A:$E,5,0),"")</f>
        <v/>
      </c>
      <c r="EH950" t="str">
        <f>IF(NOT(ISBLANK($B950)),VLOOKUP($B950,AssetCategories!$A:$E,4,0),"")</f>
        <v/>
      </c>
      <c r="EM950" t="str">
        <f>IF(NOT(ISBLANK($B950)),VLOOKUP($B950,AssetCategories!$A:$E,2,0),"")</f>
        <v/>
      </c>
      <c r="EN950" t="str">
        <f>IF(NOT(ISBLANK($B950)),VLOOKUP($B950,AssetCategories!$A:$E,3,0),"")</f>
        <v/>
      </c>
      <c r="EP950" s="33" t="str">
        <f t="shared" si="29"/>
        <v/>
      </c>
    </row>
    <row r="951" spans="16:146" x14ac:dyDescent="0.25">
      <c r="P951" s="33" t="str" cm="1">
        <f t="array" ref="P951">IFERROR(SUM(VALUE(_xlfn.TEXTSPLIT(O951, ";"))), "")</f>
        <v/>
      </c>
      <c r="DO951" t="str">
        <f t="shared" si="28"/>
        <v/>
      </c>
      <c r="EG951" s="33" t="str">
        <f>IF(NOT(ISBLANK($B951)),VLOOKUP($B951,AssetCategories!$A:$E,5,0),"")</f>
        <v/>
      </c>
      <c r="EH951" t="str">
        <f>IF(NOT(ISBLANK($B951)),VLOOKUP($B951,AssetCategories!$A:$E,4,0),"")</f>
        <v/>
      </c>
      <c r="EM951" t="str">
        <f>IF(NOT(ISBLANK($B951)),VLOOKUP($B951,AssetCategories!$A:$E,2,0),"")</f>
        <v/>
      </c>
      <c r="EN951" t="str">
        <f>IF(NOT(ISBLANK($B951)),VLOOKUP($B951,AssetCategories!$A:$E,3,0),"")</f>
        <v/>
      </c>
      <c r="EP951" s="33" t="str">
        <f t="shared" si="29"/>
        <v/>
      </c>
    </row>
    <row r="952" spans="16:146" x14ac:dyDescent="0.25">
      <c r="P952" s="33" t="str" cm="1">
        <f t="array" ref="P952">IFERROR(SUM(VALUE(_xlfn.TEXTSPLIT(O952, ";"))), "")</f>
        <v/>
      </c>
      <c r="DO952" t="str">
        <f t="shared" si="28"/>
        <v/>
      </c>
      <c r="EG952" s="33" t="str">
        <f>IF(NOT(ISBLANK($B952)),VLOOKUP($B952,AssetCategories!$A:$E,5,0),"")</f>
        <v/>
      </c>
      <c r="EH952" t="str">
        <f>IF(NOT(ISBLANK($B952)),VLOOKUP($B952,AssetCategories!$A:$E,4,0),"")</f>
        <v/>
      </c>
      <c r="EM952" t="str">
        <f>IF(NOT(ISBLANK($B952)),VLOOKUP($B952,AssetCategories!$A:$E,2,0),"")</f>
        <v/>
      </c>
      <c r="EN952" t="str">
        <f>IF(NOT(ISBLANK($B952)),VLOOKUP($B952,AssetCategories!$A:$E,3,0),"")</f>
        <v/>
      </c>
      <c r="EP952" s="33" t="str">
        <f t="shared" si="29"/>
        <v/>
      </c>
    </row>
    <row r="953" spans="16:146" x14ac:dyDescent="0.25">
      <c r="P953" s="33" t="str" cm="1">
        <f t="array" ref="P953">IFERROR(SUM(VALUE(_xlfn.TEXTSPLIT(O953, ";"))), "")</f>
        <v/>
      </c>
      <c r="DO953" t="str">
        <f t="shared" si="28"/>
        <v/>
      </c>
      <c r="EG953" s="33" t="str">
        <f>IF(NOT(ISBLANK($B953)),VLOOKUP($B953,AssetCategories!$A:$E,5,0),"")</f>
        <v/>
      </c>
      <c r="EH953" t="str">
        <f>IF(NOT(ISBLANK($B953)),VLOOKUP($B953,AssetCategories!$A:$E,4,0),"")</f>
        <v/>
      </c>
      <c r="EM953" t="str">
        <f>IF(NOT(ISBLANK($B953)),VLOOKUP($B953,AssetCategories!$A:$E,2,0),"")</f>
        <v/>
      </c>
      <c r="EN953" t="str">
        <f>IF(NOT(ISBLANK($B953)),VLOOKUP($B953,AssetCategories!$A:$E,3,0),"")</f>
        <v/>
      </c>
      <c r="EP953" s="33" t="str">
        <f t="shared" si="29"/>
        <v/>
      </c>
    </row>
    <row r="954" spans="16:146" x14ac:dyDescent="0.25">
      <c r="P954" s="33" t="str" cm="1">
        <f t="array" ref="P954">IFERROR(SUM(VALUE(_xlfn.TEXTSPLIT(O954, ";"))), "")</f>
        <v/>
      </c>
      <c r="DO954" t="str">
        <f t="shared" si="28"/>
        <v/>
      </c>
      <c r="EG954" s="33" t="str">
        <f>IF(NOT(ISBLANK($B954)),VLOOKUP($B954,AssetCategories!$A:$E,5,0),"")</f>
        <v/>
      </c>
      <c r="EH954" t="str">
        <f>IF(NOT(ISBLANK($B954)),VLOOKUP($B954,AssetCategories!$A:$E,4,0),"")</f>
        <v/>
      </c>
      <c r="EM954" t="str">
        <f>IF(NOT(ISBLANK($B954)),VLOOKUP($B954,AssetCategories!$A:$E,2,0),"")</f>
        <v/>
      </c>
      <c r="EN954" t="str">
        <f>IF(NOT(ISBLANK($B954)),VLOOKUP($B954,AssetCategories!$A:$E,3,0),"")</f>
        <v/>
      </c>
      <c r="EP954" s="33" t="str">
        <f t="shared" si="29"/>
        <v/>
      </c>
    </row>
    <row r="955" spans="16:146" x14ac:dyDescent="0.25">
      <c r="P955" s="33" t="str" cm="1">
        <f t="array" ref="P955">IFERROR(SUM(VALUE(_xlfn.TEXTSPLIT(O955, ";"))), "")</f>
        <v/>
      </c>
      <c r="DO955" t="str">
        <f t="shared" si="28"/>
        <v/>
      </c>
      <c r="EG955" s="33" t="str">
        <f>IF(NOT(ISBLANK($B955)),VLOOKUP($B955,AssetCategories!$A:$E,5,0),"")</f>
        <v/>
      </c>
      <c r="EH955" t="str">
        <f>IF(NOT(ISBLANK($B955)),VLOOKUP($B955,AssetCategories!$A:$E,4,0),"")</f>
        <v/>
      </c>
      <c r="EM955" t="str">
        <f>IF(NOT(ISBLANK($B955)),VLOOKUP($B955,AssetCategories!$A:$E,2,0),"")</f>
        <v/>
      </c>
      <c r="EN955" t="str">
        <f>IF(NOT(ISBLANK($B955)),VLOOKUP($B955,AssetCategories!$A:$E,3,0),"")</f>
        <v/>
      </c>
      <c r="EP955" s="33" t="str">
        <f t="shared" si="29"/>
        <v/>
      </c>
    </row>
    <row r="956" spans="16:146" x14ac:dyDescent="0.25">
      <c r="P956" s="33" t="str" cm="1">
        <f t="array" ref="P956">IFERROR(SUM(VALUE(_xlfn.TEXTSPLIT(O956, ";"))), "")</f>
        <v/>
      </c>
      <c r="DO956" t="str">
        <f t="shared" si="28"/>
        <v/>
      </c>
      <c r="EG956" s="33" t="str">
        <f>IF(NOT(ISBLANK($B956)),VLOOKUP($B956,AssetCategories!$A:$E,5,0),"")</f>
        <v/>
      </c>
      <c r="EH956" t="str">
        <f>IF(NOT(ISBLANK($B956)),VLOOKUP($B956,AssetCategories!$A:$E,4,0),"")</f>
        <v/>
      </c>
      <c r="EM956" t="str">
        <f>IF(NOT(ISBLANK($B956)),VLOOKUP($B956,AssetCategories!$A:$E,2,0),"")</f>
        <v/>
      </c>
      <c r="EN956" t="str">
        <f>IF(NOT(ISBLANK($B956)),VLOOKUP($B956,AssetCategories!$A:$E,3,0),"")</f>
        <v/>
      </c>
      <c r="EP956" s="33" t="str">
        <f t="shared" si="29"/>
        <v/>
      </c>
    </row>
    <row r="957" spans="16:146" x14ac:dyDescent="0.25">
      <c r="P957" s="33" t="str" cm="1">
        <f t="array" ref="P957">IFERROR(SUM(VALUE(_xlfn.TEXTSPLIT(O957, ";"))), "")</f>
        <v/>
      </c>
      <c r="DO957" t="str">
        <f t="shared" si="28"/>
        <v/>
      </c>
      <c r="EG957" s="33" t="str">
        <f>IF(NOT(ISBLANK($B957)),VLOOKUP($B957,AssetCategories!$A:$E,5,0),"")</f>
        <v/>
      </c>
      <c r="EH957" t="str">
        <f>IF(NOT(ISBLANK($B957)),VLOOKUP($B957,AssetCategories!$A:$E,4,0),"")</f>
        <v/>
      </c>
      <c r="EM957" t="str">
        <f>IF(NOT(ISBLANK($B957)),VLOOKUP($B957,AssetCategories!$A:$E,2,0),"")</f>
        <v/>
      </c>
      <c r="EN957" t="str">
        <f>IF(NOT(ISBLANK($B957)),VLOOKUP($B957,AssetCategories!$A:$E,3,0),"")</f>
        <v/>
      </c>
      <c r="EP957" s="33" t="str">
        <f t="shared" si="29"/>
        <v/>
      </c>
    </row>
    <row r="958" spans="16:146" x14ac:dyDescent="0.25">
      <c r="P958" s="33" t="str" cm="1">
        <f t="array" ref="P958">IFERROR(SUM(VALUE(_xlfn.TEXTSPLIT(O958, ";"))), "")</f>
        <v/>
      </c>
      <c r="DO958" t="str">
        <f t="shared" si="28"/>
        <v/>
      </c>
      <c r="EG958" s="33" t="str">
        <f>IF(NOT(ISBLANK($B958)),VLOOKUP($B958,AssetCategories!$A:$E,5,0),"")</f>
        <v/>
      </c>
      <c r="EH958" t="str">
        <f>IF(NOT(ISBLANK($B958)),VLOOKUP($B958,AssetCategories!$A:$E,4,0),"")</f>
        <v/>
      </c>
      <c r="EM958" t="str">
        <f>IF(NOT(ISBLANK($B958)),VLOOKUP($B958,AssetCategories!$A:$E,2,0),"")</f>
        <v/>
      </c>
      <c r="EN958" t="str">
        <f>IF(NOT(ISBLANK($B958)),VLOOKUP($B958,AssetCategories!$A:$E,3,0),"")</f>
        <v/>
      </c>
      <c r="EP958" s="33" t="str">
        <f t="shared" si="29"/>
        <v/>
      </c>
    </row>
    <row r="959" spans="16:146" x14ac:dyDescent="0.25">
      <c r="P959" s="33" t="str" cm="1">
        <f t="array" ref="P959">IFERROR(SUM(VALUE(_xlfn.TEXTSPLIT(O959, ";"))), "")</f>
        <v/>
      </c>
      <c r="DO959" t="str">
        <f t="shared" si="28"/>
        <v/>
      </c>
      <c r="EG959" s="33" t="str">
        <f>IF(NOT(ISBLANK($B959)),VLOOKUP($B959,AssetCategories!$A:$E,5,0),"")</f>
        <v/>
      </c>
      <c r="EH959" t="str">
        <f>IF(NOT(ISBLANK($B959)),VLOOKUP($B959,AssetCategories!$A:$E,4,0),"")</f>
        <v/>
      </c>
      <c r="EM959" t="str">
        <f>IF(NOT(ISBLANK($B959)),VLOOKUP($B959,AssetCategories!$A:$E,2,0),"")</f>
        <v/>
      </c>
      <c r="EN959" t="str">
        <f>IF(NOT(ISBLANK($B959)),VLOOKUP($B959,AssetCategories!$A:$E,3,0),"")</f>
        <v/>
      </c>
      <c r="EP959" s="33" t="str">
        <f t="shared" si="29"/>
        <v/>
      </c>
    </row>
    <row r="960" spans="16:146" x14ac:dyDescent="0.25">
      <c r="P960" s="33" t="str" cm="1">
        <f t="array" ref="P960">IFERROR(SUM(VALUE(_xlfn.TEXTSPLIT(O960, ";"))), "")</f>
        <v/>
      </c>
      <c r="DO960" t="str">
        <f t="shared" si="28"/>
        <v/>
      </c>
      <c r="EG960" s="33" t="str">
        <f>IF(NOT(ISBLANK($B960)),VLOOKUP($B960,AssetCategories!$A:$E,5,0),"")</f>
        <v/>
      </c>
      <c r="EH960" t="str">
        <f>IF(NOT(ISBLANK($B960)),VLOOKUP($B960,AssetCategories!$A:$E,4,0),"")</f>
        <v/>
      </c>
      <c r="EM960" t="str">
        <f>IF(NOT(ISBLANK($B960)),VLOOKUP($B960,AssetCategories!$A:$E,2,0),"")</f>
        <v/>
      </c>
      <c r="EN960" t="str">
        <f>IF(NOT(ISBLANK($B960)),VLOOKUP($B960,AssetCategories!$A:$E,3,0),"")</f>
        <v/>
      </c>
      <c r="EP960" s="33" t="str">
        <f t="shared" si="29"/>
        <v/>
      </c>
    </row>
    <row r="961" spans="16:146" x14ac:dyDescent="0.25">
      <c r="P961" s="33" t="str" cm="1">
        <f t="array" ref="P961">IFERROR(SUM(VALUE(_xlfn.TEXTSPLIT(O961, ";"))), "")</f>
        <v/>
      </c>
      <c r="DO961" t="str">
        <f t="shared" si="28"/>
        <v/>
      </c>
      <c r="EG961" s="33" t="str">
        <f>IF(NOT(ISBLANK($B961)),VLOOKUP($B961,AssetCategories!$A:$E,5,0),"")</f>
        <v/>
      </c>
      <c r="EH961" t="str">
        <f>IF(NOT(ISBLANK($B961)),VLOOKUP($B961,AssetCategories!$A:$E,4,0),"")</f>
        <v/>
      </c>
      <c r="EM961" t="str">
        <f>IF(NOT(ISBLANK($B961)),VLOOKUP($B961,AssetCategories!$A:$E,2,0),"")</f>
        <v/>
      </c>
      <c r="EN961" t="str">
        <f>IF(NOT(ISBLANK($B961)),VLOOKUP($B961,AssetCategories!$A:$E,3,0),"")</f>
        <v/>
      </c>
      <c r="EP961" s="33" t="str">
        <f t="shared" si="29"/>
        <v/>
      </c>
    </row>
    <row r="962" spans="16:146" x14ac:dyDescent="0.25">
      <c r="P962" s="33" t="str" cm="1">
        <f t="array" ref="P962">IFERROR(SUM(VALUE(_xlfn.TEXTSPLIT(O962, ";"))), "")</f>
        <v/>
      </c>
      <c r="DO962" t="str">
        <f t="shared" si="28"/>
        <v/>
      </c>
      <c r="EG962" s="33" t="str">
        <f>IF(NOT(ISBLANK($B962)),VLOOKUP($B962,AssetCategories!$A:$E,5,0),"")</f>
        <v/>
      </c>
      <c r="EH962" t="str">
        <f>IF(NOT(ISBLANK($B962)),VLOOKUP($B962,AssetCategories!$A:$E,4,0),"")</f>
        <v/>
      </c>
      <c r="EM962" t="str">
        <f>IF(NOT(ISBLANK($B962)),VLOOKUP($B962,AssetCategories!$A:$E,2,0),"")</f>
        <v/>
      </c>
      <c r="EN962" t="str">
        <f>IF(NOT(ISBLANK($B962)),VLOOKUP($B962,AssetCategories!$A:$E,3,0),"")</f>
        <v/>
      </c>
      <c r="EP962" s="33" t="str">
        <f t="shared" si="29"/>
        <v/>
      </c>
    </row>
    <row r="963" spans="16:146" x14ac:dyDescent="0.25">
      <c r="P963" s="33" t="str" cm="1">
        <f t="array" ref="P963">IFERROR(SUM(VALUE(_xlfn.TEXTSPLIT(O963, ";"))), "")</f>
        <v/>
      </c>
      <c r="DO963" t="str">
        <f t="shared" si="28"/>
        <v/>
      </c>
      <c r="EG963" s="33" t="str">
        <f>IF(NOT(ISBLANK($B963)),VLOOKUP($B963,AssetCategories!$A:$E,5,0),"")</f>
        <v/>
      </c>
      <c r="EH963" t="str">
        <f>IF(NOT(ISBLANK($B963)),VLOOKUP($B963,AssetCategories!$A:$E,4,0),"")</f>
        <v/>
      </c>
      <c r="EM963" t="str">
        <f>IF(NOT(ISBLANK($B963)),VLOOKUP($B963,AssetCategories!$A:$E,2,0),"")</f>
        <v/>
      </c>
      <c r="EN963" t="str">
        <f>IF(NOT(ISBLANK($B963)),VLOOKUP($B963,AssetCategories!$A:$E,3,0),"")</f>
        <v/>
      </c>
      <c r="EP963" s="33" t="str">
        <f t="shared" si="29"/>
        <v/>
      </c>
    </row>
    <row r="964" spans="16:146" x14ac:dyDescent="0.25">
      <c r="P964" s="33" t="str" cm="1">
        <f t="array" ref="P964">IFERROR(SUM(VALUE(_xlfn.TEXTSPLIT(O964, ";"))), "")</f>
        <v/>
      </c>
      <c r="DO964" t="str">
        <f t="shared" si="28"/>
        <v/>
      </c>
      <c r="EG964" s="33" t="str">
        <f>IF(NOT(ISBLANK($B964)),VLOOKUP($B964,AssetCategories!$A:$E,5,0),"")</f>
        <v/>
      </c>
      <c r="EH964" t="str">
        <f>IF(NOT(ISBLANK($B964)),VLOOKUP($B964,AssetCategories!$A:$E,4,0),"")</f>
        <v/>
      </c>
      <c r="EM964" t="str">
        <f>IF(NOT(ISBLANK($B964)),VLOOKUP($B964,AssetCategories!$A:$E,2,0),"")</f>
        <v/>
      </c>
      <c r="EN964" t="str">
        <f>IF(NOT(ISBLANK($B964)),VLOOKUP($B964,AssetCategories!$A:$E,3,0),"")</f>
        <v/>
      </c>
      <c r="EP964" s="33" t="str">
        <f t="shared" si="29"/>
        <v/>
      </c>
    </row>
    <row r="965" spans="16:146" x14ac:dyDescent="0.25">
      <c r="P965" s="33" t="str" cm="1">
        <f t="array" ref="P965">IFERROR(SUM(VALUE(_xlfn.TEXTSPLIT(O965, ";"))), "")</f>
        <v/>
      </c>
      <c r="DO965" t="str">
        <f t="shared" ref="DO965:DO1028" si="30">IF(SUM(DE965:DN965)=0, "", SUM(DE965:DN965))</f>
        <v/>
      </c>
      <c r="EG965" s="33" t="str">
        <f>IF(NOT(ISBLANK($B965)),VLOOKUP($B965,AssetCategories!$A:$E,5,0),"")</f>
        <v/>
      </c>
      <c r="EH965" t="str">
        <f>IF(NOT(ISBLANK($B965)),VLOOKUP($B965,AssetCategories!$A:$E,4,0),"")</f>
        <v/>
      </c>
      <c r="EM965" t="str">
        <f>IF(NOT(ISBLANK($B965)),VLOOKUP($B965,AssetCategories!$A:$E,2,0),"")</f>
        <v/>
      </c>
      <c r="EN965" t="str">
        <f>IF(NOT(ISBLANK($B965)),VLOOKUP($B965,AssetCategories!$A:$E,3,0),"")</f>
        <v/>
      </c>
      <c r="EP965" s="33" t="str">
        <f t="shared" ref="EP965:EP1028" si="31">IFERROR(P965-EO965, "")</f>
        <v/>
      </c>
    </row>
    <row r="966" spans="16:146" x14ac:dyDescent="0.25">
      <c r="P966" s="33" t="str" cm="1">
        <f t="array" ref="P966">IFERROR(SUM(VALUE(_xlfn.TEXTSPLIT(O966, ";"))), "")</f>
        <v/>
      </c>
      <c r="DO966" t="str">
        <f t="shared" si="30"/>
        <v/>
      </c>
      <c r="EG966" s="33" t="str">
        <f>IF(NOT(ISBLANK($B966)),VLOOKUP($B966,AssetCategories!$A:$E,5,0),"")</f>
        <v/>
      </c>
      <c r="EH966" t="str">
        <f>IF(NOT(ISBLANK($B966)),VLOOKUP($B966,AssetCategories!$A:$E,4,0),"")</f>
        <v/>
      </c>
      <c r="EM966" t="str">
        <f>IF(NOT(ISBLANK($B966)),VLOOKUP($B966,AssetCategories!$A:$E,2,0),"")</f>
        <v/>
      </c>
      <c r="EN966" t="str">
        <f>IF(NOT(ISBLANK($B966)),VLOOKUP($B966,AssetCategories!$A:$E,3,0),"")</f>
        <v/>
      </c>
      <c r="EP966" s="33" t="str">
        <f t="shared" si="31"/>
        <v/>
      </c>
    </row>
    <row r="967" spans="16:146" x14ac:dyDescent="0.25">
      <c r="P967" s="33" t="str" cm="1">
        <f t="array" ref="P967">IFERROR(SUM(VALUE(_xlfn.TEXTSPLIT(O967, ";"))), "")</f>
        <v/>
      </c>
      <c r="DO967" t="str">
        <f t="shared" si="30"/>
        <v/>
      </c>
      <c r="EG967" s="33" t="str">
        <f>IF(NOT(ISBLANK($B967)),VLOOKUP($B967,AssetCategories!$A:$E,5,0),"")</f>
        <v/>
      </c>
      <c r="EH967" t="str">
        <f>IF(NOT(ISBLANK($B967)),VLOOKUP($B967,AssetCategories!$A:$E,4,0),"")</f>
        <v/>
      </c>
      <c r="EM967" t="str">
        <f>IF(NOT(ISBLANK($B967)),VLOOKUP($B967,AssetCategories!$A:$E,2,0),"")</f>
        <v/>
      </c>
      <c r="EN967" t="str">
        <f>IF(NOT(ISBLANK($B967)),VLOOKUP($B967,AssetCategories!$A:$E,3,0),"")</f>
        <v/>
      </c>
      <c r="EP967" s="33" t="str">
        <f t="shared" si="31"/>
        <v/>
      </c>
    </row>
    <row r="968" spans="16:146" x14ac:dyDescent="0.25">
      <c r="P968" s="33" t="str" cm="1">
        <f t="array" ref="P968">IFERROR(SUM(VALUE(_xlfn.TEXTSPLIT(O968, ";"))), "")</f>
        <v/>
      </c>
      <c r="DO968" t="str">
        <f t="shared" si="30"/>
        <v/>
      </c>
      <c r="EG968" s="33" t="str">
        <f>IF(NOT(ISBLANK($B968)),VLOOKUP($B968,AssetCategories!$A:$E,5,0),"")</f>
        <v/>
      </c>
      <c r="EH968" t="str">
        <f>IF(NOT(ISBLANK($B968)),VLOOKUP($B968,AssetCategories!$A:$E,4,0),"")</f>
        <v/>
      </c>
      <c r="EM968" t="str">
        <f>IF(NOT(ISBLANK($B968)),VLOOKUP($B968,AssetCategories!$A:$E,2,0),"")</f>
        <v/>
      </c>
      <c r="EN968" t="str">
        <f>IF(NOT(ISBLANK($B968)),VLOOKUP($B968,AssetCategories!$A:$E,3,0),"")</f>
        <v/>
      </c>
      <c r="EP968" s="33" t="str">
        <f t="shared" si="31"/>
        <v/>
      </c>
    </row>
    <row r="969" spans="16:146" x14ac:dyDescent="0.25">
      <c r="P969" s="33" t="str" cm="1">
        <f t="array" ref="P969">IFERROR(SUM(VALUE(_xlfn.TEXTSPLIT(O969, ";"))), "")</f>
        <v/>
      </c>
      <c r="DO969" t="str">
        <f t="shared" si="30"/>
        <v/>
      </c>
      <c r="EG969" s="33" t="str">
        <f>IF(NOT(ISBLANK($B969)),VLOOKUP($B969,AssetCategories!$A:$E,5,0),"")</f>
        <v/>
      </c>
      <c r="EH969" t="str">
        <f>IF(NOT(ISBLANK($B969)),VLOOKUP($B969,AssetCategories!$A:$E,4,0),"")</f>
        <v/>
      </c>
      <c r="EM969" t="str">
        <f>IF(NOT(ISBLANK($B969)),VLOOKUP($B969,AssetCategories!$A:$E,2,0),"")</f>
        <v/>
      </c>
      <c r="EN969" t="str">
        <f>IF(NOT(ISBLANK($B969)),VLOOKUP($B969,AssetCategories!$A:$E,3,0),"")</f>
        <v/>
      </c>
      <c r="EP969" s="33" t="str">
        <f t="shared" si="31"/>
        <v/>
      </c>
    </row>
    <row r="970" spans="16:146" x14ac:dyDescent="0.25">
      <c r="P970" s="33" t="str" cm="1">
        <f t="array" ref="P970">IFERROR(SUM(VALUE(_xlfn.TEXTSPLIT(O970, ";"))), "")</f>
        <v/>
      </c>
      <c r="DO970" t="str">
        <f t="shared" si="30"/>
        <v/>
      </c>
      <c r="EG970" s="33" t="str">
        <f>IF(NOT(ISBLANK($B970)),VLOOKUP($B970,AssetCategories!$A:$E,5,0),"")</f>
        <v/>
      </c>
      <c r="EH970" t="str">
        <f>IF(NOT(ISBLANK($B970)),VLOOKUP($B970,AssetCategories!$A:$E,4,0),"")</f>
        <v/>
      </c>
      <c r="EM970" t="str">
        <f>IF(NOT(ISBLANK($B970)),VLOOKUP($B970,AssetCategories!$A:$E,2,0),"")</f>
        <v/>
      </c>
      <c r="EN970" t="str">
        <f>IF(NOT(ISBLANK($B970)),VLOOKUP($B970,AssetCategories!$A:$E,3,0),"")</f>
        <v/>
      </c>
      <c r="EP970" s="33" t="str">
        <f t="shared" si="31"/>
        <v/>
      </c>
    </row>
    <row r="971" spans="16:146" x14ac:dyDescent="0.25">
      <c r="P971" s="33" t="str" cm="1">
        <f t="array" ref="P971">IFERROR(SUM(VALUE(_xlfn.TEXTSPLIT(O971, ";"))), "")</f>
        <v/>
      </c>
      <c r="DO971" t="str">
        <f t="shared" si="30"/>
        <v/>
      </c>
      <c r="EG971" s="33" t="str">
        <f>IF(NOT(ISBLANK($B971)),VLOOKUP($B971,AssetCategories!$A:$E,5,0),"")</f>
        <v/>
      </c>
      <c r="EH971" t="str">
        <f>IF(NOT(ISBLANK($B971)),VLOOKUP($B971,AssetCategories!$A:$E,4,0),"")</f>
        <v/>
      </c>
      <c r="EM971" t="str">
        <f>IF(NOT(ISBLANK($B971)),VLOOKUP($B971,AssetCategories!$A:$E,2,0),"")</f>
        <v/>
      </c>
      <c r="EN971" t="str">
        <f>IF(NOT(ISBLANK($B971)),VLOOKUP($B971,AssetCategories!$A:$E,3,0),"")</f>
        <v/>
      </c>
      <c r="EP971" s="33" t="str">
        <f t="shared" si="31"/>
        <v/>
      </c>
    </row>
    <row r="972" spans="16:146" x14ac:dyDescent="0.25">
      <c r="P972" s="33" t="str" cm="1">
        <f t="array" ref="P972">IFERROR(SUM(VALUE(_xlfn.TEXTSPLIT(O972, ";"))), "")</f>
        <v/>
      </c>
      <c r="DO972" t="str">
        <f t="shared" si="30"/>
        <v/>
      </c>
      <c r="EG972" s="33" t="str">
        <f>IF(NOT(ISBLANK($B972)),VLOOKUP($B972,AssetCategories!$A:$E,5,0),"")</f>
        <v/>
      </c>
      <c r="EH972" t="str">
        <f>IF(NOT(ISBLANK($B972)),VLOOKUP($B972,AssetCategories!$A:$E,4,0),"")</f>
        <v/>
      </c>
      <c r="EM972" t="str">
        <f>IF(NOT(ISBLANK($B972)),VLOOKUP($B972,AssetCategories!$A:$E,2,0),"")</f>
        <v/>
      </c>
      <c r="EN972" t="str">
        <f>IF(NOT(ISBLANK($B972)),VLOOKUP($B972,AssetCategories!$A:$E,3,0),"")</f>
        <v/>
      </c>
      <c r="EP972" s="33" t="str">
        <f t="shared" si="31"/>
        <v/>
      </c>
    </row>
    <row r="973" spans="16:146" x14ac:dyDescent="0.25">
      <c r="P973" s="33" t="str" cm="1">
        <f t="array" ref="P973">IFERROR(SUM(VALUE(_xlfn.TEXTSPLIT(O973, ";"))), "")</f>
        <v/>
      </c>
      <c r="DO973" t="str">
        <f t="shared" si="30"/>
        <v/>
      </c>
      <c r="EG973" s="33" t="str">
        <f>IF(NOT(ISBLANK($B973)),VLOOKUP($B973,AssetCategories!$A:$E,5,0),"")</f>
        <v/>
      </c>
      <c r="EH973" t="str">
        <f>IF(NOT(ISBLANK($B973)),VLOOKUP($B973,AssetCategories!$A:$E,4,0),"")</f>
        <v/>
      </c>
      <c r="EM973" t="str">
        <f>IF(NOT(ISBLANK($B973)),VLOOKUP($B973,AssetCategories!$A:$E,2,0),"")</f>
        <v/>
      </c>
      <c r="EN973" t="str">
        <f>IF(NOT(ISBLANK($B973)),VLOOKUP($B973,AssetCategories!$A:$E,3,0),"")</f>
        <v/>
      </c>
      <c r="EP973" s="33" t="str">
        <f t="shared" si="31"/>
        <v/>
      </c>
    </row>
    <row r="974" spans="16:146" x14ac:dyDescent="0.25">
      <c r="P974" s="33" t="str" cm="1">
        <f t="array" ref="P974">IFERROR(SUM(VALUE(_xlfn.TEXTSPLIT(O974, ";"))), "")</f>
        <v/>
      </c>
      <c r="DO974" t="str">
        <f t="shared" si="30"/>
        <v/>
      </c>
      <c r="EG974" s="33" t="str">
        <f>IF(NOT(ISBLANK($B974)),VLOOKUP($B974,AssetCategories!$A:$E,5,0),"")</f>
        <v/>
      </c>
      <c r="EH974" t="str">
        <f>IF(NOT(ISBLANK($B974)),VLOOKUP($B974,AssetCategories!$A:$E,4,0),"")</f>
        <v/>
      </c>
      <c r="EM974" t="str">
        <f>IF(NOT(ISBLANK($B974)),VLOOKUP($B974,AssetCategories!$A:$E,2,0),"")</f>
        <v/>
      </c>
      <c r="EN974" t="str">
        <f>IF(NOT(ISBLANK($B974)),VLOOKUP($B974,AssetCategories!$A:$E,3,0),"")</f>
        <v/>
      </c>
      <c r="EP974" s="33" t="str">
        <f t="shared" si="31"/>
        <v/>
      </c>
    </row>
    <row r="975" spans="16:146" x14ac:dyDescent="0.25">
      <c r="P975" s="33" t="str" cm="1">
        <f t="array" ref="P975">IFERROR(SUM(VALUE(_xlfn.TEXTSPLIT(O975, ";"))), "")</f>
        <v/>
      </c>
      <c r="DO975" t="str">
        <f t="shared" si="30"/>
        <v/>
      </c>
      <c r="EG975" s="33" t="str">
        <f>IF(NOT(ISBLANK($B975)),VLOOKUP($B975,AssetCategories!$A:$E,5,0),"")</f>
        <v/>
      </c>
      <c r="EH975" t="str">
        <f>IF(NOT(ISBLANK($B975)),VLOOKUP($B975,AssetCategories!$A:$E,4,0),"")</f>
        <v/>
      </c>
      <c r="EM975" t="str">
        <f>IF(NOT(ISBLANK($B975)),VLOOKUP($B975,AssetCategories!$A:$E,2,0),"")</f>
        <v/>
      </c>
      <c r="EN975" t="str">
        <f>IF(NOT(ISBLANK($B975)),VLOOKUP($B975,AssetCategories!$A:$E,3,0),"")</f>
        <v/>
      </c>
      <c r="EP975" s="33" t="str">
        <f t="shared" si="31"/>
        <v/>
      </c>
    </row>
    <row r="976" spans="16:146" x14ac:dyDescent="0.25">
      <c r="P976" s="33" t="str" cm="1">
        <f t="array" ref="P976">IFERROR(SUM(VALUE(_xlfn.TEXTSPLIT(O976, ";"))), "")</f>
        <v/>
      </c>
      <c r="DO976" t="str">
        <f t="shared" si="30"/>
        <v/>
      </c>
      <c r="EG976" s="33" t="str">
        <f>IF(NOT(ISBLANK($B976)),VLOOKUP($B976,AssetCategories!$A:$E,5,0),"")</f>
        <v/>
      </c>
      <c r="EH976" t="str">
        <f>IF(NOT(ISBLANK($B976)),VLOOKUP($B976,AssetCategories!$A:$E,4,0),"")</f>
        <v/>
      </c>
      <c r="EM976" t="str">
        <f>IF(NOT(ISBLANK($B976)),VLOOKUP($B976,AssetCategories!$A:$E,2,0),"")</f>
        <v/>
      </c>
      <c r="EN976" t="str">
        <f>IF(NOT(ISBLANK($B976)),VLOOKUP($B976,AssetCategories!$A:$E,3,0),"")</f>
        <v/>
      </c>
      <c r="EP976" s="33" t="str">
        <f t="shared" si="31"/>
        <v/>
      </c>
    </row>
    <row r="977" spans="16:146" x14ac:dyDescent="0.25">
      <c r="P977" s="33" t="str" cm="1">
        <f t="array" ref="P977">IFERROR(SUM(VALUE(_xlfn.TEXTSPLIT(O977, ";"))), "")</f>
        <v/>
      </c>
      <c r="DO977" t="str">
        <f t="shared" si="30"/>
        <v/>
      </c>
      <c r="EG977" s="33" t="str">
        <f>IF(NOT(ISBLANK($B977)),VLOOKUP($B977,AssetCategories!$A:$E,5,0),"")</f>
        <v/>
      </c>
      <c r="EH977" t="str">
        <f>IF(NOT(ISBLANK($B977)),VLOOKUP($B977,AssetCategories!$A:$E,4,0),"")</f>
        <v/>
      </c>
      <c r="EM977" t="str">
        <f>IF(NOT(ISBLANK($B977)),VLOOKUP($B977,AssetCategories!$A:$E,2,0),"")</f>
        <v/>
      </c>
      <c r="EN977" t="str">
        <f>IF(NOT(ISBLANK($B977)),VLOOKUP($B977,AssetCategories!$A:$E,3,0),"")</f>
        <v/>
      </c>
      <c r="EP977" s="33" t="str">
        <f t="shared" si="31"/>
        <v/>
      </c>
    </row>
    <row r="978" spans="16:146" x14ac:dyDescent="0.25">
      <c r="P978" s="33" t="str" cm="1">
        <f t="array" ref="P978">IFERROR(SUM(VALUE(_xlfn.TEXTSPLIT(O978, ";"))), "")</f>
        <v/>
      </c>
      <c r="DO978" t="str">
        <f t="shared" si="30"/>
        <v/>
      </c>
      <c r="EG978" s="33" t="str">
        <f>IF(NOT(ISBLANK($B978)),VLOOKUP($B978,AssetCategories!$A:$E,5,0),"")</f>
        <v/>
      </c>
      <c r="EH978" t="str">
        <f>IF(NOT(ISBLANK($B978)),VLOOKUP($B978,AssetCategories!$A:$E,4,0),"")</f>
        <v/>
      </c>
      <c r="EM978" t="str">
        <f>IF(NOT(ISBLANK($B978)),VLOOKUP($B978,AssetCategories!$A:$E,2,0),"")</f>
        <v/>
      </c>
      <c r="EN978" t="str">
        <f>IF(NOT(ISBLANK($B978)),VLOOKUP($B978,AssetCategories!$A:$E,3,0),"")</f>
        <v/>
      </c>
      <c r="EP978" s="33" t="str">
        <f t="shared" si="31"/>
        <v/>
      </c>
    </row>
    <row r="979" spans="16:146" x14ac:dyDescent="0.25">
      <c r="P979" s="33" t="str" cm="1">
        <f t="array" ref="P979">IFERROR(SUM(VALUE(_xlfn.TEXTSPLIT(O979, ";"))), "")</f>
        <v/>
      </c>
      <c r="DO979" t="str">
        <f t="shared" si="30"/>
        <v/>
      </c>
      <c r="EG979" s="33" t="str">
        <f>IF(NOT(ISBLANK($B979)),VLOOKUP($B979,AssetCategories!$A:$E,5,0),"")</f>
        <v/>
      </c>
      <c r="EH979" t="str">
        <f>IF(NOT(ISBLANK($B979)),VLOOKUP($B979,AssetCategories!$A:$E,4,0),"")</f>
        <v/>
      </c>
      <c r="EM979" t="str">
        <f>IF(NOT(ISBLANK($B979)),VLOOKUP($B979,AssetCategories!$A:$E,2,0),"")</f>
        <v/>
      </c>
      <c r="EN979" t="str">
        <f>IF(NOT(ISBLANK($B979)),VLOOKUP($B979,AssetCategories!$A:$E,3,0),"")</f>
        <v/>
      </c>
      <c r="EP979" s="33" t="str">
        <f t="shared" si="31"/>
        <v/>
      </c>
    </row>
    <row r="980" spans="16:146" x14ac:dyDescent="0.25">
      <c r="P980" s="33" t="str" cm="1">
        <f t="array" ref="P980">IFERROR(SUM(VALUE(_xlfn.TEXTSPLIT(O980, ";"))), "")</f>
        <v/>
      </c>
      <c r="DO980" t="str">
        <f t="shared" si="30"/>
        <v/>
      </c>
      <c r="EG980" s="33" t="str">
        <f>IF(NOT(ISBLANK($B980)),VLOOKUP($B980,AssetCategories!$A:$E,5,0),"")</f>
        <v/>
      </c>
      <c r="EH980" t="str">
        <f>IF(NOT(ISBLANK($B980)),VLOOKUP($B980,AssetCategories!$A:$E,4,0),"")</f>
        <v/>
      </c>
      <c r="EM980" t="str">
        <f>IF(NOT(ISBLANK($B980)),VLOOKUP($B980,AssetCategories!$A:$E,2,0),"")</f>
        <v/>
      </c>
      <c r="EN980" t="str">
        <f>IF(NOT(ISBLANK($B980)),VLOOKUP($B980,AssetCategories!$A:$E,3,0),"")</f>
        <v/>
      </c>
      <c r="EP980" s="33" t="str">
        <f t="shared" si="31"/>
        <v/>
      </c>
    </row>
    <row r="981" spans="16:146" x14ac:dyDescent="0.25">
      <c r="P981" s="33" t="str" cm="1">
        <f t="array" ref="P981">IFERROR(SUM(VALUE(_xlfn.TEXTSPLIT(O981, ";"))), "")</f>
        <v/>
      </c>
      <c r="DO981" t="str">
        <f t="shared" si="30"/>
        <v/>
      </c>
      <c r="EG981" s="33" t="str">
        <f>IF(NOT(ISBLANK($B981)),VLOOKUP($B981,AssetCategories!$A:$E,5,0),"")</f>
        <v/>
      </c>
      <c r="EH981" t="str">
        <f>IF(NOT(ISBLANK($B981)),VLOOKUP($B981,AssetCategories!$A:$E,4,0),"")</f>
        <v/>
      </c>
      <c r="EM981" t="str">
        <f>IF(NOT(ISBLANK($B981)),VLOOKUP($B981,AssetCategories!$A:$E,2,0),"")</f>
        <v/>
      </c>
      <c r="EN981" t="str">
        <f>IF(NOT(ISBLANK($B981)),VLOOKUP($B981,AssetCategories!$A:$E,3,0),"")</f>
        <v/>
      </c>
      <c r="EP981" s="33" t="str">
        <f t="shared" si="31"/>
        <v/>
      </c>
    </row>
    <row r="982" spans="16:146" x14ac:dyDescent="0.25">
      <c r="P982" s="33" t="str" cm="1">
        <f t="array" ref="P982">IFERROR(SUM(VALUE(_xlfn.TEXTSPLIT(O982, ";"))), "")</f>
        <v/>
      </c>
      <c r="DO982" t="str">
        <f t="shared" si="30"/>
        <v/>
      </c>
      <c r="EG982" s="33" t="str">
        <f>IF(NOT(ISBLANK($B982)),VLOOKUP($B982,AssetCategories!$A:$E,5,0),"")</f>
        <v/>
      </c>
      <c r="EH982" t="str">
        <f>IF(NOT(ISBLANK($B982)),VLOOKUP($B982,AssetCategories!$A:$E,4,0),"")</f>
        <v/>
      </c>
      <c r="EM982" t="str">
        <f>IF(NOT(ISBLANK($B982)),VLOOKUP($B982,AssetCategories!$A:$E,2,0),"")</f>
        <v/>
      </c>
      <c r="EN982" t="str">
        <f>IF(NOT(ISBLANK($B982)),VLOOKUP($B982,AssetCategories!$A:$E,3,0),"")</f>
        <v/>
      </c>
      <c r="EP982" s="33" t="str">
        <f t="shared" si="31"/>
        <v/>
      </c>
    </row>
    <row r="983" spans="16:146" x14ac:dyDescent="0.25">
      <c r="P983" s="33" t="str" cm="1">
        <f t="array" ref="P983">IFERROR(SUM(VALUE(_xlfn.TEXTSPLIT(O983, ";"))), "")</f>
        <v/>
      </c>
      <c r="DO983" t="str">
        <f t="shared" si="30"/>
        <v/>
      </c>
      <c r="EG983" s="33" t="str">
        <f>IF(NOT(ISBLANK($B983)),VLOOKUP($B983,AssetCategories!$A:$E,5,0),"")</f>
        <v/>
      </c>
      <c r="EH983" t="str">
        <f>IF(NOT(ISBLANK($B983)),VLOOKUP($B983,AssetCategories!$A:$E,4,0),"")</f>
        <v/>
      </c>
      <c r="EM983" t="str">
        <f>IF(NOT(ISBLANK($B983)),VLOOKUP($B983,AssetCategories!$A:$E,2,0),"")</f>
        <v/>
      </c>
      <c r="EN983" t="str">
        <f>IF(NOT(ISBLANK($B983)),VLOOKUP($B983,AssetCategories!$A:$E,3,0),"")</f>
        <v/>
      </c>
      <c r="EP983" s="33" t="str">
        <f t="shared" si="31"/>
        <v/>
      </c>
    </row>
    <row r="984" spans="16:146" x14ac:dyDescent="0.25">
      <c r="P984" s="33" t="str" cm="1">
        <f t="array" ref="P984">IFERROR(SUM(VALUE(_xlfn.TEXTSPLIT(O984, ";"))), "")</f>
        <v/>
      </c>
      <c r="DO984" t="str">
        <f t="shared" si="30"/>
        <v/>
      </c>
      <c r="EG984" s="33" t="str">
        <f>IF(NOT(ISBLANK($B984)),VLOOKUP($B984,AssetCategories!$A:$E,5,0),"")</f>
        <v/>
      </c>
      <c r="EH984" t="str">
        <f>IF(NOT(ISBLANK($B984)),VLOOKUP($B984,AssetCategories!$A:$E,4,0),"")</f>
        <v/>
      </c>
      <c r="EM984" t="str">
        <f>IF(NOT(ISBLANK($B984)),VLOOKUP($B984,AssetCategories!$A:$E,2,0),"")</f>
        <v/>
      </c>
      <c r="EN984" t="str">
        <f>IF(NOT(ISBLANK($B984)),VLOOKUP($B984,AssetCategories!$A:$E,3,0),"")</f>
        <v/>
      </c>
      <c r="EP984" s="33" t="str">
        <f t="shared" si="31"/>
        <v/>
      </c>
    </row>
    <row r="985" spans="16:146" x14ac:dyDescent="0.25">
      <c r="P985" s="33" t="str" cm="1">
        <f t="array" ref="P985">IFERROR(SUM(VALUE(_xlfn.TEXTSPLIT(O985, ";"))), "")</f>
        <v/>
      </c>
      <c r="DO985" t="str">
        <f t="shared" si="30"/>
        <v/>
      </c>
      <c r="EG985" s="33" t="str">
        <f>IF(NOT(ISBLANK($B985)),VLOOKUP($B985,AssetCategories!$A:$E,5,0),"")</f>
        <v/>
      </c>
      <c r="EH985" t="str">
        <f>IF(NOT(ISBLANK($B985)),VLOOKUP($B985,AssetCategories!$A:$E,4,0),"")</f>
        <v/>
      </c>
      <c r="EM985" t="str">
        <f>IF(NOT(ISBLANK($B985)),VLOOKUP($B985,AssetCategories!$A:$E,2,0),"")</f>
        <v/>
      </c>
      <c r="EN985" t="str">
        <f>IF(NOT(ISBLANK($B985)),VLOOKUP($B985,AssetCategories!$A:$E,3,0),"")</f>
        <v/>
      </c>
      <c r="EP985" s="33" t="str">
        <f t="shared" si="31"/>
        <v/>
      </c>
    </row>
    <row r="986" spans="16:146" x14ac:dyDescent="0.25">
      <c r="P986" s="33" t="str" cm="1">
        <f t="array" ref="P986">IFERROR(SUM(VALUE(_xlfn.TEXTSPLIT(O986, ";"))), "")</f>
        <v/>
      </c>
      <c r="DO986" t="str">
        <f t="shared" si="30"/>
        <v/>
      </c>
      <c r="EG986" s="33" t="str">
        <f>IF(NOT(ISBLANK($B986)),VLOOKUP($B986,AssetCategories!$A:$E,5,0),"")</f>
        <v/>
      </c>
      <c r="EH986" t="str">
        <f>IF(NOT(ISBLANK($B986)),VLOOKUP($B986,AssetCategories!$A:$E,4,0),"")</f>
        <v/>
      </c>
      <c r="EM986" t="str">
        <f>IF(NOT(ISBLANK($B986)),VLOOKUP($B986,AssetCategories!$A:$E,2,0),"")</f>
        <v/>
      </c>
      <c r="EN986" t="str">
        <f>IF(NOT(ISBLANK($B986)),VLOOKUP($B986,AssetCategories!$A:$E,3,0),"")</f>
        <v/>
      </c>
      <c r="EP986" s="33" t="str">
        <f t="shared" si="31"/>
        <v/>
      </c>
    </row>
    <row r="987" spans="16:146" x14ac:dyDescent="0.25">
      <c r="P987" s="33" t="str" cm="1">
        <f t="array" ref="P987">IFERROR(SUM(VALUE(_xlfn.TEXTSPLIT(O987, ";"))), "")</f>
        <v/>
      </c>
      <c r="DO987" t="str">
        <f t="shared" si="30"/>
        <v/>
      </c>
      <c r="EG987" s="33" t="str">
        <f>IF(NOT(ISBLANK($B987)),VLOOKUP($B987,AssetCategories!$A:$E,5,0),"")</f>
        <v/>
      </c>
      <c r="EH987" t="str">
        <f>IF(NOT(ISBLANK($B987)),VLOOKUP($B987,AssetCategories!$A:$E,4,0),"")</f>
        <v/>
      </c>
      <c r="EM987" t="str">
        <f>IF(NOT(ISBLANK($B987)),VLOOKUP($B987,AssetCategories!$A:$E,2,0),"")</f>
        <v/>
      </c>
      <c r="EN987" t="str">
        <f>IF(NOT(ISBLANK($B987)),VLOOKUP($B987,AssetCategories!$A:$E,3,0),"")</f>
        <v/>
      </c>
      <c r="EP987" s="33" t="str">
        <f t="shared" si="31"/>
        <v/>
      </c>
    </row>
    <row r="988" spans="16:146" x14ac:dyDescent="0.25">
      <c r="P988" s="33" t="str" cm="1">
        <f t="array" ref="P988">IFERROR(SUM(VALUE(_xlfn.TEXTSPLIT(O988, ";"))), "")</f>
        <v/>
      </c>
      <c r="DO988" t="str">
        <f t="shared" si="30"/>
        <v/>
      </c>
      <c r="EG988" s="33" t="str">
        <f>IF(NOT(ISBLANK($B988)),VLOOKUP($B988,AssetCategories!$A:$E,5,0),"")</f>
        <v/>
      </c>
      <c r="EH988" t="str">
        <f>IF(NOT(ISBLANK($B988)),VLOOKUP($B988,AssetCategories!$A:$E,4,0),"")</f>
        <v/>
      </c>
      <c r="EM988" t="str">
        <f>IF(NOT(ISBLANK($B988)),VLOOKUP($B988,AssetCategories!$A:$E,2,0),"")</f>
        <v/>
      </c>
      <c r="EN988" t="str">
        <f>IF(NOT(ISBLANK($B988)),VLOOKUP($B988,AssetCategories!$A:$E,3,0),"")</f>
        <v/>
      </c>
      <c r="EP988" s="33" t="str">
        <f t="shared" si="31"/>
        <v/>
      </c>
    </row>
    <row r="989" spans="16:146" x14ac:dyDescent="0.25">
      <c r="P989" s="33" t="str" cm="1">
        <f t="array" ref="P989">IFERROR(SUM(VALUE(_xlfn.TEXTSPLIT(O989, ";"))), "")</f>
        <v/>
      </c>
      <c r="DO989" t="str">
        <f t="shared" si="30"/>
        <v/>
      </c>
      <c r="EG989" s="33" t="str">
        <f>IF(NOT(ISBLANK($B989)),VLOOKUP($B989,AssetCategories!$A:$E,5,0),"")</f>
        <v/>
      </c>
      <c r="EH989" t="str">
        <f>IF(NOT(ISBLANK($B989)),VLOOKUP($B989,AssetCategories!$A:$E,4,0),"")</f>
        <v/>
      </c>
      <c r="EM989" t="str">
        <f>IF(NOT(ISBLANK($B989)),VLOOKUP($B989,AssetCategories!$A:$E,2,0),"")</f>
        <v/>
      </c>
      <c r="EN989" t="str">
        <f>IF(NOT(ISBLANK($B989)),VLOOKUP($B989,AssetCategories!$A:$E,3,0),"")</f>
        <v/>
      </c>
      <c r="EP989" s="33" t="str">
        <f t="shared" si="31"/>
        <v/>
      </c>
    </row>
    <row r="990" spans="16:146" x14ac:dyDescent="0.25">
      <c r="P990" s="33" t="str" cm="1">
        <f t="array" ref="P990">IFERROR(SUM(VALUE(_xlfn.TEXTSPLIT(O990, ";"))), "")</f>
        <v/>
      </c>
      <c r="DO990" t="str">
        <f t="shared" si="30"/>
        <v/>
      </c>
      <c r="EG990" s="33" t="str">
        <f>IF(NOT(ISBLANK($B990)),VLOOKUP($B990,AssetCategories!$A:$E,5,0),"")</f>
        <v/>
      </c>
      <c r="EH990" t="str">
        <f>IF(NOT(ISBLANK($B990)),VLOOKUP($B990,AssetCategories!$A:$E,4,0),"")</f>
        <v/>
      </c>
      <c r="EM990" t="str">
        <f>IF(NOT(ISBLANK($B990)),VLOOKUP($B990,AssetCategories!$A:$E,2,0),"")</f>
        <v/>
      </c>
      <c r="EN990" t="str">
        <f>IF(NOT(ISBLANK($B990)),VLOOKUP($B990,AssetCategories!$A:$E,3,0),"")</f>
        <v/>
      </c>
      <c r="EP990" s="33" t="str">
        <f t="shared" si="31"/>
        <v/>
      </c>
    </row>
    <row r="991" spans="16:146" x14ac:dyDescent="0.25">
      <c r="P991" s="33" t="str" cm="1">
        <f t="array" ref="P991">IFERROR(SUM(VALUE(_xlfn.TEXTSPLIT(O991, ";"))), "")</f>
        <v/>
      </c>
      <c r="DO991" t="str">
        <f t="shared" si="30"/>
        <v/>
      </c>
      <c r="EG991" s="33" t="str">
        <f>IF(NOT(ISBLANK($B991)),VLOOKUP($B991,AssetCategories!$A:$E,5,0),"")</f>
        <v/>
      </c>
      <c r="EH991" t="str">
        <f>IF(NOT(ISBLANK($B991)),VLOOKUP($B991,AssetCategories!$A:$E,4,0),"")</f>
        <v/>
      </c>
      <c r="EM991" t="str">
        <f>IF(NOT(ISBLANK($B991)),VLOOKUP($B991,AssetCategories!$A:$E,2,0),"")</f>
        <v/>
      </c>
      <c r="EN991" t="str">
        <f>IF(NOT(ISBLANK($B991)),VLOOKUP($B991,AssetCategories!$A:$E,3,0),"")</f>
        <v/>
      </c>
      <c r="EP991" s="33" t="str">
        <f t="shared" si="31"/>
        <v/>
      </c>
    </row>
    <row r="992" spans="16:146" x14ac:dyDescent="0.25">
      <c r="P992" s="33" t="str" cm="1">
        <f t="array" ref="P992">IFERROR(SUM(VALUE(_xlfn.TEXTSPLIT(O992, ";"))), "")</f>
        <v/>
      </c>
      <c r="DO992" t="str">
        <f t="shared" si="30"/>
        <v/>
      </c>
      <c r="EG992" s="33" t="str">
        <f>IF(NOT(ISBLANK($B992)),VLOOKUP($B992,AssetCategories!$A:$E,5,0),"")</f>
        <v/>
      </c>
      <c r="EH992" t="str">
        <f>IF(NOT(ISBLANK($B992)),VLOOKUP($B992,AssetCategories!$A:$E,4,0),"")</f>
        <v/>
      </c>
      <c r="EM992" t="str">
        <f>IF(NOT(ISBLANK($B992)),VLOOKUP($B992,AssetCategories!$A:$E,2,0),"")</f>
        <v/>
      </c>
      <c r="EN992" t="str">
        <f>IF(NOT(ISBLANK($B992)),VLOOKUP($B992,AssetCategories!$A:$E,3,0),"")</f>
        <v/>
      </c>
      <c r="EP992" s="33" t="str">
        <f t="shared" si="31"/>
        <v/>
      </c>
    </row>
    <row r="993" spans="16:146" x14ac:dyDescent="0.25">
      <c r="P993" s="33" t="str" cm="1">
        <f t="array" ref="P993">IFERROR(SUM(VALUE(_xlfn.TEXTSPLIT(O993, ";"))), "")</f>
        <v/>
      </c>
      <c r="DO993" t="str">
        <f t="shared" si="30"/>
        <v/>
      </c>
      <c r="EG993" s="33" t="str">
        <f>IF(NOT(ISBLANK($B993)),VLOOKUP($B993,AssetCategories!$A:$E,5,0),"")</f>
        <v/>
      </c>
      <c r="EH993" t="str">
        <f>IF(NOT(ISBLANK($B993)),VLOOKUP($B993,AssetCategories!$A:$E,4,0),"")</f>
        <v/>
      </c>
      <c r="EM993" t="str">
        <f>IF(NOT(ISBLANK($B993)),VLOOKUP($B993,AssetCategories!$A:$E,2,0),"")</f>
        <v/>
      </c>
      <c r="EN993" t="str">
        <f>IF(NOT(ISBLANK($B993)),VLOOKUP($B993,AssetCategories!$A:$E,3,0),"")</f>
        <v/>
      </c>
      <c r="EP993" s="33" t="str">
        <f t="shared" si="31"/>
        <v/>
      </c>
    </row>
    <row r="994" spans="16:146" x14ac:dyDescent="0.25">
      <c r="P994" s="33" t="str" cm="1">
        <f t="array" ref="P994">IFERROR(SUM(VALUE(_xlfn.TEXTSPLIT(O994, ";"))), "")</f>
        <v/>
      </c>
      <c r="DO994" t="str">
        <f t="shared" si="30"/>
        <v/>
      </c>
      <c r="EG994" s="33" t="str">
        <f>IF(NOT(ISBLANK($B994)),VLOOKUP($B994,AssetCategories!$A:$E,5,0),"")</f>
        <v/>
      </c>
      <c r="EH994" t="str">
        <f>IF(NOT(ISBLANK($B994)),VLOOKUP($B994,AssetCategories!$A:$E,4,0),"")</f>
        <v/>
      </c>
      <c r="EM994" t="str">
        <f>IF(NOT(ISBLANK($B994)),VLOOKUP($B994,AssetCategories!$A:$E,2,0),"")</f>
        <v/>
      </c>
      <c r="EN994" t="str">
        <f>IF(NOT(ISBLANK($B994)),VLOOKUP($B994,AssetCategories!$A:$E,3,0),"")</f>
        <v/>
      </c>
      <c r="EP994" s="33" t="str">
        <f t="shared" si="31"/>
        <v/>
      </c>
    </row>
    <row r="995" spans="16:146" x14ac:dyDescent="0.25">
      <c r="P995" s="33" t="str" cm="1">
        <f t="array" ref="P995">IFERROR(SUM(VALUE(_xlfn.TEXTSPLIT(O995, ";"))), "")</f>
        <v/>
      </c>
      <c r="DO995" t="str">
        <f t="shared" si="30"/>
        <v/>
      </c>
      <c r="EG995" s="33" t="str">
        <f>IF(NOT(ISBLANK($B995)),VLOOKUP($B995,AssetCategories!$A:$E,5,0),"")</f>
        <v/>
      </c>
      <c r="EH995" t="str">
        <f>IF(NOT(ISBLANK($B995)),VLOOKUP($B995,AssetCategories!$A:$E,4,0),"")</f>
        <v/>
      </c>
      <c r="EM995" t="str">
        <f>IF(NOT(ISBLANK($B995)),VLOOKUP($B995,AssetCategories!$A:$E,2,0),"")</f>
        <v/>
      </c>
      <c r="EN995" t="str">
        <f>IF(NOT(ISBLANK($B995)),VLOOKUP($B995,AssetCategories!$A:$E,3,0),"")</f>
        <v/>
      </c>
      <c r="EP995" s="33" t="str">
        <f t="shared" si="31"/>
        <v/>
      </c>
    </row>
    <row r="996" spans="16:146" x14ac:dyDescent="0.25">
      <c r="P996" s="33" t="str" cm="1">
        <f t="array" ref="P996">IFERROR(SUM(VALUE(_xlfn.TEXTSPLIT(O996, ";"))), "")</f>
        <v/>
      </c>
      <c r="DO996" t="str">
        <f t="shared" si="30"/>
        <v/>
      </c>
      <c r="EG996" s="33" t="str">
        <f>IF(NOT(ISBLANK($B996)),VLOOKUP($B996,AssetCategories!$A:$E,5,0),"")</f>
        <v/>
      </c>
      <c r="EH996" t="str">
        <f>IF(NOT(ISBLANK($B996)),VLOOKUP($B996,AssetCategories!$A:$E,4,0),"")</f>
        <v/>
      </c>
      <c r="EM996" t="str">
        <f>IF(NOT(ISBLANK($B996)),VLOOKUP($B996,AssetCategories!$A:$E,2,0),"")</f>
        <v/>
      </c>
      <c r="EN996" t="str">
        <f>IF(NOT(ISBLANK($B996)),VLOOKUP($B996,AssetCategories!$A:$E,3,0),"")</f>
        <v/>
      </c>
      <c r="EP996" s="33" t="str">
        <f t="shared" si="31"/>
        <v/>
      </c>
    </row>
    <row r="997" spans="16:146" x14ac:dyDescent="0.25">
      <c r="P997" s="33" t="str" cm="1">
        <f t="array" ref="P997">IFERROR(SUM(VALUE(_xlfn.TEXTSPLIT(O997, ";"))), "")</f>
        <v/>
      </c>
      <c r="DO997" t="str">
        <f t="shared" si="30"/>
        <v/>
      </c>
      <c r="EG997" s="33" t="str">
        <f>IF(NOT(ISBLANK($B997)),VLOOKUP($B997,AssetCategories!$A:$E,5,0),"")</f>
        <v/>
      </c>
      <c r="EH997" t="str">
        <f>IF(NOT(ISBLANK($B997)),VLOOKUP($B997,AssetCategories!$A:$E,4,0),"")</f>
        <v/>
      </c>
      <c r="EM997" t="str">
        <f>IF(NOT(ISBLANK($B997)),VLOOKUP($B997,AssetCategories!$A:$E,2,0),"")</f>
        <v/>
      </c>
      <c r="EN997" t="str">
        <f>IF(NOT(ISBLANK($B997)),VLOOKUP($B997,AssetCategories!$A:$E,3,0),"")</f>
        <v/>
      </c>
      <c r="EP997" s="33" t="str">
        <f t="shared" si="31"/>
        <v/>
      </c>
    </row>
    <row r="998" spans="16:146" x14ac:dyDescent="0.25">
      <c r="P998" s="33" t="str" cm="1">
        <f t="array" ref="P998">IFERROR(SUM(VALUE(_xlfn.TEXTSPLIT(O998, ";"))), "")</f>
        <v/>
      </c>
      <c r="DO998" t="str">
        <f t="shared" si="30"/>
        <v/>
      </c>
      <c r="EG998" s="33" t="str">
        <f>IF(NOT(ISBLANK($B998)),VLOOKUP($B998,AssetCategories!$A:$E,5,0),"")</f>
        <v/>
      </c>
      <c r="EH998" t="str">
        <f>IF(NOT(ISBLANK($B998)),VLOOKUP($B998,AssetCategories!$A:$E,4,0),"")</f>
        <v/>
      </c>
      <c r="EM998" t="str">
        <f>IF(NOT(ISBLANK($B998)),VLOOKUP($B998,AssetCategories!$A:$E,2,0),"")</f>
        <v/>
      </c>
      <c r="EN998" t="str">
        <f>IF(NOT(ISBLANK($B998)),VLOOKUP($B998,AssetCategories!$A:$E,3,0),"")</f>
        <v/>
      </c>
      <c r="EP998" s="33" t="str">
        <f t="shared" si="31"/>
        <v/>
      </c>
    </row>
    <row r="999" spans="16:146" x14ac:dyDescent="0.25">
      <c r="P999" s="33" t="str" cm="1">
        <f t="array" ref="P999">IFERROR(SUM(VALUE(_xlfn.TEXTSPLIT(O999, ";"))), "")</f>
        <v/>
      </c>
      <c r="DO999" t="str">
        <f t="shared" si="30"/>
        <v/>
      </c>
      <c r="EG999" s="33" t="str">
        <f>IF(NOT(ISBLANK($B999)),VLOOKUP($B999,AssetCategories!$A:$E,5,0),"")</f>
        <v/>
      </c>
      <c r="EH999" t="str">
        <f>IF(NOT(ISBLANK($B999)),VLOOKUP($B999,AssetCategories!$A:$E,4,0),"")</f>
        <v/>
      </c>
      <c r="EM999" t="str">
        <f>IF(NOT(ISBLANK($B999)),VLOOKUP($B999,AssetCategories!$A:$E,2,0),"")</f>
        <v/>
      </c>
      <c r="EN999" t="str">
        <f>IF(NOT(ISBLANK($B999)),VLOOKUP($B999,AssetCategories!$A:$E,3,0),"")</f>
        <v/>
      </c>
      <c r="EP999" s="33" t="str">
        <f t="shared" si="31"/>
        <v/>
      </c>
    </row>
    <row r="1000" spans="16:146" x14ac:dyDescent="0.25">
      <c r="P1000" s="33" t="str" cm="1">
        <f t="array" ref="P1000">IFERROR(SUM(VALUE(_xlfn.TEXTSPLIT(O1000, ";"))), "")</f>
        <v/>
      </c>
      <c r="DO1000" t="str">
        <f t="shared" si="30"/>
        <v/>
      </c>
      <c r="EG1000" s="33" t="str">
        <f>IF(NOT(ISBLANK($B1000)),VLOOKUP($B1000,AssetCategories!$A:$E,5,0),"")</f>
        <v/>
      </c>
      <c r="EH1000" t="str">
        <f>IF(NOT(ISBLANK($B1000)),VLOOKUP($B1000,AssetCategories!$A:$E,4,0),"")</f>
        <v/>
      </c>
      <c r="EM1000" t="str">
        <f>IF(NOT(ISBLANK($B1000)),VLOOKUP($B1000,AssetCategories!$A:$E,2,0),"")</f>
        <v/>
      </c>
      <c r="EN1000" t="str">
        <f>IF(NOT(ISBLANK($B1000)),VLOOKUP($B1000,AssetCategories!$A:$E,3,0),"")</f>
        <v/>
      </c>
      <c r="EP1000" s="33" t="str">
        <f t="shared" si="31"/>
        <v/>
      </c>
    </row>
    <row r="1001" spans="16:146" x14ac:dyDescent="0.25">
      <c r="P1001" s="33" t="str" cm="1">
        <f t="array" ref="P1001">IFERROR(SUM(VALUE(_xlfn.TEXTSPLIT(O1001, ";"))), "")</f>
        <v/>
      </c>
      <c r="DO1001" t="str">
        <f t="shared" si="30"/>
        <v/>
      </c>
      <c r="EG1001" s="33" t="str">
        <f>IF(NOT(ISBLANK($B1001)),VLOOKUP($B1001,AssetCategories!$A:$E,5,0),"")</f>
        <v/>
      </c>
      <c r="EH1001" t="str">
        <f>IF(NOT(ISBLANK($B1001)),VLOOKUP($B1001,AssetCategories!$A:$E,4,0),"")</f>
        <v/>
      </c>
      <c r="EM1001" t="str">
        <f>IF(NOT(ISBLANK($B1001)),VLOOKUP($B1001,AssetCategories!$A:$E,2,0),"")</f>
        <v/>
      </c>
      <c r="EN1001" t="str">
        <f>IF(NOT(ISBLANK($B1001)),VLOOKUP($B1001,AssetCategories!$A:$E,3,0),"")</f>
        <v/>
      </c>
      <c r="EP1001" s="33" t="str">
        <f t="shared" si="31"/>
        <v/>
      </c>
    </row>
    <row r="1002" spans="16:146" x14ac:dyDescent="0.25">
      <c r="P1002" s="33" t="str" cm="1">
        <f t="array" ref="P1002">IFERROR(SUM(VALUE(_xlfn.TEXTSPLIT(O1002, ";"))), "")</f>
        <v/>
      </c>
      <c r="DO1002" t="str">
        <f t="shared" si="30"/>
        <v/>
      </c>
      <c r="EG1002" s="33" t="str">
        <f>IF(NOT(ISBLANK($B1002)),VLOOKUP($B1002,AssetCategories!$A:$E,5,0),"")</f>
        <v/>
      </c>
      <c r="EH1002" t="str">
        <f>IF(NOT(ISBLANK($B1002)),VLOOKUP($B1002,AssetCategories!$A:$E,4,0),"")</f>
        <v/>
      </c>
      <c r="EM1002" t="str">
        <f>IF(NOT(ISBLANK($B1002)),VLOOKUP($B1002,AssetCategories!$A:$E,2,0),"")</f>
        <v/>
      </c>
      <c r="EN1002" t="str">
        <f>IF(NOT(ISBLANK($B1002)),VLOOKUP($B1002,AssetCategories!$A:$E,3,0),"")</f>
        <v/>
      </c>
      <c r="EP1002" s="33" t="str">
        <f t="shared" si="31"/>
        <v/>
      </c>
    </row>
    <row r="1003" spans="16:146" x14ac:dyDescent="0.25">
      <c r="P1003" s="33" t="str" cm="1">
        <f t="array" ref="P1003">IFERROR(SUM(VALUE(_xlfn.TEXTSPLIT(O1003, ";"))), "")</f>
        <v/>
      </c>
      <c r="DO1003" t="str">
        <f t="shared" si="30"/>
        <v/>
      </c>
      <c r="EG1003" s="33" t="str">
        <f>IF(NOT(ISBLANK($B1003)),VLOOKUP($B1003,AssetCategories!$A:$E,5,0),"")</f>
        <v/>
      </c>
      <c r="EH1003" t="str">
        <f>IF(NOT(ISBLANK($B1003)),VLOOKUP($B1003,AssetCategories!$A:$E,4,0),"")</f>
        <v/>
      </c>
      <c r="EM1003" t="str">
        <f>IF(NOT(ISBLANK($B1003)),VLOOKUP($B1003,AssetCategories!$A:$E,2,0),"")</f>
        <v/>
      </c>
      <c r="EN1003" t="str">
        <f>IF(NOT(ISBLANK($B1003)),VLOOKUP($B1003,AssetCategories!$A:$E,3,0),"")</f>
        <v/>
      </c>
      <c r="EP1003" s="33" t="str">
        <f t="shared" si="31"/>
        <v/>
      </c>
    </row>
    <row r="1004" spans="16:146" x14ac:dyDescent="0.25">
      <c r="P1004" s="33" t="str" cm="1">
        <f t="array" ref="P1004">IFERROR(SUM(VALUE(_xlfn.TEXTSPLIT(O1004, ";"))), "")</f>
        <v/>
      </c>
      <c r="DO1004" t="str">
        <f t="shared" si="30"/>
        <v/>
      </c>
      <c r="EG1004" s="33" t="str">
        <f>IF(NOT(ISBLANK($B1004)),VLOOKUP($B1004,AssetCategories!$A:$E,5,0),"")</f>
        <v/>
      </c>
      <c r="EH1004" t="str">
        <f>IF(NOT(ISBLANK($B1004)),VLOOKUP($B1004,AssetCategories!$A:$E,4,0),"")</f>
        <v/>
      </c>
      <c r="EM1004" t="str">
        <f>IF(NOT(ISBLANK($B1004)),VLOOKUP($B1004,AssetCategories!$A:$E,2,0),"")</f>
        <v/>
      </c>
      <c r="EN1004" t="str">
        <f>IF(NOT(ISBLANK($B1004)),VLOOKUP($B1004,AssetCategories!$A:$E,3,0),"")</f>
        <v/>
      </c>
      <c r="EP1004" s="33" t="str">
        <f t="shared" si="31"/>
        <v/>
      </c>
    </row>
    <row r="1005" spans="16:146" x14ac:dyDescent="0.25">
      <c r="P1005" s="33" t="str" cm="1">
        <f t="array" ref="P1005">IFERROR(SUM(VALUE(_xlfn.TEXTSPLIT(O1005, ";"))), "")</f>
        <v/>
      </c>
      <c r="DO1005" t="str">
        <f t="shared" si="30"/>
        <v/>
      </c>
      <c r="EG1005" s="33" t="str">
        <f>IF(NOT(ISBLANK($B1005)),VLOOKUP($B1005,AssetCategories!$A:$E,5,0),"")</f>
        <v/>
      </c>
      <c r="EH1005" t="str">
        <f>IF(NOT(ISBLANK($B1005)),VLOOKUP($B1005,AssetCategories!$A:$E,4,0),"")</f>
        <v/>
      </c>
      <c r="EM1005" t="str">
        <f>IF(NOT(ISBLANK($B1005)),VLOOKUP($B1005,AssetCategories!$A:$E,2,0),"")</f>
        <v/>
      </c>
      <c r="EN1005" t="str">
        <f>IF(NOT(ISBLANK($B1005)),VLOOKUP($B1005,AssetCategories!$A:$E,3,0),"")</f>
        <v/>
      </c>
      <c r="EP1005" s="33" t="str">
        <f t="shared" si="31"/>
        <v/>
      </c>
    </row>
    <row r="1006" spans="16:146" x14ac:dyDescent="0.25">
      <c r="P1006" s="33" t="str" cm="1">
        <f t="array" ref="P1006">IFERROR(SUM(VALUE(_xlfn.TEXTSPLIT(O1006, ";"))), "")</f>
        <v/>
      </c>
      <c r="DO1006" t="str">
        <f t="shared" si="30"/>
        <v/>
      </c>
      <c r="EG1006" s="33" t="str">
        <f>IF(NOT(ISBLANK($B1006)),VLOOKUP($B1006,AssetCategories!$A:$E,5,0),"")</f>
        <v/>
      </c>
      <c r="EH1006" t="str">
        <f>IF(NOT(ISBLANK($B1006)),VLOOKUP($B1006,AssetCategories!$A:$E,4,0),"")</f>
        <v/>
      </c>
      <c r="EM1006" t="str">
        <f>IF(NOT(ISBLANK($B1006)),VLOOKUP($B1006,AssetCategories!$A:$E,2,0),"")</f>
        <v/>
      </c>
      <c r="EN1006" t="str">
        <f>IF(NOT(ISBLANK($B1006)),VLOOKUP($B1006,AssetCategories!$A:$E,3,0),"")</f>
        <v/>
      </c>
      <c r="EP1006" s="33" t="str">
        <f t="shared" si="31"/>
        <v/>
      </c>
    </row>
    <row r="1007" spans="16:146" x14ac:dyDescent="0.25">
      <c r="P1007" s="33" t="str" cm="1">
        <f t="array" ref="P1007">IFERROR(SUM(VALUE(_xlfn.TEXTSPLIT(O1007, ";"))), "")</f>
        <v/>
      </c>
      <c r="DO1007" t="str">
        <f t="shared" si="30"/>
        <v/>
      </c>
      <c r="EG1007" s="33" t="str">
        <f>IF(NOT(ISBLANK($B1007)),VLOOKUP($B1007,AssetCategories!$A:$E,5,0),"")</f>
        <v/>
      </c>
      <c r="EH1007" t="str">
        <f>IF(NOT(ISBLANK($B1007)),VLOOKUP($B1007,AssetCategories!$A:$E,4,0),"")</f>
        <v/>
      </c>
      <c r="EM1007" t="str">
        <f>IF(NOT(ISBLANK($B1007)),VLOOKUP($B1007,AssetCategories!$A:$E,2,0),"")</f>
        <v/>
      </c>
      <c r="EN1007" t="str">
        <f>IF(NOT(ISBLANK($B1007)),VLOOKUP($B1007,AssetCategories!$A:$E,3,0),"")</f>
        <v/>
      </c>
      <c r="EP1007" s="33" t="str">
        <f t="shared" si="31"/>
        <v/>
      </c>
    </row>
    <row r="1008" spans="16:146" x14ac:dyDescent="0.25">
      <c r="P1008" s="33" t="str" cm="1">
        <f t="array" ref="P1008">IFERROR(SUM(VALUE(_xlfn.TEXTSPLIT(O1008, ";"))), "")</f>
        <v/>
      </c>
      <c r="DO1008" t="str">
        <f t="shared" si="30"/>
        <v/>
      </c>
      <c r="EG1008" s="33" t="str">
        <f>IF(NOT(ISBLANK($B1008)),VLOOKUP($B1008,AssetCategories!$A:$E,5,0),"")</f>
        <v/>
      </c>
      <c r="EH1008" t="str">
        <f>IF(NOT(ISBLANK($B1008)),VLOOKUP($B1008,AssetCategories!$A:$E,4,0),"")</f>
        <v/>
      </c>
      <c r="EM1008" t="str">
        <f>IF(NOT(ISBLANK($B1008)),VLOOKUP($B1008,AssetCategories!$A:$E,2,0),"")</f>
        <v/>
      </c>
      <c r="EN1008" t="str">
        <f>IF(NOT(ISBLANK($B1008)),VLOOKUP($B1008,AssetCategories!$A:$E,3,0),"")</f>
        <v/>
      </c>
      <c r="EP1008" s="33" t="str">
        <f t="shared" si="31"/>
        <v/>
      </c>
    </row>
    <row r="1009" spans="16:146" x14ac:dyDescent="0.25">
      <c r="P1009" s="33" t="str" cm="1">
        <f t="array" ref="P1009">IFERROR(SUM(VALUE(_xlfn.TEXTSPLIT(O1009, ";"))), "")</f>
        <v/>
      </c>
      <c r="DO1009" t="str">
        <f t="shared" si="30"/>
        <v/>
      </c>
      <c r="EG1009" s="33" t="str">
        <f>IF(NOT(ISBLANK($B1009)),VLOOKUP($B1009,AssetCategories!$A:$E,5,0),"")</f>
        <v/>
      </c>
      <c r="EH1009" t="str">
        <f>IF(NOT(ISBLANK($B1009)),VLOOKUP($B1009,AssetCategories!$A:$E,4,0),"")</f>
        <v/>
      </c>
      <c r="EM1009" t="str">
        <f>IF(NOT(ISBLANK($B1009)),VLOOKUP($B1009,AssetCategories!$A:$E,2,0),"")</f>
        <v/>
      </c>
      <c r="EN1009" t="str">
        <f>IF(NOT(ISBLANK($B1009)),VLOOKUP($B1009,AssetCategories!$A:$E,3,0),"")</f>
        <v/>
      </c>
      <c r="EP1009" s="33" t="str">
        <f t="shared" si="31"/>
        <v/>
      </c>
    </row>
    <row r="1010" spans="16:146" x14ac:dyDescent="0.25">
      <c r="P1010" s="33" t="str" cm="1">
        <f t="array" ref="P1010">IFERROR(SUM(VALUE(_xlfn.TEXTSPLIT(O1010, ";"))), "")</f>
        <v/>
      </c>
      <c r="DO1010" t="str">
        <f t="shared" si="30"/>
        <v/>
      </c>
      <c r="EG1010" s="33" t="str">
        <f>IF(NOT(ISBLANK($B1010)),VLOOKUP($B1010,AssetCategories!$A:$E,5,0),"")</f>
        <v/>
      </c>
      <c r="EH1010" t="str">
        <f>IF(NOT(ISBLANK($B1010)),VLOOKUP($B1010,AssetCategories!$A:$E,4,0),"")</f>
        <v/>
      </c>
      <c r="EM1010" t="str">
        <f>IF(NOT(ISBLANK($B1010)),VLOOKUP($B1010,AssetCategories!$A:$E,2,0),"")</f>
        <v/>
      </c>
      <c r="EN1010" t="str">
        <f>IF(NOT(ISBLANK($B1010)),VLOOKUP($B1010,AssetCategories!$A:$E,3,0),"")</f>
        <v/>
      </c>
      <c r="EP1010" s="33" t="str">
        <f t="shared" si="31"/>
        <v/>
      </c>
    </row>
    <row r="1011" spans="16:146" x14ac:dyDescent="0.25">
      <c r="P1011" s="33" t="str" cm="1">
        <f t="array" ref="P1011">IFERROR(SUM(VALUE(_xlfn.TEXTSPLIT(O1011, ";"))), "")</f>
        <v/>
      </c>
      <c r="DO1011" t="str">
        <f t="shared" si="30"/>
        <v/>
      </c>
      <c r="EG1011" s="33" t="str">
        <f>IF(NOT(ISBLANK($B1011)),VLOOKUP($B1011,AssetCategories!$A:$E,5,0),"")</f>
        <v/>
      </c>
      <c r="EH1011" t="str">
        <f>IF(NOT(ISBLANK($B1011)),VLOOKUP($B1011,AssetCategories!$A:$E,4,0),"")</f>
        <v/>
      </c>
      <c r="EM1011" t="str">
        <f>IF(NOT(ISBLANK($B1011)),VLOOKUP($B1011,AssetCategories!$A:$E,2,0),"")</f>
        <v/>
      </c>
      <c r="EN1011" t="str">
        <f>IF(NOT(ISBLANK($B1011)),VLOOKUP($B1011,AssetCategories!$A:$E,3,0),"")</f>
        <v/>
      </c>
      <c r="EP1011" s="33" t="str">
        <f t="shared" si="31"/>
        <v/>
      </c>
    </row>
    <row r="1012" spans="16:146" x14ac:dyDescent="0.25">
      <c r="P1012" s="33" t="str" cm="1">
        <f t="array" ref="P1012">IFERROR(SUM(VALUE(_xlfn.TEXTSPLIT(O1012, ";"))), "")</f>
        <v/>
      </c>
      <c r="DO1012" t="str">
        <f t="shared" si="30"/>
        <v/>
      </c>
      <c r="EG1012" s="33" t="str">
        <f>IF(NOT(ISBLANK($B1012)),VLOOKUP($B1012,AssetCategories!$A:$E,5,0),"")</f>
        <v/>
      </c>
      <c r="EH1012" t="str">
        <f>IF(NOT(ISBLANK($B1012)),VLOOKUP($B1012,AssetCategories!$A:$E,4,0),"")</f>
        <v/>
      </c>
      <c r="EM1012" t="str">
        <f>IF(NOT(ISBLANK($B1012)),VLOOKUP($B1012,AssetCategories!$A:$E,2,0),"")</f>
        <v/>
      </c>
      <c r="EN1012" t="str">
        <f>IF(NOT(ISBLANK($B1012)),VLOOKUP($B1012,AssetCategories!$A:$E,3,0),"")</f>
        <v/>
      </c>
      <c r="EP1012" s="33" t="str">
        <f t="shared" si="31"/>
        <v/>
      </c>
    </row>
    <row r="1013" spans="16:146" x14ac:dyDescent="0.25">
      <c r="P1013" s="33" t="str" cm="1">
        <f t="array" ref="P1013">IFERROR(SUM(VALUE(_xlfn.TEXTSPLIT(O1013, ";"))), "")</f>
        <v/>
      </c>
      <c r="DO1013" t="str">
        <f t="shared" si="30"/>
        <v/>
      </c>
      <c r="EG1013" s="33" t="str">
        <f>IF(NOT(ISBLANK($B1013)),VLOOKUP($B1013,AssetCategories!$A:$E,5,0),"")</f>
        <v/>
      </c>
      <c r="EH1013" t="str">
        <f>IF(NOT(ISBLANK($B1013)),VLOOKUP($B1013,AssetCategories!$A:$E,4,0),"")</f>
        <v/>
      </c>
      <c r="EM1013" t="str">
        <f>IF(NOT(ISBLANK($B1013)),VLOOKUP($B1013,AssetCategories!$A:$E,2,0),"")</f>
        <v/>
      </c>
      <c r="EN1013" t="str">
        <f>IF(NOT(ISBLANK($B1013)),VLOOKUP($B1013,AssetCategories!$A:$E,3,0),"")</f>
        <v/>
      </c>
      <c r="EP1013" s="33" t="str">
        <f t="shared" si="31"/>
        <v/>
      </c>
    </row>
    <row r="1014" spans="16:146" x14ac:dyDescent="0.25">
      <c r="P1014" s="33" t="str" cm="1">
        <f t="array" ref="P1014">IFERROR(SUM(VALUE(_xlfn.TEXTSPLIT(O1014, ";"))), "")</f>
        <v/>
      </c>
      <c r="DO1014" t="str">
        <f t="shared" si="30"/>
        <v/>
      </c>
      <c r="EG1014" s="33" t="str">
        <f>IF(NOT(ISBLANK($B1014)),VLOOKUP($B1014,AssetCategories!$A:$E,5,0),"")</f>
        <v/>
      </c>
      <c r="EH1014" t="str">
        <f>IF(NOT(ISBLANK($B1014)),VLOOKUP($B1014,AssetCategories!$A:$E,4,0),"")</f>
        <v/>
      </c>
      <c r="EM1014" t="str">
        <f>IF(NOT(ISBLANK($B1014)),VLOOKUP($B1014,AssetCategories!$A:$E,2,0),"")</f>
        <v/>
      </c>
      <c r="EN1014" t="str">
        <f>IF(NOT(ISBLANK($B1014)),VLOOKUP($B1014,AssetCategories!$A:$E,3,0),"")</f>
        <v/>
      </c>
      <c r="EP1014" s="33" t="str">
        <f t="shared" si="31"/>
        <v/>
      </c>
    </row>
    <row r="1015" spans="16:146" x14ac:dyDescent="0.25">
      <c r="P1015" s="33" t="str" cm="1">
        <f t="array" ref="P1015">IFERROR(SUM(VALUE(_xlfn.TEXTSPLIT(O1015, ";"))), "")</f>
        <v/>
      </c>
      <c r="DO1015" t="str">
        <f t="shared" si="30"/>
        <v/>
      </c>
      <c r="EG1015" s="33" t="str">
        <f>IF(NOT(ISBLANK($B1015)),VLOOKUP($B1015,AssetCategories!$A:$E,5,0),"")</f>
        <v/>
      </c>
      <c r="EH1015" t="str">
        <f>IF(NOT(ISBLANK($B1015)),VLOOKUP($B1015,AssetCategories!$A:$E,4,0),"")</f>
        <v/>
      </c>
      <c r="EM1015" t="str">
        <f>IF(NOT(ISBLANK($B1015)),VLOOKUP($B1015,AssetCategories!$A:$E,2,0),"")</f>
        <v/>
      </c>
      <c r="EN1015" t="str">
        <f>IF(NOT(ISBLANK($B1015)),VLOOKUP($B1015,AssetCategories!$A:$E,3,0),"")</f>
        <v/>
      </c>
      <c r="EP1015" s="33" t="str">
        <f t="shared" si="31"/>
        <v/>
      </c>
    </row>
    <row r="1016" spans="16:146" x14ac:dyDescent="0.25">
      <c r="P1016" s="33" t="str" cm="1">
        <f t="array" ref="P1016">IFERROR(SUM(VALUE(_xlfn.TEXTSPLIT(O1016, ";"))), "")</f>
        <v/>
      </c>
      <c r="DO1016" t="str">
        <f t="shared" si="30"/>
        <v/>
      </c>
      <c r="EG1016" s="33" t="str">
        <f>IF(NOT(ISBLANK($B1016)),VLOOKUP($B1016,AssetCategories!$A:$E,5,0),"")</f>
        <v/>
      </c>
      <c r="EH1016" t="str">
        <f>IF(NOT(ISBLANK($B1016)),VLOOKUP($B1016,AssetCategories!$A:$E,4,0),"")</f>
        <v/>
      </c>
      <c r="EM1016" t="str">
        <f>IF(NOT(ISBLANK($B1016)),VLOOKUP($B1016,AssetCategories!$A:$E,2,0),"")</f>
        <v/>
      </c>
      <c r="EN1016" t="str">
        <f>IF(NOT(ISBLANK($B1016)),VLOOKUP($B1016,AssetCategories!$A:$E,3,0),"")</f>
        <v/>
      </c>
      <c r="EP1016" s="33" t="str">
        <f t="shared" si="31"/>
        <v/>
      </c>
    </row>
    <row r="1017" spans="16:146" x14ac:dyDescent="0.25">
      <c r="P1017" s="33" t="str" cm="1">
        <f t="array" ref="P1017">IFERROR(SUM(VALUE(_xlfn.TEXTSPLIT(O1017, ";"))), "")</f>
        <v/>
      </c>
      <c r="DO1017" t="str">
        <f t="shared" si="30"/>
        <v/>
      </c>
      <c r="EG1017" s="33" t="str">
        <f>IF(NOT(ISBLANK($B1017)),VLOOKUP($B1017,AssetCategories!$A:$E,5,0),"")</f>
        <v/>
      </c>
      <c r="EH1017" t="str">
        <f>IF(NOT(ISBLANK($B1017)),VLOOKUP($B1017,AssetCategories!$A:$E,4,0),"")</f>
        <v/>
      </c>
      <c r="EM1017" t="str">
        <f>IF(NOT(ISBLANK($B1017)),VLOOKUP($B1017,AssetCategories!$A:$E,2,0),"")</f>
        <v/>
      </c>
      <c r="EN1017" t="str">
        <f>IF(NOT(ISBLANK($B1017)),VLOOKUP($B1017,AssetCategories!$A:$E,3,0),"")</f>
        <v/>
      </c>
      <c r="EP1017" s="33" t="str">
        <f t="shared" si="31"/>
        <v/>
      </c>
    </row>
    <row r="1018" spans="16:146" x14ac:dyDescent="0.25">
      <c r="P1018" s="33" t="str" cm="1">
        <f t="array" ref="P1018">IFERROR(SUM(VALUE(_xlfn.TEXTSPLIT(O1018, ";"))), "")</f>
        <v/>
      </c>
      <c r="DO1018" t="str">
        <f t="shared" si="30"/>
        <v/>
      </c>
      <c r="EG1018" s="33" t="str">
        <f>IF(NOT(ISBLANK($B1018)),VLOOKUP($B1018,AssetCategories!$A:$E,5,0),"")</f>
        <v/>
      </c>
      <c r="EH1018" t="str">
        <f>IF(NOT(ISBLANK($B1018)),VLOOKUP($B1018,AssetCategories!$A:$E,4,0),"")</f>
        <v/>
      </c>
      <c r="EM1018" t="str">
        <f>IF(NOT(ISBLANK($B1018)),VLOOKUP($B1018,AssetCategories!$A:$E,2,0),"")</f>
        <v/>
      </c>
      <c r="EN1018" t="str">
        <f>IF(NOT(ISBLANK($B1018)),VLOOKUP($B1018,AssetCategories!$A:$E,3,0),"")</f>
        <v/>
      </c>
      <c r="EP1018" s="33" t="str">
        <f t="shared" si="31"/>
        <v/>
      </c>
    </row>
    <row r="1019" spans="16:146" x14ac:dyDescent="0.25">
      <c r="P1019" s="33" t="str" cm="1">
        <f t="array" ref="P1019">IFERROR(SUM(VALUE(_xlfn.TEXTSPLIT(O1019, ";"))), "")</f>
        <v/>
      </c>
      <c r="DO1019" t="str">
        <f t="shared" si="30"/>
        <v/>
      </c>
      <c r="EG1019" s="33" t="str">
        <f>IF(NOT(ISBLANK($B1019)),VLOOKUP($B1019,AssetCategories!$A:$E,5,0),"")</f>
        <v/>
      </c>
      <c r="EH1019" t="str">
        <f>IF(NOT(ISBLANK($B1019)),VLOOKUP($B1019,AssetCategories!$A:$E,4,0),"")</f>
        <v/>
      </c>
      <c r="EM1019" t="str">
        <f>IF(NOT(ISBLANK($B1019)),VLOOKUP($B1019,AssetCategories!$A:$E,2,0),"")</f>
        <v/>
      </c>
      <c r="EN1019" t="str">
        <f>IF(NOT(ISBLANK($B1019)),VLOOKUP($B1019,AssetCategories!$A:$E,3,0),"")</f>
        <v/>
      </c>
      <c r="EP1019" s="33" t="str">
        <f t="shared" si="31"/>
        <v/>
      </c>
    </row>
    <row r="1020" spans="16:146" x14ac:dyDescent="0.25">
      <c r="P1020" s="33" t="str" cm="1">
        <f t="array" ref="P1020">IFERROR(SUM(VALUE(_xlfn.TEXTSPLIT(O1020, ";"))), "")</f>
        <v/>
      </c>
      <c r="DO1020" t="str">
        <f t="shared" si="30"/>
        <v/>
      </c>
      <c r="EG1020" s="33" t="str">
        <f>IF(NOT(ISBLANK($B1020)),VLOOKUP($B1020,AssetCategories!$A:$E,5,0),"")</f>
        <v/>
      </c>
      <c r="EH1020" t="str">
        <f>IF(NOT(ISBLANK($B1020)),VLOOKUP($B1020,AssetCategories!$A:$E,4,0),"")</f>
        <v/>
      </c>
      <c r="EM1020" t="str">
        <f>IF(NOT(ISBLANK($B1020)),VLOOKUP($B1020,AssetCategories!$A:$E,2,0),"")</f>
        <v/>
      </c>
      <c r="EN1020" t="str">
        <f>IF(NOT(ISBLANK($B1020)),VLOOKUP($B1020,AssetCategories!$A:$E,3,0),"")</f>
        <v/>
      </c>
      <c r="EP1020" s="33" t="str">
        <f t="shared" si="31"/>
        <v/>
      </c>
    </row>
    <row r="1021" spans="16:146" x14ac:dyDescent="0.25">
      <c r="P1021" s="33" t="str" cm="1">
        <f t="array" ref="P1021">IFERROR(SUM(VALUE(_xlfn.TEXTSPLIT(O1021, ";"))), "")</f>
        <v/>
      </c>
      <c r="DO1021" t="str">
        <f t="shared" si="30"/>
        <v/>
      </c>
      <c r="EG1021" s="33" t="str">
        <f>IF(NOT(ISBLANK($B1021)),VLOOKUP($B1021,AssetCategories!$A:$E,5,0),"")</f>
        <v/>
      </c>
      <c r="EH1021" t="str">
        <f>IF(NOT(ISBLANK($B1021)),VLOOKUP($B1021,AssetCategories!$A:$E,4,0),"")</f>
        <v/>
      </c>
      <c r="EM1021" t="str">
        <f>IF(NOT(ISBLANK($B1021)),VLOOKUP($B1021,AssetCategories!$A:$E,2,0),"")</f>
        <v/>
      </c>
      <c r="EN1021" t="str">
        <f>IF(NOT(ISBLANK($B1021)),VLOOKUP($B1021,AssetCategories!$A:$E,3,0),"")</f>
        <v/>
      </c>
      <c r="EP1021" s="33" t="str">
        <f t="shared" si="31"/>
        <v/>
      </c>
    </row>
    <row r="1022" spans="16:146" x14ac:dyDescent="0.25">
      <c r="P1022" s="33" t="str" cm="1">
        <f t="array" ref="P1022">IFERROR(SUM(VALUE(_xlfn.TEXTSPLIT(O1022, ";"))), "")</f>
        <v/>
      </c>
      <c r="DO1022" t="str">
        <f t="shared" si="30"/>
        <v/>
      </c>
      <c r="EG1022" s="33" t="str">
        <f>IF(NOT(ISBLANK($B1022)),VLOOKUP($B1022,AssetCategories!$A:$E,5,0),"")</f>
        <v/>
      </c>
      <c r="EH1022" t="str">
        <f>IF(NOT(ISBLANK($B1022)),VLOOKUP($B1022,AssetCategories!$A:$E,4,0),"")</f>
        <v/>
      </c>
      <c r="EM1022" t="str">
        <f>IF(NOT(ISBLANK($B1022)),VLOOKUP($B1022,AssetCategories!$A:$E,2,0),"")</f>
        <v/>
      </c>
      <c r="EN1022" t="str">
        <f>IF(NOT(ISBLANK($B1022)),VLOOKUP($B1022,AssetCategories!$A:$E,3,0),"")</f>
        <v/>
      </c>
      <c r="EP1022" s="33" t="str">
        <f t="shared" si="31"/>
        <v/>
      </c>
    </row>
    <row r="1023" spans="16:146" x14ac:dyDescent="0.25">
      <c r="P1023" s="33" t="str" cm="1">
        <f t="array" ref="P1023">IFERROR(SUM(VALUE(_xlfn.TEXTSPLIT(O1023, ";"))), "")</f>
        <v/>
      </c>
      <c r="DO1023" t="str">
        <f t="shared" si="30"/>
        <v/>
      </c>
      <c r="EG1023" s="33" t="str">
        <f>IF(NOT(ISBLANK($B1023)),VLOOKUP($B1023,AssetCategories!$A:$E,5,0),"")</f>
        <v/>
      </c>
      <c r="EH1023" t="str">
        <f>IF(NOT(ISBLANK($B1023)),VLOOKUP($B1023,AssetCategories!$A:$E,4,0),"")</f>
        <v/>
      </c>
      <c r="EM1023" t="str">
        <f>IF(NOT(ISBLANK($B1023)),VLOOKUP($B1023,AssetCategories!$A:$E,2,0),"")</f>
        <v/>
      </c>
      <c r="EN1023" t="str">
        <f>IF(NOT(ISBLANK($B1023)),VLOOKUP($B1023,AssetCategories!$A:$E,3,0),"")</f>
        <v/>
      </c>
      <c r="EP1023" s="33" t="str">
        <f t="shared" si="31"/>
        <v/>
      </c>
    </row>
    <row r="1024" spans="16:146" x14ac:dyDescent="0.25">
      <c r="P1024" s="33" t="str" cm="1">
        <f t="array" ref="P1024">IFERROR(SUM(VALUE(_xlfn.TEXTSPLIT(O1024, ";"))), "")</f>
        <v/>
      </c>
      <c r="DO1024" t="str">
        <f t="shared" si="30"/>
        <v/>
      </c>
      <c r="EG1024" s="33" t="str">
        <f>IF(NOT(ISBLANK($B1024)),VLOOKUP($B1024,AssetCategories!$A:$E,5,0),"")</f>
        <v/>
      </c>
      <c r="EH1024" t="str">
        <f>IF(NOT(ISBLANK($B1024)),VLOOKUP($B1024,AssetCategories!$A:$E,4,0),"")</f>
        <v/>
      </c>
      <c r="EM1024" t="str">
        <f>IF(NOT(ISBLANK($B1024)),VLOOKUP($B1024,AssetCategories!$A:$E,2,0),"")</f>
        <v/>
      </c>
      <c r="EN1024" t="str">
        <f>IF(NOT(ISBLANK($B1024)),VLOOKUP($B1024,AssetCategories!$A:$E,3,0),"")</f>
        <v/>
      </c>
      <c r="EP1024" s="33" t="str">
        <f t="shared" si="31"/>
        <v/>
      </c>
    </row>
    <row r="1025" spans="16:146" x14ac:dyDescent="0.25">
      <c r="P1025" s="33" t="str" cm="1">
        <f t="array" ref="P1025">IFERROR(SUM(VALUE(_xlfn.TEXTSPLIT(O1025, ";"))), "")</f>
        <v/>
      </c>
      <c r="DO1025" t="str">
        <f t="shared" si="30"/>
        <v/>
      </c>
      <c r="EG1025" s="33" t="str">
        <f>IF(NOT(ISBLANK($B1025)),VLOOKUP($B1025,AssetCategories!$A:$E,5,0),"")</f>
        <v/>
      </c>
      <c r="EH1025" t="str">
        <f>IF(NOT(ISBLANK($B1025)),VLOOKUP($B1025,AssetCategories!$A:$E,4,0),"")</f>
        <v/>
      </c>
      <c r="EM1025" t="str">
        <f>IF(NOT(ISBLANK($B1025)),VLOOKUP($B1025,AssetCategories!$A:$E,2,0),"")</f>
        <v/>
      </c>
      <c r="EN1025" t="str">
        <f>IF(NOT(ISBLANK($B1025)),VLOOKUP($B1025,AssetCategories!$A:$E,3,0),"")</f>
        <v/>
      </c>
      <c r="EP1025" s="33" t="str">
        <f t="shared" si="31"/>
        <v/>
      </c>
    </row>
    <row r="1026" spans="16:146" x14ac:dyDescent="0.25">
      <c r="P1026" s="33" t="str" cm="1">
        <f t="array" ref="P1026">IFERROR(SUM(VALUE(_xlfn.TEXTSPLIT(O1026, ";"))), "")</f>
        <v/>
      </c>
      <c r="DO1026" t="str">
        <f t="shared" si="30"/>
        <v/>
      </c>
      <c r="EG1026" s="33" t="str">
        <f>IF(NOT(ISBLANK($B1026)),VLOOKUP($B1026,AssetCategories!$A:$E,5,0),"")</f>
        <v/>
      </c>
      <c r="EH1026" t="str">
        <f>IF(NOT(ISBLANK($B1026)),VLOOKUP($B1026,AssetCategories!$A:$E,4,0),"")</f>
        <v/>
      </c>
      <c r="EM1026" t="str">
        <f>IF(NOT(ISBLANK($B1026)),VLOOKUP($B1026,AssetCategories!$A:$E,2,0),"")</f>
        <v/>
      </c>
      <c r="EN1026" t="str">
        <f>IF(NOT(ISBLANK($B1026)),VLOOKUP($B1026,AssetCategories!$A:$E,3,0),"")</f>
        <v/>
      </c>
      <c r="EP1026" s="33" t="str">
        <f t="shared" si="31"/>
        <v/>
      </c>
    </row>
    <row r="1027" spans="16:146" x14ac:dyDescent="0.25">
      <c r="P1027" s="33" t="str" cm="1">
        <f t="array" ref="P1027">IFERROR(SUM(VALUE(_xlfn.TEXTSPLIT(O1027, ";"))), "")</f>
        <v/>
      </c>
      <c r="DO1027" t="str">
        <f t="shared" si="30"/>
        <v/>
      </c>
      <c r="EG1027" s="33" t="str">
        <f>IF(NOT(ISBLANK($B1027)),VLOOKUP($B1027,AssetCategories!$A:$E,5,0),"")</f>
        <v/>
      </c>
      <c r="EH1027" t="str">
        <f>IF(NOT(ISBLANK($B1027)),VLOOKUP($B1027,AssetCategories!$A:$E,4,0),"")</f>
        <v/>
      </c>
      <c r="EM1027" t="str">
        <f>IF(NOT(ISBLANK($B1027)),VLOOKUP($B1027,AssetCategories!$A:$E,2,0),"")</f>
        <v/>
      </c>
      <c r="EN1027" t="str">
        <f>IF(NOT(ISBLANK($B1027)),VLOOKUP($B1027,AssetCategories!$A:$E,3,0),"")</f>
        <v/>
      </c>
      <c r="EP1027" s="33" t="str">
        <f t="shared" si="31"/>
        <v/>
      </c>
    </row>
    <row r="1028" spans="16:146" x14ac:dyDescent="0.25">
      <c r="P1028" s="33" t="str" cm="1">
        <f t="array" ref="P1028">IFERROR(SUM(VALUE(_xlfn.TEXTSPLIT(O1028, ";"))), "")</f>
        <v/>
      </c>
      <c r="DO1028" t="str">
        <f t="shared" si="30"/>
        <v/>
      </c>
      <c r="EG1028" s="33" t="str">
        <f>IF(NOT(ISBLANK($B1028)),VLOOKUP($B1028,AssetCategories!$A:$E,5,0),"")</f>
        <v/>
      </c>
      <c r="EH1028" t="str">
        <f>IF(NOT(ISBLANK($B1028)),VLOOKUP($B1028,AssetCategories!$A:$E,4,0),"")</f>
        <v/>
      </c>
      <c r="EM1028" t="str">
        <f>IF(NOT(ISBLANK($B1028)),VLOOKUP($B1028,AssetCategories!$A:$E,2,0),"")</f>
        <v/>
      </c>
      <c r="EN1028" t="str">
        <f>IF(NOT(ISBLANK($B1028)),VLOOKUP($B1028,AssetCategories!$A:$E,3,0),"")</f>
        <v/>
      </c>
      <c r="EP1028" s="33" t="str">
        <f t="shared" si="31"/>
        <v/>
      </c>
    </row>
    <row r="1029" spans="16:146" x14ac:dyDescent="0.25">
      <c r="P1029" s="33" t="str" cm="1">
        <f t="array" ref="P1029">IFERROR(SUM(VALUE(_xlfn.TEXTSPLIT(O1029, ";"))), "")</f>
        <v/>
      </c>
      <c r="DO1029" t="str">
        <f t="shared" ref="DO1029:DO1092" si="32">IF(SUM(DE1029:DN1029)=0, "", SUM(DE1029:DN1029))</f>
        <v/>
      </c>
      <c r="EG1029" s="33" t="str">
        <f>IF(NOT(ISBLANK($B1029)),VLOOKUP($B1029,AssetCategories!$A:$E,5,0),"")</f>
        <v/>
      </c>
      <c r="EH1029" t="str">
        <f>IF(NOT(ISBLANK($B1029)),VLOOKUP($B1029,AssetCategories!$A:$E,4,0),"")</f>
        <v/>
      </c>
      <c r="EM1029" t="str">
        <f>IF(NOT(ISBLANK($B1029)),VLOOKUP($B1029,AssetCategories!$A:$E,2,0),"")</f>
        <v/>
      </c>
      <c r="EN1029" t="str">
        <f>IF(NOT(ISBLANK($B1029)),VLOOKUP($B1029,AssetCategories!$A:$E,3,0),"")</f>
        <v/>
      </c>
      <c r="EP1029" s="33" t="str">
        <f t="shared" ref="EP1029:EP1092" si="33">IFERROR(P1029-EO1029, "")</f>
        <v/>
      </c>
    </row>
    <row r="1030" spans="16:146" x14ac:dyDescent="0.25">
      <c r="P1030" s="33" t="str" cm="1">
        <f t="array" ref="P1030">IFERROR(SUM(VALUE(_xlfn.TEXTSPLIT(O1030, ";"))), "")</f>
        <v/>
      </c>
      <c r="DO1030" t="str">
        <f t="shared" si="32"/>
        <v/>
      </c>
      <c r="EG1030" s="33" t="str">
        <f>IF(NOT(ISBLANK($B1030)),VLOOKUP($B1030,AssetCategories!$A:$E,5,0),"")</f>
        <v/>
      </c>
      <c r="EH1030" t="str">
        <f>IF(NOT(ISBLANK($B1030)),VLOOKUP($B1030,AssetCategories!$A:$E,4,0),"")</f>
        <v/>
      </c>
      <c r="EM1030" t="str">
        <f>IF(NOT(ISBLANK($B1030)),VLOOKUP($B1030,AssetCategories!$A:$E,2,0),"")</f>
        <v/>
      </c>
      <c r="EN1030" t="str">
        <f>IF(NOT(ISBLANK($B1030)),VLOOKUP($B1030,AssetCategories!$A:$E,3,0),"")</f>
        <v/>
      </c>
      <c r="EP1030" s="33" t="str">
        <f t="shared" si="33"/>
        <v/>
      </c>
    </row>
    <row r="1031" spans="16:146" x14ac:dyDescent="0.25">
      <c r="P1031" s="33" t="str" cm="1">
        <f t="array" ref="P1031">IFERROR(SUM(VALUE(_xlfn.TEXTSPLIT(O1031, ";"))), "")</f>
        <v/>
      </c>
      <c r="DO1031" t="str">
        <f t="shared" si="32"/>
        <v/>
      </c>
      <c r="EG1031" s="33" t="str">
        <f>IF(NOT(ISBLANK($B1031)),VLOOKUP($B1031,AssetCategories!$A:$E,5,0),"")</f>
        <v/>
      </c>
      <c r="EH1031" t="str">
        <f>IF(NOT(ISBLANK($B1031)),VLOOKUP($B1031,AssetCategories!$A:$E,4,0),"")</f>
        <v/>
      </c>
      <c r="EM1031" t="str">
        <f>IF(NOT(ISBLANK($B1031)),VLOOKUP($B1031,AssetCategories!$A:$E,2,0),"")</f>
        <v/>
      </c>
      <c r="EN1031" t="str">
        <f>IF(NOT(ISBLANK($B1031)),VLOOKUP($B1031,AssetCategories!$A:$E,3,0),"")</f>
        <v/>
      </c>
      <c r="EP1031" s="33" t="str">
        <f t="shared" si="33"/>
        <v/>
      </c>
    </row>
    <row r="1032" spans="16:146" x14ac:dyDescent="0.25">
      <c r="P1032" s="33" t="str" cm="1">
        <f t="array" ref="P1032">IFERROR(SUM(VALUE(_xlfn.TEXTSPLIT(O1032, ";"))), "")</f>
        <v/>
      </c>
      <c r="DO1032" t="str">
        <f t="shared" si="32"/>
        <v/>
      </c>
      <c r="EG1032" s="33" t="str">
        <f>IF(NOT(ISBLANK($B1032)),VLOOKUP($B1032,AssetCategories!$A:$E,5,0),"")</f>
        <v/>
      </c>
      <c r="EH1032" t="str">
        <f>IF(NOT(ISBLANK($B1032)),VLOOKUP($B1032,AssetCategories!$A:$E,4,0),"")</f>
        <v/>
      </c>
      <c r="EM1032" t="str">
        <f>IF(NOT(ISBLANK($B1032)),VLOOKUP($B1032,AssetCategories!$A:$E,2,0),"")</f>
        <v/>
      </c>
      <c r="EN1032" t="str">
        <f>IF(NOT(ISBLANK($B1032)),VLOOKUP($B1032,AssetCategories!$A:$E,3,0),"")</f>
        <v/>
      </c>
      <c r="EP1032" s="33" t="str">
        <f t="shared" si="33"/>
        <v/>
      </c>
    </row>
    <row r="1033" spans="16:146" x14ac:dyDescent="0.25">
      <c r="P1033" s="33" t="str" cm="1">
        <f t="array" ref="P1033">IFERROR(SUM(VALUE(_xlfn.TEXTSPLIT(O1033, ";"))), "")</f>
        <v/>
      </c>
      <c r="DO1033" t="str">
        <f t="shared" si="32"/>
        <v/>
      </c>
      <c r="EG1033" s="33" t="str">
        <f>IF(NOT(ISBLANK($B1033)),VLOOKUP($B1033,AssetCategories!$A:$E,5,0),"")</f>
        <v/>
      </c>
      <c r="EH1033" t="str">
        <f>IF(NOT(ISBLANK($B1033)),VLOOKUP($B1033,AssetCategories!$A:$E,4,0),"")</f>
        <v/>
      </c>
      <c r="EM1033" t="str">
        <f>IF(NOT(ISBLANK($B1033)),VLOOKUP($B1033,AssetCategories!$A:$E,2,0),"")</f>
        <v/>
      </c>
      <c r="EN1033" t="str">
        <f>IF(NOT(ISBLANK($B1033)),VLOOKUP($B1033,AssetCategories!$A:$E,3,0),"")</f>
        <v/>
      </c>
      <c r="EP1033" s="33" t="str">
        <f t="shared" si="33"/>
        <v/>
      </c>
    </row>
    <row r="1034" spans="16:146" x14ac:dyDescent="0.25">
      <c r="P1034" s="33" t="str" cm="1">
        <f t="array" ref="P1034">IFERROR(SUM(VALUE(_xlfn.TEXTSPLIT(O1034, ";"))), "")</f>
        <v/>
      </c>
      <c r="DO1034" t="str">
        <f t="shared" si="32"/>
        <v/>
      </c>
      <c r="EG1034" s="33" t="str">
        <f>IF(NOT(ISBLANK($B1034)),VLOOKUP($B1034,AssetCategories!$A:$E,5,0),"")</f>
        <v/>
      </c>
      <c r="EH1034" t="str">
        <f>IF(NOT(ISBLANK($B1034)),VLOOKUP($B1034,AssetCategories!$A:$E,4,0),"")</f>
        <v/>
      </c>
      <c r="EM1034" t="str">
        <f>IF(NOT(ISBLANK($B1034)),VLOOKUP($B1034,AssetCategories!$A:$E,2,0),"")</f>
        <v/>
      </c>
      <c r="EN1034" t="str">
        <f>IF(NOT(ISBLANK($B1034)),VLOOKUP($B1034,AssetCategories!$A:$E,3,0),"")</f>
        <v/>
      </c>
      <c r="EP1034" s="33" t="str">
        <f t="shared" si="33"/>
        <v/>
      </c>
    </row>
    <row r="1035" spans="16:146" x14ac:dyDescent="0.25">
      <c r="P1035" s="33" t="str" cm="1">
        <f t="array" ref="P1035">IFERROR(SUM(VALUE(_xlfn.TEXTSPLIT(O1035, ";"))), "")</f>
        <v/>
      </c>
      <c r="DO1035" t="str">
        <f t="shared" si="32"/>
        <v/>
      </c>
      <c r="EG1035" s="33" t="str">
        <f>IF(NOT(ISBLANK($B1035)),VLOOKUP($B1035,AssetCategories!$A:$E,5,0),"")</f>
        <v/>
      </c>
      <c r="EH1035" t="str">
        <f>IF(NOT(ISBLANK($B1035)),VLOOKUP($B1035,AssetCategories!$A:$E,4,0),"")</f>
        <v/>
      </c>
      <c r="EM1035" t="str">
        <f>IF(NOT(ISBLANK($B1035)),VLOOKUP($B1035,AssetCategories!$A:$E,2,0),"")</f>
        <v/>
      </c>
      <c r="EN1035" t="str">
        <f>IF(NOT(ISBLANK($B1035)),VLOOKUP($B1035,AssetCategories!$A:$E,3,0),"")</f>
        <v/>
      </c>
      <c r="EP1035" s="33" t="str">
        <f t="shared" si="33"/>
        <v/>
      </c>
    </row>
    <row r="1036" spans="16:146" x14ac:dyDescent="0.25">
      <c r="P1036" s="33" t="str" cm="1">
        <f t="array" ref="P1036">IFERROR(SUM(VALUE(_xlfn.TEXTSPLIT(O1036, ";"))), "")</f>
        <v/>
      </c>
      <c r="DO1036" t="str">
        <f t="shared" si="32"/>
        <v/>
      </c>
      <c r="EG1036" s="33" t="str">
        <f>IF(NOT(ISBLANK($B1036)),VLOOKUP($B1036,AssetCategories!$A:$E,5,0),"")</f>
        <v/>
      </c>
      <c r="EH1036" t="str">
        <f>IF(NOT(ISBLANK($B1036)),VLOOKUP($B1036,AssetCategories!$A:$E,4,0),"")</f>
        <v/>
      </c>
      <c r="EM1036" t="str">
        <f>IF(NOT(ISBLANK($B1036)),VLOOKUP($B1036,AssetCategories!$A:$E,2,0),"")</f>
        <v/>
      </c>
      <c r="EN1036" t="str">
        <f>IF(NOT(ISBLANK($B1036)),VLOOKUP($B1036,AssetCategories!$A:$E,3,0),"")</f>
        <v/>
      </c>
      <c r="EP1036" s="33" t="str">
        <f t="shared" si="33"/>
        <v/>
      </c>
    </row>
    <row r="1037" spans="16:146" x14ac:dyDescent="0.25">
      <c r="P1037" s="33" t="str" cm="1">
        <f t="array" ref="P1037">IFERROR(SUM(VALUE(_xlfn.TEXTSPLIT(O1037, ";"))), "")</f>
        <v/>
      </c>
      <c r="DO1037" t="str">
        <f t="shared" si="32"/>
        <v/>
      </c>
      <c r="EG1037" s="33" t="str">
        <f>IF(NOT(ISBLANK($B1037)),VLOOKUP($B1037,AssetCategories!$A:$E,5,0),"")</f>
        <v/>
      </c>
      <c r="EH1037" t="str">
        <f>IF(NOT(ISBLANK($B1037)),VLOOKUP($B1037,AssetCategories!$A:$E,4,0),"")</f>
        <v/>
      </c>
      <c r="EM1037" t="str">
        <f>IF(NOT(ISBLANK($B1037)),VLOOKUP($B1037,AssetCategories!$A:$E,2,0),"")</f>
        <v/>
      </c>
      <c r="EN1037" t="str">
        <f>IF(NOT(ISBLANK($B1037)),VLOOKUP($B1037,AssetCategories!$A:$E,3,0),"")</f>
        <v/>
      </c>
      <c r="EP1037" s="33" t="str">
        <f t="shared" si="33"/>
        <v/>
      </c>
    </row>
    <row r="1038" spans="16:146" x14ac:dyDescent="0.25">
      <c r="P1038" s="33" t="str" cm="1">
        <f t="array" ref="P1038">IFERROR(SUM(VALUE(_xlfn.TEXTSPLIT(O1038, ";"))), "")</f>
        <v/>
      </c>
      <c r="DO1038" t="str">
        <f t="shared" si="32"/>
        <v/>
      </c>
      <c r="EG1038" s="33" t="str">
        <f>IF(NOT(ISBLANK($B1038)),VLOOKUP($B1038,AssetCategories!$A:$E,5,0),"")</f>
        <v/>
      </c>
      <c r="EH1038" t="str">
        <f>IF(NOT(ISBLANK($B1038)),VLOOKUP($B1038,AssetCategories!$A:$E,4,0),"")</f>
        <v/>
      </c>
      <c r="EM1038" t="str">
        <f>IF(NOT(ISBLANK($B1038)),VLOOKUP($B1038,AssetCategories!$A:$E,2,0),"")</f>
        <v/>
      </c>
      <c r="EN1038" t="str">
        <f>IF(NOT(ISBLANK($B1038)),VLOOKUP($B1038,AssetCategories!$A:$E,3,0),"")</f>
        <v/>
      </c>
      <c r="EP1038" s="33" t="str">
        <f t="shared" si="33"/>
        <v/>
      </c>
    </row>
    <row r="1039" spans="16:146" x14ac:dyDescent="0.25">
      <c r="P1039" s="33" t="str" cm="1">
        <f t="array" ref="P1039">IFERROR(SUM(VALUE(_xlfn.TEXTSPLIT(O1039, ";"))), "")</f>
        <v/>
      </c>
      <c r="DO1039" t="str">
        <f t="shared" si="32"/>
        <v/>
      </c>
      <c r="EG1039" s="33" t="str">
        <f>IF(NOT(ISBLANK($B1039)),VLOOKUP($B1039,AssetCategories!$A:$E,5,0),"")</f>
        <v/>
      </c>
      <c r="EH1039" t="str">
        <f>IF(NOT(ISBLANK($B1039)),VLOOKUP($B1039,AssetCategories!$A:$E,4,0),"")</f>
        <v/>
      </c>
      <c r="EM1039" t="str">
        <f>IF(NOT(ISBLANK($B1039)),VLOOKUP($B1039,AssetCategories!$A:$E,2,0),"")</f>
        <v/>
      </c>
      <c r="EN1039" t="str">
        <f>IF(NOT(ISBLANK($B1039)),VLOOKUP($B1039,AssetCategories!$A:$E,3,0),"")</f>
        <v/>
      </c>
      <c r="EP1039" s="33" t="str">
        <f t="shared" si="33"/>
        <v/>
      </c>
    </row>
    <row r="1040" spans="16:146" x14ac:dyDescent="0.25">
      <c r="P1040" s="33" t="str" cm="1">
        <f t="array" ref="P1040">IFERROR(SUM(VALUE(_xlfn.TEXTSPLIT(O1040, ";"))), "")</f>
        <v/>
      </c>
      <c r="DO1040" t="str">
        <f t="shared" si="32"/>
        <v/>
      </c>
      <c r="EG1040" s="33" t="str">
        <f>IF(NOT(ISBLANK($B1040)),VLOOKUP($B1040,AssetCategories!$A:$E,5,0),"")</f>
        <v/>
      </c>
      <c r="EH1040" t="str">
        <f>IF(NOT(ISBLANK($B1040)),VLOOKUP($B1040,AssetCategories!$A:$E,4,0),"")</f>
        <v/>
      </c>
      <c r="EM1040" t="str">
        <f>IF(NOT(ISBLANK($B1040)),VLOOKUP($B1040,AssetCategories!$A:$E,2,0),"")</f>
        <v/>
      </c>
      <c r="EN1040" t="str">
        <f>IF(NOT(ISBLANK($B1040)),VLOOKUP($B1040,AssetCategories!$A:$E,3,0),"")</f>
        <v/>
      </c>
      <c r="EP1040" s="33" t="str">
        <f t="shared" si="33"/>
        <v/>
      </c>
    </row>
    <row r="1041" spans="16:146" x14ac:dyDescent="0.25">
      <c r="P1041" s="33" t="str" cm="1">
        <f t="array" ref="P1041">IFERROR(SUM(VALUE(_xlfn.TEXTSPLIT(O1041, ";"))), "")</f>
        <v/>
      </c>
      <c r="DO1041" t="str">
        <f t="shared" si="32"/>
        <v/>
      </c>
      <c r="EG1041" s="33" t="str">
        <f>IF(NOT(ISBLANK($B1041)),VLOOKUP($B1041,AssetCategories!$A:$E,5,0),"")</f>
        <v/>
      </c>
      <c r="EH1041" t="str">
        <f>IF(NOT(ISBLANK($B1041)),VLOOKUP($B1041,AssetCategories!$A:$E,4,0),"")</f>
        <v/>
      </c>
      <c r="EM1041" t="str">
        <f>IF(NOT(ISBLANK($B1041)),VLOOKUP($B1041,AssetCategories!$A:$E,2,0),"")</f>
        <v/>
      </c>
      <c r="EN1041" t="str">
        <f>IF(NOT(ISBLANK($B1041)),VLOOKUP($B1041,AssetCategories!$A:$E,3,0),"")</f>
        <v/>
      </c>
      <c r="EP1041" s="33" t="str">
        <f t="shared" si="33"/>
        <v/>
      </c>
    </row>
    <row r="1042" spans="16:146" x14ac:dyDescent="0.25">
      <c r="P1042" s="33" t="str" cm="1">
        <f t="array" ref="P1042">IFERROR(SUM(VALUE(_xlfn.TEXTSPLIT(O1042, ";"))), "")</f>
        <v/>
      </c>
      <c r="DO1042" t="str">
        <f t="shared" si="32"/>
        <v/>
      </c>
      <c r="EG1042" s="33" t="str">
        <f>IF(NOT(ISBLANK($B1042)),VLOOKUP($B1042,AssetCategories!$A:$E,5,0),"")</f>
        <v/>
      </c>
      <c r="EH1042" t="str">
        <f>IF(NOT(ISBLANK($B1042)),VLOOKUP($B1042,AssetCategories!$A:$E,4,0),"")</f>
        <v/>
      </c>
      <c r="EM1042" t="str">
        <f>IF(NOT(ISBLANK($B1042)),VLOOKUP($B1042,AssetCategories!$A:$E,2,0),"")</f>
        <v/>
      </c>
      <c r="EN1042" t="str">
        <f>IF(NOT(ISBLANK($B1042)),VLOOKUP($B1042,AssetCategories!$A:$E,3,0),"")</f>
        <v/>
      </c>
      <c r="EP1042" s="33" t="str">
        <f t="shared" si="33"/>
        <v/>
      </c>
    </row>
    <row r="1043" spans="16:146" x14ac:dyDescent="0.25">
      <c r="P1043" s="33" t="str" cm="1">
        <f t="array" ref="P1043">IFERROR(SUM(VALUE(_xlfn.TEXTSPLIT(O1043, ";"))), "")</f>
        <v/>
      </c>
      <c r="DO1043" t="str">
        <f t="shared" si="32"/>
        <v/>
      </c>
      <c r="EG1043" s="33" t="str">
        <f>IF(NOT(ISBLANK($B1043)),VLOOKUP($B1043,AssetCategories!$A:$E,5,0),"")</f>
        <v/>
      </c>
      <c r="EH1043" t="str">
        <f>IF(NOT(ISBLANK($B1043)),VLOOKUP($B1043,AssetCategories!$A:$E,4,0),"")</f>
        <v/>
      </c>
      <c r="EM1043" t="str">
        <f>IF(NOT(ISBLANK($B1043)),VLOOKUP($B1043,AssetCategories!$A:$E,2,0),"")</f>
        <v/>
      </c>
      <c r="EN1043" t="str">
        <f>IF(NOT(ISBLANK($B1043)),VLOOKUP($B1043,AssetCategories!$A:$E,3,0),"")</f>
        <v/>
      </c>
      <c r="EP1043" s="33" t="str">
        <f t="shared" si="33"/>
        <v/>
      </c>
    </row>
    <row r="1044" spans="16:146" x14ac:dyDescent="0.25">
      <c r="P1044" s="33" t="str" cm="1">
        <f t="array" ref="P1044">IFERROR(SUM(VALUE(_xlfn.TEXTSPLIT(O1044, ";"))), "")</f>
        <v/>
      </c>
      <c r="DO1044" t="str">
        <f t="shared" si="32"/>
        <v/>
      </c>
      <c r="EG1044" s="33" t="str">
        <f>IF(NOT(ISBLANK($B1044)),VLOOKUP($B1044,AssetCategories!$A:$E,5,0),"")</f>
        <v/>
      </c>
      <c r="EH1044" t="str">
        <f>IF(NOT(ISBLANK($B1044)),VLOOKUP($B1044,AssetCategories!$A:$E,4,0),"")</f>
        <v/>
      </c>
      <c r="EM1044" t="str">
        <f>IF(NOT(ISBLANK($B1044)),VLOOKUP($B1044,AssetCategories!$A:$E,2,0),"")</f>
        <v/>
      </c>
      <c r="EN1044" t="str">
        <f>IF(NOT(ISBLANK($B1044)),VLOOKUP($B1044,AssetCategories!$A:$E,3,0),"")</f>
        <v/>
      </c>
      <c r="EP1044" s="33" t="str">
        <f t="shared" si="33"/>
        <v/>
      </c>
    </row>
    <row r="1045" spans="16:146" x14ac:dyDescent="0.25">
      <c r="P1045" s="33" t="str" cm="1">
        <f t="array" ref="P1045">IFERROR(SUM(VALUE(_xlfn.TEXTSPLIT(O1045, ";"))), "")</f>
        <v/>
      </c>
      <c r="DO1045" t="str">
        <f t="shared" si="32"/>
        <v/>
      </c>
      <c r="EG1045" s="33" t="str">
        <f>IF(NOT(ISBLANK($B1045)),VLOOKUP($B1045,AssetCategories!$A:$E,5,0),"")</f>
        <v/>
      </c>
      <c r="EH1045" t="str">
        <f>IF(NOT(ISBLANK($B1045)),VLOOKUP($B1045,AssetCategories!$A:$E,4,0),"")</f>
        <v/>
      </c>
      <c r="EM1045" t="str">
        <f>IF(NOT(ISBLANK($B1045)),VLOOKUP($B1045,AssetCategories!$A:$E,2,0),"")</f>
        <v/>
      </c>
      <c r="EN1045" t="str">
        <f>IF(NOT(ISBLANK($B1045)),VLOOKUP($B1045,AssetCategories!$A:$E,3,0),"")</f>
        <v/>
      </c>
      <c r="EP1045" s="33" t="str">
        <f t="shared" si="33"/>
        <v/>
      </c>
    </row>
    <row r="1046" spans="16:146" x14ac:dyDescent="0.25">
      <c r="P1046" s="33" t="str" cm="1">
        <f t="array" ref="P1046">IFERROR(SUM(VALUE(_xlfn.TEXTSPLIT(O1046, ";"))), "")</f>
        <v/>
      </c>
      <c r="DO1046" t="str">
        <f t="shared" si="32"/>
        <v/>
      </c>
      <c r="EG1046" s="33" t="str">
        <f>IF(NOT(ISBLANK($B1046)),VLOOKUP($B1046,AssetCategories!$A:$E,5,0),"")</f>
        <v/>
      </c>
      <c r="EH1046" t="str">
        <f>IF(NOT(ISBLANK($B1046)),VLOOKUP($B1046,AssetCategories!$A:$E,4,0),"")</f>
        <v/>
      </c>
      <c r="EM1046" t="str">
        <f>IF(NOT(ISBLANK($B1046)),VLOOKUP($B1046,AssetCategories!$A:$E,2,0),"")</f>
        <v/>
      </c>
      <c r="EN1046" t="str">
        <f>IF(NOT(ISBLANK($B1046)),VLOOKUP($B1046,AssetCategories!$A:$E,3,0),"")</f>
        <v/>
      </c>
      <c r="EP1046" s="33" t="str">
        <f t="shared" si="33"/>
        <v/>
      </c>
    </row>
    <row r="1047" spans="16:146" x14ac:dyDescent="0.25">
      <c r="P1047" s="33" t="str" cm="1">
        <f t="array" ref="P1047">IFERROR(SUM(VALUE(_xlfn.TEXTSPLIT(O1047, ";"))), "")</f>
        <v/>
      </c>
      <c r="DO1047" t="str">
        <f t="shared" si="32"/>
        <v/>
      </c>
      <c r="EG1047" s="33" t="str">
        <f>IF(NOT(ISBLANK($B1047)),VLOOKUP($B1047,AssetCategories!$A:$E,5,0),"")</f>
        <v/>
      </c>
      <c r="EH1047" t="str">
        <f>IF(NOT(ISBLANK($B1047)),VLOOKUP($B1047,AssetCategories!$A:$E,4,0),"")</f>
        <v/>
      </c>
      <c r="EM1047" t="str">
        <f>IF(NOT(ISBLANK($B1047)),VLOOKUP($B1047,AssetCategories!$A:$E,2,0),"")</f>
        <v/>
      </c>
      <c r="EN1047" t="str">
        <f>IF(NOT(ISBLANK($B1047)),VLOOKUP($B1047,AssetCategories!$A:$E,3,0),"")</f>
        <v/>
      </c>
      <c r="EP1047" s="33" t="str">
        <f t="shared" si="33"/>
        <v/>
      </c>
    </row>
    <row r="1048" spans="16:146" x14ac:dyDescent="0.25">
      <c r="P1048" s="33" t="str" cm="1">
        <f t="array" ref="P1048">IFERROR(SUM(VALUE(_xlfn.TEXTSPLIT(O1048, ";"))), "")</f>
        <v/>
      </c>
      <c r="DO1048" t="str">
        <f t="shared" si="32"/>
        <v/>
      </c>
      <c r="EG1048" s="33" t="str">
        <f>IF(NOT(ISBLANK($B1048)),VLOOKUP($B1048,AssetCategories!$A:$E,5,0),"")</f>
        <v/>
      </c>
      <c r="EH1048" t="str">
        <f>IF(NOT(ISBLANK($B1048)),VLOOKUP($B1048,AssetCategories!$A:$E,4,0),"")</f>
        <v/>
      </c>
      <c r="EM1048" t="str">
        <f>IF(NOT(ISBLANK($B1048)),VLOOKUP($B1048,AssetCategories!$A:$E,2,0),"")</f>
        <v/>
      </c>
      <c r="EN1048" t="str">
        <f>IF(NOT(ISBLANK($B1048)),VLOOKUP($B1048,AssetCategories!$A:$E,3,0),"")</f>
        <v/>
      </c>
      <c r="EP1048" s="33" t="str">
        <f t="shared" si="33"/>
        <v/>
      </c>
    </row>
    <row r="1049" spans="16:146" x14ac:dyDescent="0.25">
      <c r="P1049" s="33" t="str" cm="1">
        <f t="array" ref="P1049">IFERROR(SUM(VALUE(_xlfn.TEXTSPLIT(O1049, ";"))), "")</f>
        <v/>
      </c>
      <c r="DO1049" t="str">
        <f t="shared" si="32"/>
        <v/>
      </c>
      <c r="EG1049" s="33" t="str">
        <f>IF(NOT(ISBLANK($B1049)),VLOOKUP($B1049,AssetCategories!$A:$E,5,0),"")</f>
        <v/>
      </c>
      <c r="EH1049" t="str">
        <f>IF(NOT(ISBLANK($B1049)),VLOOKUP($B1049,AssetCategories!$A:$E,4,0),"")</f>
        <v/>
      </c>
      <c r="EM1049" t="str">
        <f>IF(NOT(ISBLANK($B1049)),VLOOKUP($B1049,AssetCategories!$A:$E,2,0),"")</f>
        <v/>
      </c>
      <c r="EN1049" t="str">
        <f>IF(NOT(ISBLANK($B1049)),VLOOKUP($B1049,AssetCategories!$A:$E,3,0),"")</f>
        <v/>
      </c>
      <c r="EP1049" s="33" t="str">
        <f t="shared" si="33"/>
        <v/>
      </c>
    </row>
    <row r="1050" spans="16:146" x14ac:dyDescent="0.25">
      <c r="P1050" s="33" t="str" cm="1">
        <f t="array" ref="P1050">IFERROR(SUM(VALUE(_xlfn.TEXTSPLIT(O1050, ";"))), "")</f>
        <v/>
      </c>
      <c r="DO1050" t="str">
        <f t="shared" si="32"/>
        <v/>
      </c>
      <c r="EG1050" s="33" t="str">
        <f>IF(NOT(ISBLANK($B1050)),VLOOKUP($B1050,AssetCategories!$A:$E,5,0),"")</f>
        <v/>
      </c>
      <c r="EH1050" t="str">
        <f>IF(NOT(ISBLANK($B1050)),VLOOKUP($B1050,AssetCategories!$A:$E,4,0),"")</f>
        <v/>
      </c>
      <c r="EM1050" t="str">
        <f>IF(NOT(ISBLANK($B1050)),VLOOKUP($B1050,AssetCategories!$A:$E,2,0),"")</f>
        <v/>
      </c>
      <c r="EN1050" t="str">
        <f>IF(NOT(ISBLANK($B1050)),VLOOKUP($B1050,AssetCategories!$A:$E,3,0),"")</f>
        <v/>
      </c>
      <c r="EP1050" s="33" t="str">
        <f t="shared" si="33"/>
        <v/>
      </c>
    </row>
    <row r="1051" spans="16:146" x14ac:dyDescent="0.25">
      <c r="P1051" s="33" t="str" cm="1">
        <f t="array" ref="P1051">IFERROR(SUM(VALUE(_xlfn.TEXTSPLIT(O1051, ";"))), "")</f>
        <v/>
      </c>
      <c r="DO1051" t="str">
        <f t="shared" si="32"/>
        <v/>
      </c>
      <c r="EG1051" s="33" t="str">
        <f>IF(NOT(ISBLANK($B1051)),VLOOKUP($B1051,AssetCategories!$A:$E,5,0),"")</f>
        <v/>
      </c>
      <c r="EH1051" t="str">
        <f>IF(NOT(ISBLANK($B1051)),VLOOKUP($B1051,AssetCategories!$A:$E,4,0),"")</f>
        <v/>
      </c>
      <c r="EM1051" t="str">
        <f>IF(NOT(ISBLANK($B1051)),VLOOKUP($B1051,AssetCategories!$A:$E,2,0),"")</f>
        <v/>
      </c>
      <c r="EN1051" t="str">
        <f>IF(NOT(ISBLANK($B1051)),VLOOKUP($B1051,AssetCategories!$A:$E,3,0),"")</f>
        <v/>
      </c>
      <c r="EP1051" s="33" t="str">
        <f t="shared" si="33"/>
        <v/>
      </c>
    </row>
    <row r="1052" spans="16:146" x14ac:dyDescent="0.25">
      <c r="P1052" s="33" t="str" cm="1">
        <f t="array" ref="P1052">IFERROR(SUM(VALUE(_xlfn.TEXTSPLIT(O1052, ";"))), "")</f>
        <v/>
      </c>
      <c r="DO1052" t="str">
        <f t="shared" si="32"/>
        <v/>
      </c>
      <c r="EG1052" s="33" t="str">
        <f>IF(NOT(ISBLANK($B1052)),VLOOKUP($B1052,AssetCategories!$A:$E,5,0),"")</f>
        <v/>
      </c>
      <c r="EH1052" t="str">
        <f>IF(NOT(ISBLANK($B1052)),VLOOKUP($B1052,AssetCategories!$A:$E,4,0),"")</f>
        <v/>
      </c>
      <c r="EM1052" t="str">
        <f>IF(NOT(ISBLANK($B1052)),VLOOKUP($B1052,AssetCategories!$A:$E,2,0),"")</f>
        <v/>
      </c>
      <c r="EN1052" t="str">
        <f>IF(NOT(ISBLANK($B1052)),VLOOKUP($B1052,AssetCategories!$A:$E,3,0),"")</f>
        <v/>
      </c>
      <c r="EP1052" s="33" t="str">
        <f t="shared" si="33"/>
        <v/>
      </c>
    </row>
    <row r="1053" spans="16:146" x14ac:dyDescent="0.25">
      <c r="P1053" s="33" t="str" cm="1">
        <f t="array" ref="P1053">IFERROR(SUM(VALUE(_xlfn.TEXTSPLIT(O1053, ";"))), "")</f>
        <v/>
      </c>
      <c r="DO1053" t="str">
        <f t="shared" si="32"/>
        <v/>
      </c>
      <c r="EG1053" s="33" t="str">
        <f>IF(NOT(ISBLANK($B1053)),VLOOKUP($B1053,AssetCategories!$A:$E,5,0),"")</f>
        <v/>
      </c>
      <c r="EH1053" t="str">
        <f>IF(NOT(ISBLANK($B1053)),VLOOKUP($B1053,AssetCategories!$A:$E,4,0),"")</f>
        <v/>
      </c>
      <c r="EM1053" t="str">
        <f>IF(NOT(ISBLANK($B1053)),VLOOKUP($B1053,AssetCategories!$A:$E,2,0),"")</f>
        <v/>
      </c>
      <c r="EN1053" t="str">
        <f>IF(NOT(ISBLANK($B1053)),VLOOKUP($B1053,AssetCategories!$A:$E,3,0),"")</f>
        <v/>
      </c>
      <c r="EP1053" s="33" t="str">
        <f t="shared" si="33"/>
        <v/>
      </c>
    </row>
    <row r="1054" spans="16:146" x14ac:dyDescent="0.25">
      <c r="P1054" s="33" t="str" cm="1">
        <f t="array" ref="P1054">IFERROR(SUM(VALUE(_xlfn.TEXTSPLIT(O1054, ";"))), "")</f>
        <v/>
      </c>
      <c r="DO1054" t="str">
        <f t="shared" si="32"/>
        <v/>
      </c>
      <c r="EG1054" s="33" t="str">
        <f>IF(NOT(ISBLANK($B1054)),VLOOKUP($B1054,AssetCategories!$A:$E,5,0),"")</f>
        <v/>
      </c>
      <c r="EH1054" t="str">
        <f>IF(NOT(ISBLANK($B1054)),VLOOKUP($B1054,AssetCategories!$A:$E,4,0),"")</f>
        <v/>
      </c>
      <c r="EM1054" t="str">
        <f>IF(NOT(ISBLANK($B1054)),VLOOKUP($B1054,AssetCategories!$A:$E,2,0),"")</f>
        <v/>
      </c>
      <c r="EN1054" t="str">
        <f>IF(NOT(ISBLANK($B1054)),VLOOKUP($B1054,AssetCategories!$A:$E,3,0),"")</f>
        <v/>
      </c>
      <c r="EP1054" s="33" t="str">
        <f t="shared" si="33"/>
        <v/>
      </c>
    </row>
    <row r="1055" spans="16:146" x14ac:dyDescent="0.25">
      <c r="P1055" s="33" t="str" cm="1">
        <f t="array" ref="P1055">IFERROR(SUM(VALUE(_xlfn.TEXTSPLIT(O1055, ";"))), "")</f>
        <v/>
      </c>
      <c r="DO1055" t="str">
        <f t="shared" si="32"/>
        <v/>
      </c>
      <c r="EG1055" s="33" t="str">
        <f>IF(NOT(ISBLANK($B1055)),VLOOKUP($B1055,AssetCategories!$A:$E,5,0),"")</f>
        <v/>
      </c>
      <c r="EH1055" t="str">
        <f>IF(NOT(ISBLANK($B1055)),VLOOKUP($B1055,AssetCategories!$A:$E,4,0),"")</f>
        <v/>
      </c>
      <c r="EM1055" t="str">
        <f>IF(NOT(ISBLANK($B1055)),VLOOKUP($B1055,AssetCategories!$A:$E,2,0),"")</f>
        <v/>
      </c>
      <c r="EN1055" t="str">
        <f>IF(NOT(ISBLANK($B1055)),VLOOKUP($B1055,AssetCategories!$A:$E,3,0),"")</f>
        <v/>
      </c>
      <c r="EP1055" s="33" t="str">
        <f t="shared" si="33"/>
        <v/>
      </c>
    </row>
    <row r="1056" spans="16:146" x14ac:dyDescent="0.25">
      <c r="P1056" s="33" t="str" cm="1">
        <f t="array" ref="P1056">IFERROR(SUM(VALUE(_xlfn.TEXTSPLIT(O1056, ";"))), "")</f>
        <v/>
      </c>
      <c r="DO1056" t="str">
        <f t="shared" si="32"/>
        <v/>
      </c>
      <c r="EG1056" s="33" t="str">
        <f>IF(NOT(ISBLANK($B1056)),VLOOKUP($B1056,AssetCategories!$A:$E,5,0),"")</f>
        <v/>
      </c>
      <c r="EH1056" t="str">
        <f>IF(NOT(ISBLANK($B1056)),VLOOKUP($B1056,AssetCategories!$A:$E,4,0),"")</f>
        <v/>
      </c>
      <c r="EM1056" t="str">
        <f>IF(NOT(ISBLANK($B1056)),VLOOKUP($B1056,AssetCategories!$A:$E,2,0),"")</f>
        <v/>
      </c>
      <c r="EN1056" t="str">
        <f>IF(NOT(ISBLANK($B1056)),VLOOKUP($B1056,AssetCategories!$A:$E,3,0),"")</f>
        <v/>
      </c>
      <c r="EP1056" s="33" t="str">
        <f t="shared" si="33"/>
        <v/>
      </c>
    </row>
    <row r="1057" spans="16:146" x14ac:dyDescent="0.25">
      <c r="P1057" s="33" t="str" cm="1">
        <f t="array" ref="P1057">IFERROR(SUM(VALUE(_xlfn.TEXTSPLIT(O1057, ";"))), "")</f>
        <v/>
      </c>
      <c r="DO1057" t="str">
        <f t="shared" si="32"/>
        <v/>
      </c>
      <c r="EG1057" s="33" t="str">
        <f>IF(NOT(ISBLANK($B1057)),VLOOKUP($B1057,AssetCategories!$A:$E,5,0),"")</f>
        <v/>
      </c>
      <c r="EH1057" t="str">
        <f>IF(NOT(ISBLANK($B1057)),VLOOKUP($B1057,AssetCategories!$A:$E,4,0),"")</f>
        <v/>
      </c>
      <c r="EM1057" t="str">
        <f>IF(NOT(ISBLANK($B1057)),VLOOKUP($B1057,AssetCategories!$A:$E,2,0),"")</f>
        <v/>
      </c>
      <c r="EN1057" t="str">
        <f>IF(NOT(ISBLANK($B1057)),VLOOKUP($B1057,AssetCategories!$A:$E,3,0),"")</f>
        <v/>
      </c>
      <c r="EP1057" s="33" t="str">
        <f t="shared" si="33"/>
        <v/>
      </c>
    </row>
    <row r="1058" spans="16:146" x14ac:dyDescent="0.25">
      <c r="P1058" s="33" t="str" cm="1">
        <f t="array" ref="P1058">IFERROR(SUM(VALUE(_xlfn.TEXTSPLIT(O1058, ";"))), "")</f>
        <v/>
      </c>
      <c r="DO1058" t="str">
        <f t="shared" si="32"/>
        <v/>
      </c>
      <c r="EG1058" s="33" t="str">
        <f>IF(NOT(ISBLANK($B1058)),VLOOKUP($B1058,AssetCategories!$A:$E,5,0),"")</f>
        <v/>
      </c>
      <c r="EH1058" t="str">
        <f>IF(NOT(ISBLANK($B1058)),VLOOKUP($B1058,AssetCategories!$A:$E,4,0),"")</f>
        <v/>
      </c>
      <c r="EM1058" t="str">
        <f>IF(NOT(ISBLANK($B1058)),VLOOKUP($B1058,AssetCategories!$A:$E,2,0),"")</f>
        <v/>
      </c>
      <c r="EN1058" t="str">
        <f>IF(NOT(ISBLANK($B1058)),VLOOKUP($B1058,AssetCategories!$A:$E,3,0),"")</f>
        <v/>
      </c>
      <c r="EP1058" s="33" t="str">
        <f t="shared" si="33"/>
        <v/>
      </c>
    </row>
    <row r="1059" spans="16:146" x14ac:dyDescent="0.25">
      <c r="P1059" s="33" t="str" cm="1">
        <f t="array" ref="P1059">IFERROR(SUM(VALUE(_xlfn.TEXTSPLIT(O1059, ";"))), "")</f>
        <v/>
      </c>
      <c r="DO1059" t="str">
        <f t="shared" si="32"/>
        <v/>
      </c>
      <c r="EG1059" s="33" t="str">
        <f>IF(NOT(ISBLANK($B1059)),VLOOKUP($B1059,AssetCategories!$A:$E,5,0),"")</f>
        <v/>
      </c>
      <c r="EH1059" t="str">
        <f>IF(NOT(ISBLANK($B1059)),VLOOKUP($B1059,AssetCategories!$A:$E,4,0),"")</f>
        <v/>
      </c>
      <c r="EM1059" t="str">
        <f>IF(NOT(ISBLANK($B1059)),VLOOKUP($B1059,AssetCategories!$A:$E,2,0),"")</f>
        <v/>
      </c>
      <c r="EN1059" t="str">
        <f>IF(NOT(ISBLANK($B1059)),VLOOKUP($B1059,AssetCategories!$A:$E,3,0),"")</f>
        <v/>
      </c>
      <c r="EP1059" s="33" t="str">
        <f t="shared" si="33"/>
        <v/>
      </c>
    </row>
    <row r="1060" spans="16:146" x14ac:dyDescent="0.25">
      <c r="P1060" s="33" t="str" cm="1">
        <f t="array" ref="P1060">IFERROR(SUM(VALUE(_xlfn.TEXTSPLIT(O1060, ";"))), "")</f>
        <v/>
      </c>
      <c r="DO1060" t="str">
        <f t="shared" si="32"/>
        <v/>
      </c>
      <c r="EG1060" s="33" t="str">
        <f>IF(NOT(ISBLANK($B1060)),VLOOKUP($B1060,AssetCategories!$A:$E,5,0),"")</f>
        <v/>
      </c>
      <c r="EH1060" t="str">
        <f>IF(NOT(ISBLANK($B1060)),VLOOKUP($B1060,AssetCategories!$A:$E,4,0),"")</f>
        <v/>
      </c>
      <c r="EM1060" t="str">
        <f>IF(NOT(ISBLANK($B1060)),VLOOKUP($B1060,AssetCategories!$A:$E,2,0),"")</f>
        <v/>
      </c>
      <c r="EN1060" t="str">
        <f>IF(NOT(ISBLANK($B1060)),VLOOKUP($B1060,AssetCategories!$A:$E,3,0),"")</f>
        <v/>
      </c>
      <c r="EP1060" s="33" t="str">
        <f t="shared" si="33"/>
        <v/>
      </c>
    </row>
    <row r="1061" spans="16:146" x14ac:dyDescent="0.25">
      <c r="P1061" s="33" t="str" cm="1">
        <f t="array" ref="P1061">IFERROR(SUM(VALUE(_xlfn.TEXTSPLIT(O1061, ";"))), "")</f>
        <v/>
      </c>
      <c r="DO1061" t="str">
        <f t="shared" si="32"/>
        <v/>
      </c>
      <c r="EG1061" s="33" t="str">
        <f>IF(NOT(ISBLANK($B1061)),VLOOKUP($B1061,AssetCategories!$A:$E,5,0),"")</f>
        <v/>
      </c>
      <c r="EH1061" t="str">
        <f>IF(NOT(ISBLANK($B1061)),VLOOKUP($B1061,AssetCategories!$A:$E,4,0),"")</f>
        <v/>
      </c>
      <c r="EM1061" t="str">
        <f>IF(NOT(ISBLANK($B1061)),VLOOKUP($B1061,AssetCategories!$A:$E,2,0),"")</f>
        <v/>
      </c>
      <c r="EN1061" t="str">
        <f>IF(NOT(ISBLANK($B1061)),VLOOKUP($B1061,AssetCategories!$A:$E,3,0),"")</f>
        <v/>
      </c>
      <c r="EP1061" s="33" t="str">
        <f t="shared" si="33"/>
        <v/>
      </c>
    </row>
    <row r="1062" spans="16:146" x14ac:dyDescent="0.25">
      <c r="P1062" s="33" t="str" cm="1">
        <f t="array" ref="P1062">IFERROR(SUM(VALUE(_xlfn.TEXTSPLIT(O1062, ";"))), "")</f>
        <v/>
      </c>
      <c r="DO1062" t="str">
        <f t="shared" si="32"/>
        <v/>
      </c>
      <c r="EG1062" s="33" t="str">
        <f>IF(NOT(ISBLANK($B1062)),VLOOKUP($B1062,AssetCategories!$A:$E,5,0),"")</f>
        <v/>
      </c>
      <c r="EH1062" t="str">
        <f>IF(NOT(ISBLANK($B1062)),VLOOKUP($B1062,AssetCategories!$A:$E,4,0),"")</f>
        <v/>
      </c>
      <c r="EM1062" t="str">
        <f>IF(NOT(ISBLANK($B1062)),VLOOKUP($B1062,AssetCategories!$A:$E,2,0),"")</f>
        <v/>
      </c>
      <c r="EN1062" t="str">
        <f>IF(NOT(ISBLANK($B1062)),VLOOKUP($B1062,AssetCategories!$A:$E,3,0),"")</f>
        <v/>
      </c>
      <c r="EP1062" s="33" t="str">
        <f t="shared" si="33"/>
        <v/>
      </c>
    </row>
    <row r="1063" spans="16:146" x14ac:dyDescent="0.25">
      <c r="P1063" s="33" t="str" cm="1">
        <f t="array" ref="P1063">IFERROR(SUM(VALUE(_xlfn.TEXTSPLIT(O1063, ";"))), "")</f>
        <v/>
      </c>
      <c r="DO1063" t="str">
        <f t="shared" si="32"/>
        <v/>
      </c>
      <c r="EG1063" s="33" t="str">
        <f>IF(NOT(ISBLANK($B1063)),VLOOKUP($B1063,AssetCategories!$A:$E,5,0),"")</f>
        <v/>
      </c>
      <c r="EH1063" t="str">
        <f>IF(NOT(ISBLANK($B1063)),VLOOKUP($B1063,AssetCategories!$A:$E,4,0),"")</f>
        <v/>
      </c>
      <c r="EM1063" t="str">
        <f>IF(NOT(ISBLANK($B1063)),VLOOKUP($B1063,AssetCategories!$A:$E,2,0),"")</f>
        <v/>
      </c>
      <c r="EN1063" t="str">
        <f>IF(NOT(ISBLANK($B1063)),VLOOKUP($B1063,AssetCategories!$A:$E,3,0),"")</f>
        <v/>
      </c>
      <c r="EP1063" s="33" t="str">
        <f t="shared" si="33"/>
        <v/>
      </c>
    </row>
    <row r="1064" spans="16:146" x14ac:dyDescent="0.25">
      <c r="P1064" s="33" t="str" cm="1">
        <f t="array" ref="P1064">IFERROR(SUM(VALUE(_xlfn.TEXTSPLIT(O1064, ";"))), "")</f>
        <v/>
      </c>
      <c r="DO1064" t="str">
        <f t="shared" si="32"/>
        <v/>
      </c>
      <c r="EG1064" s="33" t="str">
        <f>IF(NOT(ISBLANK($B1064)),VLOOKUP($B1064,AssetCategories!$A:$E,5,0),"")</f>
        <v/>
      </c>
      <c r="EH1064" t="str">
        <f>IF(NOT(ISBLANK($B1064)),VLOOKUP($B1064,AssetCategories!$A:$E,4,0),"")</f>
        <v/>
      </c>
      <c r="EM1064" t="str">
        <f>IF(NOT(ISBLANK($B1064)),VLOOKUP($B1064,AssetCategories!$A:$E,2,0),"")</f>
        <v/>
      </c>
      <c r="EN1064" t="str">
        <f>IF(NOT(ISBLANK($B1064)),VLOOKUP($B1064,AssetCategories!$A:$E,3,0),"")</f>
        <v/>
      </c>
      <c r="EP1064" s="33" t="str">
        <f t="shared" si="33"/>
        <v/>
      </c>
    </row>
    <row r="1065" spans="16:146" x14ac:dyDescent="0.25">
      <c r="P1065" s="33" t="str" cm="1">
        <f t="array" ref="P1065">IFERROR(SUM(VALUE(_xlfn.TEXTSPLIT(O1065, ";"))), "")</f>
        <v/>
      </c>
      <c r="DO1065" t="str">
        <f t="shared" si="32"/>
        <v/>
      </c>
      <c r="EG1065" s="33" t="str">
        <f>IF(NOT(ISBLANK($B1065)),VLOOKUP($B1065,AssetCategories!$A:$E,5,0),"")</f>
        <v/>
      </c>
      <c r="EH1065" t="str">
        <f>IF(NOT(ISBLANK($B1065)),VLOOKUP($B1065,AssetCategories!$A:$E,4,0),"")</f>
        <v/>
      </c>
      <c r="EM1065" t="str">
        <f>IF(NOT(ISBLANK($B1065)),VLOOKUP($B1065,AssetCategories!$A:$E,2,0),"")</f>
        <v/>
      </c>
      <c r="EN1065" t="str">
        <f>IF(NOT(ISBLANK($B1065)),VLOOKUP($B1065,AssetCategories!$A:$E,3,0),"")</f>
        <v/>
      </c>
      <c r="EP1065" s="33" t="str">
        <f t="shared" si="33"/>
        <v/>
      </c>
    </row>
    <row r="1066" spans="16:146" x14ac:dyDescent="0.25">
      <c r="P1066" s="33" t="str" cm="1">
        <f t="array" ref="P1066">IFERROR(SUM(VALUE(_xlfn.TEXTSPLIT(O1066, ";"))), "")</f>
        <v/>
      </c>
      <c r="DO1066" t="str">
        <f t="shared" si="32"/>
        <v/>
      </c>
      <c r="EG1066" s="33" t="str">
        <f>IF(NOT(ISBLANK($B1066)),VLOOKUP($B1066,AssetCategories!$A:$E,5,0),"")</f>
        <v/>
      </c>
      <c r="EH1066" t="str">
        <f>IF(NOT(ISBLANK($B1066)),VLOOKUP($B1066,AssetCategories!$A:$E,4,0),"")</f>
        <v/>
      </c>
      <c r="EM1066" t="str">
        <f>IF(NOT(ISBLANK($B1066)),VLOOKUP($B1066,AssetCategories!$A:$E,2,0),"")</f>
        <v/>
      </c>
      <c r="EN1066" t="str">
        <f>IF(NOT(ISBLANK($B1066)),VLOOKUP($B1066,AssetCategories!$A:$E,3,0),"")</f>
        <v/>
      </c>
      <c r="EP1066" s="33" t="str">
        <f t="shared" si="33"/>
        <v/>
      </c>
    </row>
    <row r="1067" spans="16:146" x14ac:dyDescent="0.25">
      <c r="P1067" s="33" t="str" cm="1">
        <f t="array" ref="P1067">IFERROR(SUM(VALUE(_xlfn.TEXTSPLIT(O1067, ";"))), "")</f>
        <v/>
      </c>
      <c r="DO1067" t="str">
        <f t="shared" si="32"/>
        <v/>
      </c>
      <c r="EG1067" s="33" t="str">
        <f>IF(NOT(ISBLANK($B1067)),VLOOKUP($B1067,AssetCategories!$A:$E,5,0),"")</f>
        <v/>
      </c>
      <c r="EH1067" t="str">
        <f>IF(NOT(ISBLANK($B1067)),VLOOKUP($B1067,AssetCategories!$A:$E,4,0),"")</f>
        <v/>
      </c>
      <c r="EM1067" t="str">
        <f>IF(NOT(ISBLANK($B1067)),VLOOKUP($B1067,AssetCategories!$A:$E,2,0),"")</f>
        <v/>
      </c>
      <c r="EN1067" t="str">
        <f>IF(NOT(ISBLANK($B1067)),VLOOKUP($B1067,AssetCategories!$A:$E,3,0),"")</f>
        <v/>
      </c>
      <c r="EP1067" s="33" t="str">
        <f t="shared" si="33"/>
        <v/>
      </c>
    </row>
    <row r="1068" spans="16:146" x14ac:dyDescent="0.25">
      <c r="P1068" s="33" t="str" cm="1">
        <f t="array" ref="P1068">IFERROR(SUM(VALUE(_xlfn.TEXTSPLIT(O1068, ";"))), "")</f>
        <v/>
      </c>
      <c r="DO1068" t="str">
        <f t="shared" si="32"/>
        <v/>
      </c>
      <c r="EG1068" s="33" t="str">
        <f>IF(NOT(ISBLANK($B1068)),VLOOKUP($B1068,AssetCategories!$A:$E,5,0),"")</f>
        <v/>
      </c>
      <c r="EH1068" t="str">
        <f>IF(NOT(ISBLANK($B1068)),VLOOKUP($B1068,AssetCategories!$A:$E,4,0),"")</f>
        <v/>
      </c>
      <c r="EM1068" t="str">
        <f>IF(NOT(ISBLANK($B1068)),VLOOKUP($B1068,AssetCategories!$A:$E,2,0),"")</f>
        <v/>
      </c>
      <c r="EN1068" t="str">
        <f>IF(NOT(ISBLANK($B1068)),VLOOKUP($B1068,AssetCategories!$A:$E,3,0),"")</f>
        <v/>
      </c>
      <c r="EP1068" s="33" t="str">
        <f t="shared" si="33"/>
        <v/>
      </c>
    </row>
    <row r="1069" spans="16:146" x14ac:dyDescent="0.25">
      <c r="P1069" s="33" t="str" cm="1">
        <f t="array" ref="P1069">IFERROR(SUM(VALUE(_xlfn.TEXTSPLIT(O1069, ";"))), "")</f>
        <v/>
      </c>
      <c r="DO1069" t="str">
        <f t="shared" si="32"/>
        <v/>
      </c>
      <c r="EG1069" s="33" t="str">
        <f>IF(NOT(ISBLANK($B1069)),VLOOKUP($B1069,AssetCategories!$A:$E,5,0),"")</f>
        <v/>
      </c>
      <c r="EH1069" t="str">
        <f>IF(NOT(ISBLANK($B1069)),VLOOKUP($B1069,AssetCategories!$A:$E,4,0),"")</f>
        <v/>
      </c>
      <c r="EM1069" t="str">
        <f>IF(NOT(ISBLANK($B1069)),VLOOKUP($B1069,AssetCategories!$A:$E,2,0),"")</f>
        <v/>
      </c>
      <c r="EN1069" t="str">
        <f>IF(NOT(ISBLANK($B1069)),VLOOKUP($B1069,AssetCategories!$A:$E,3,0),"")</f>
        <v/>
      </c>
      <c r="EP1069" s="33" t="str">
        <f t="shared" si="33"/>
        <v/>
      </c>
    </row>
    <row r="1070" spans="16:146" x14ac:dyDescent="0.25">
      <c r="P1070" s="33" t="str" cm="1">
        <f t="array" ref="P1070">IFERROR(SUM(VALUE(_xlfn.TEXTSPLIT(O1070, ";"))), "")</f>
        <v/>
      </c>
      <c r="DO1070" t="str">
        <f t="shared" si="32"/>
        <v/>
      </c>
      <c r="EG1070" s="33" t="str">
        <f>IF(NOT(ISBLANK($B1070)),VLOOKUP($B1070,AssetCategories!$A:$E,5,0),"")</f>
        <v/>
      </c>
      <c r="EH1070" t="str">
        <f>IF(NOT(ISBLANK($B1070)),VLOOKUP($B1070,AssetCategories!$A:$E,4,0),"")</f>
        <v/>
      </c>
      <c r="EM1070" t="str">
        <f>IF(NOT(ISBLANK($B1070)),VLOOKUP($B1070,AssetCategories!$A:$E,2,0),"")</f>
        <v/>
      </c>
      <c r="EN1070" t="str">
        <f>IF(NOT(ISBLANK($B1070)),VLOOKUP($B1070,AssetCategories!$A:$E,3,0),"")</f>
        <v/>
      </c>
      <c r="EP1070" s="33" t="str">
        <f t="shared" si="33"/>
        <v/>
      </c>
    </row>
    <row r="1071" spans="16:146" x14ac:dyDescent="0.25">
      <c r="P1071" s="33" t="str" cm="1">
        <f t="array" ref="P1071">IFERROR(SUM(VALUE(_xlfn.TEXTSPLIT(O1071, ";"))), "")</f>
        <v/>
      </c>
      <c r="DO1071" t="str">
        <f t="shared" si="32"/>
        <v/>
      </c>
      <c r="EG1071" s="33" t="str">
        <f>IF(NOT(ISBLANK($B1071)),VLOOKUP($B1071,AssetCategories!$A:$E,5,0),"")</f>
        <v/>
      </c>
      <c r="EH1071" t="str">
        <f>IF(NOT(ISBLANK($B1071)),VLOOKUP($B1071,AssetCategories!$A:$E,4,0),"")</f>
        <v/>
      </c>
      <c r="EM1071" t="str">
        <f>IF(NOT(ISBLANK($B1071)),VLOOKUP($B1071,AssetCategories!$A:$E,2,0),"")</f>
        <v/>
      </c>
      <c r="EN1071" t="str">
        <f>IF(NOT(ISBLANK($B1071)),VLOOKUP($B1071,AssetCategories!$A:$E,3,0),"")</f>
        <v/>
      </c>
      <c r="EP1071" s="33" t="str">
        <f t="shared" si="33"/>
        <v/>
      </c>
    </row>
    <row r="1072" spans="16:146" x14ac:dyDescent="0.25">
      <c r="P1072" s="33" t="str" cm="1">
        <f t="array" ref="P1072">IFERROR(SUM(VALUE(_xlfn.TEXTSPLIT(O1072, ";"))), "")</f>
        <v/>
      </c>
      <c r="DO1072" t="str">
        <f t="shared" si="32"/>
        <v/>
      </c>
      <c r="EG1072" s="33" t="str">
        <f>IF(NOT(ISBLANK($B1072)),VLOOKUP($B1072,AssetCategories!$A:$E,5,0),"")</f>
        <v/>
      </c>
      <c r="EH1072" t="str">
        <f>IF(NOT(ISBLANK($B1072)),VLOOKUP($B1072,AssetCategories!$A:$E,4,0),"")</f>
        <v/>
      </c>
      <c r="EM1072" t="str">
        <f>IF(NOT(ISBLANK($B1072)),VLOOKUP($B1072,AssetCategories!$A:$E,2,0),"")</f>
        <v/>
      </c>
      <c r="EN1072" t="str">
        <f>IF(NOT(ISBLANK($B1072)),VLOOKUP($B1072,AssetCategories!$A:$E,3,0),"")</f>
        <v/>
      </c>
      <c r="EP1072" s="33" t="str">
        <f t="shared" si="33"/>
        <v/>
      </c>
    </row>
    <row r="1073" spans="16:146" x14ac:dyDescent="0.25">
      <c r="P1073" s="33" t="str" cm="1">
        <f t="array" ref="P1073">IFERROR(SUM(VALUE(_xlfn.TEXTSPLIT(O1073, ";"))), "")</f>
        <v/>
      </c>
      <c r="DO1073" t="str">
        <f t="shared" si="32"/>
        <v/>
      </c>
      <c r="EG1073" s="33" t="str">
        <f>IF(NOT(ISBLANK($B1073)),VLOOKUP($B1073,AssetCategories!$A:$E,5,0),"")</f>
        <v/>
      </c>
      <c r="EH1073" t="str">
        <f>IF(NOT(ISBLANK($B1073)),VLOOKUP($B1073,AssetCategories!$A:$E,4,0),"")</f>
        <v/>
      </c>
      <c r="EM1073" t="str">
        <f>IF(NOT(ISBLANK($B1073)),VLOOKUP($B1073,AssetCategories!$A:$E,2,0),"")</f>
        <v/>
      </c>
      <c r="EN1073" t="str">
        <f>IF(NOT(ISBLANK($B1073)),VLOOKUP($B1073,AssetCategories!$A:$E,3,0),"")</f>
        <v/>
      </c>
      <c r="EP1073" s="33" t="str">
        <f t="shared" si="33"/>
        <v/>
      </c>
    </row>
    <row r="1074" spans="16:146" x14ac:dyDescent="0.25">
      <c r="P1074" s="33" t="str" cm="1">
        <f t="array" ref="P1074">IFERROR(SUM(VALUE(_xlfn.TEXTSPLIT(O1074, ";"))), "")</f>
        <v/>
      </c>
      <c r="DO1074" t="str">
        <f t="shared" si="32"/>
        <v/>
      </c>
      <c r="EG1074" s="33" t="str">
        <f>IF(NOT(ISBLANK($B1074)),VLOOKUP($B1074,AssetCategories!$A:$E,5,0),"")</f>
        <v/>
      </c>
      <c r="EH1074" t="str">
        <f>IF(NOT(ISBLANK($B1074)),VLOOKUP($B1074,AssetCategories!$A:$E,4,0),"")</f>
        <v/>
      </c>
      <c r="EM1074" t="str">
        <f>IF(NOT(ISBLANK($B1074)),VLOOKUP($B1074,AssetCategories!$A:$E,2,0),"")</f>
        <v/>
      </c>
      <c r="EN1074" t="str">
        <f>IF(NOT(ISBLANK($B1074)),VLOOKUP($B1074,AssetCategories!$A:$E,3,0),"")</f>
        <v/>
      </c>
      <c r="EP1074" s="33" t="str">
        <f t="shared" si="33"/>
        <v/>
      </c>
    </row>
    <row r="1075" spans="16:146" x14ac:dyDescent="0.25">
      <c r="P1075" s="33" t="str" cm="1">
        <f t="array" ref="P1075">IFERROR(SUM(VALUE(_xlfn.TEXTSPLIT(O1075, ";"))), "")</f>
        <v/>
      </c>
      <c r="DO1075" t="str">
        <f t="shared" si="32"/>
        <v/>
      </c>
      <c r="EG1075" s="33" t="str">
        <f>IF(NOT(ISBLANK($B1075)),VLOOKUP($B1075,AssetCategories!$A:$E,5,0),"")</f>
        <v/>
      </c>
      <c r="EH1075" t="str">
        <f>IF(NOT(ISBLANK($B1075)),VLOOKUP($B1075,AssetCategories!$A:$E,4,0),"")</f>
        <v/>
      </c>
      <c r="EM1075" t="str">
        <f>IF(NOT(ISBLANK($B1075)),VLOOKUP($B1075,AssetCategories!$A:$E,2,0),"")</f>
        <v/>
      </c>
      <c r="EN1075" t="str">
        <f>IF(NOT(ISBLANK($B1075)),VLOOKUP($B1075,AssetCategories!$A:$E,3,0),"")</f>
        <v/>
      </c>
      <c r="EP1075" s="33" t="str">
        <f t="shared" si="33"/>
        <v/>
      </c>
    </row>
    <row r="1076" spans="16:146" x14ac:dyDescent="0.25">
      <c r="P1076" s="33" t="str" cm="1">
        <f t="array" ref="P1076">IFERROR(SUM(VALUE(_xlfn.TEXTSPLIT(O1076, ";"))), "")</f>
        <v/>
      </c>
      <c r="DO1076" t="str">
        <f t="shared" si="32"/>
        <v/>
      </c>
      <c r="EG1076" s="33" t="str">
        <f>IF(NOT(ISBLANK($B1076)),VLOOKUP($B1076,AssetCategories!$A:$E,5,0),"")</f>
        <v/>
      </c>
      <c r="EH1076" t="str">
        <f>IF(NOT(ISBLANK($B1076)),VLOOKUP($B1076,AssetCategories!$A:$E,4,0),"")</f>
        <v/>
      </c>
      <c r="EM1076" t="str">
        <f>IF(NOT(ISBLANK($B1076)),VLOOKUP($B1076,AssetCategories!$A:$E,2,0),"")</f>
        <v/>
      </c>
      <c r="EN1076" t="str">
        <f>IF(NOT(ISBLANK($B1076)),VLOOKUP($B1076,AssetCategories!$A:$E,3,0),"")</f>
        <v/>
      </c>
      <c r="EP1076" s="33" t="str">
        <f t="shared" si="33"/>
        <v/>
      </c>
    </row>
    <row r="1077" spans="16:146" x14ac:dyDescent="0.25">
      <c r="P1077" s="33" t="str" cm="1">
        <f t="array" ref="P1077">IFERROR(SUM(VALUE(_xlfn.TEXTSPLIT(O1077, ";"))), "")</f>
        <v/>
      </c>
      <c r="DO1077" t="str">
        <f t="shared" si="32"/>
        <v/>
      </c>
      <c r="EG1077" s="33" t="str">
        <f>IF(NOT(ISBLANK($B1077)),VLOOKUP($B1077,AssetCategories!$A:$E,5,0),"")</f>
        <v/>
      </c>
      <c r="EH1077" t="str">
        <f>IF(NOT(ISBLANK($B1077)),VLOOKUP($B1077,AssetCategories!$A:$E,4,0),"")</f>
        <v/>
      </c>
      <c r="EM1077" t="str">
        <f>IF(NOT(ISBLANK($B1077)),VLOOKUP($B1077,AssetCategories!$A:$E,2,0),"")</f>
        <v/>
      </c>
      <c r="EN1077" t="str">
        <f>IF(NOT(ISBLANK($B1077)),VLOOKUP($B1077,AssetCategories!$A:$E,3,0),"")</f>
        <v/>
      </c>
      <c r="EP1077" s="33" t="str">
        <f t="shared" si="33"/>
        <v/>
      </c>
    </row>
    <row r="1078" spans="16:146" x14ac:dyDescent="0.25">
      <c r="P1078" s="33" t="str" cm="1">
        <f t="array" ref="P1078">IFERROR(SUM(VALUE(_xlfn.TEXTSPLIT(O1078, ";"))), "")</f>
        <v/>
      </c>
      <c r="DO1078" t="str">
        <f t="shared" si="32"/>
        <v/>
      </c>
      <c r="EG1078" s="33" t="str">
        <f>IF(NOT(ISBLANK($B1078)),VLOOKUP($B1078,AssetCategories!$A:$E,5,0),"")</f>
        <v/>
      </c>
      <c r="EH1078" t="str">
        <f>IF(NOT(ISBLANK($B1078)),VLOOKUP($B1078,AssetCategories!$A:$E,4,0),"")</f>
        <v/>
      </c>
      <c r="EM1078" t="str">
        <f>IF(NOT(ISBLANK($B1078)),VLOOKUP($B1078,AssetCategories!$A:$E,2,0),"")</f>
        <v/>
      </c>
      <c r="EN1078" t="str">
        <f>IF(NOT(ISBLANK($B1078)),VLOOKUP($B1078,AssetCategories!$A:$E,3,0),"")</f>
        <v/>
      </c>
      <c r="EP1078" s="33" t="str">
        <f t="shared" si="33"/>
        <v/>
      </c>
    </row>
    <row r="1079" spans="16:146" x14ac:dyDescent="0.25">
      <c r="P1079" s="33" t="str" cm="1">
        <f t="array" ref="P1079">IFERROR(SUM(VALUE(_xlfn.TEXTSPLIT(O1079, ";"))), "")</f>
        <v/>
      </c>
      <c r="DO1079" t="str">
        <f t="shared" si="32"/>
        <v/>
      </c>
      <c r="EG1079" s="33" t="str">
        <f>IF(NOT(ISBLANK($B1079)),VLOOKUP($B1079,AssetCategories!$A:$E,5,0),"")</f>
        <v/>
      </c>
      <c r="EH1079" t="str">
        <f>IF(NOT(ISBLANK($B1079)),VLOOKUP($B1079,AssetCategories!$A:$E,4,0),"")</f>
        <v/>
      </c>
      <c r="EM1079" t="str">
        <f>IF(NOT(ISBLANK($B1079)),VLOOKUP($B1079,AssetCategories!$A:$E,2,0),"")</f>
        <v/>
      </c>
      <c r="EN1079" t="str">
        <f>IF(NOT(ISBLANK($B1079)),VLOOKUP($B1079,AssetCategories!$A:$E,3,0),"")</f>
        <v/>
      </c>
      <c r="EP1079" s="33" t="str">
        <f t="shared" si="33"/>
        <v/>
      </c>
    </row>
    <row r="1080" spans="16:146" x14ac:dyDescent="0.25">
      <c r="P1080" s="33" t="str" cm="1">
        <f t="array" ref="P1080">IFERROR(SUM(VALUE(_xlfn.TEXTSPLIT(O1080, ";"))), "")</f>
        <v/>
      </c>
      <c r="DO1080" t="str">
        <f t="shared" si="32"/>
        <v/>
      </c>
      <c r="EG1080" s="33" t="str">
        <f>IF(NOT(ISBLANK($B1080)),VLOOKUP($B1080,AssetCategories!$A:$E,5,0),"")</f>
        <v/>
      </c>
      <c r="EH1080" t="str">
        <f>IF(NOT(ISBLANK($B1080)),VLOOKUP($B1080,AssetCategories!$A:$E,4,0),"")</f>
        <v/>
      </c>
      <c r="EM1080" t="str">
        <f>IF(NOT(ISBLANK($B1080)),VLOOKUP($B1080,AssetCategories!$A:$E,2,0),"")</f>
        <v/>
      </c>
      <c r="EN1080" t="str">
        <f>IF(NOT(ISBLANK($B1080)),VLOOKUP($B1080,AssetCategories!$A:$E,3,0),"")</f>
        <v/>
      </c>
      <c r="EP1080" s="33" t="str">
        <f t="shared" si="33"/>
        <v/>
      </c>
    </row>
    <row r="1081" spans="16:146" x14ac:dyDescent="0.25">
      <c r="P1081" s="33" t="str" cm="1">
        <f t="array" ref="P1081">IFERROR(SUM(VALUE(_xlfn.TEXTSPLIT(O1081, ";"))), "")</f>
        <v/>
      </c>
      <c r="DO1081" t="str">
        <f t="shared" si="32"/>
        <v/>
      </c>
      <c r="EG1081" s="33" t="str">
        <f>IF(NOT(ISBLANK($B1081)),VLOOKUP($B1081,AssetCategories!$A:$E,5,0),"")</f>
        <v/>
      </c>
      <c r="EH1081" t="str">
        <f>IF(NOT(ISBLANK($B1081)),VLOOKUP($B1081,AssetCategories!$A:$E,4,0),"")</f>
        <v/>
      </c>
      <c r="EM1081" t="str">
        <f>IF(NOT(ISBLANK($B1081)),VLOOKUP($B1081,AssetCategories!$A:$E,2,0),"")</f>
        <v/>
      </c>
      <c r="EN1081" t="str">
        <f>IF(NOT(ISBLANK($B1081)),VLOOKUP($B1081,AssetCategories!$A:$E,3,0),"")</f>
        <v/>
      </c>
      <c r="EP1081" s="33" t="str">
        <f t="shared" si="33"/>
        <v/>
      </c>
    </row>
    <row r="1082" spans="16:146" x14ac:dyDescent="0.25">
      <c r="P1082" s="33" t="str" cm="1">
        <f t="array" ref="P1082">IFERROR(SUM(VALUE(_xlfn.TEXTSPLIT(O1082, ";"))), "")</f>
        <v/>
      </c>
      <c r="DO1082" t="str">
        <f t="shared" si="32"/>
        <v/>
      </c>
      <c r="EG1082" s="33" t="str">
        <f>IF(NOT(ISBLANK($B1082)),VLOOKUP($B1082,AssetCategories!$A:$E,5,0),"")</f>
        <v/>
      </c>
      <c r="EH1082" t="str">
        <f>IF(NOT(ISBLANK($B1082)),VLOOKUP($B1082,AssetCategories!$A:$E,4,0),"")</f>
        <v/>
      </c>
      <c r="EM1082" t="str">
        <f>IF(NOT(ISBLANK($B1082)),VLOOKUP($B1082,AssetCategories!$A:$E,2,0),"")</f>
        <v/>
      </c>
      <c r="EN1082" t="str">
        <f>IF(NOT(ISBLANK($B1082)),VLOOKUP($B1082,AssetCategories!$A:$E,3,0),"")</f>
        <v/>
      </c>
      <c r="EP1082" s="33" t="str">
        <f t="shared" si="33"/>
        <v/>
      </c>
    </row>
    <row r="1083" spans="16:146" x14ac:dyDescent="0.25">
      <c r="P1083" s="33" t="str" cm="1">
        <f t="array" ref="P1083">IFERROR(SUM(VALUE(_xlfn.TEXTSPLIT(O1083, ";"))), "")</f>
        <v/>
      </c>
      <c r="DO1083" t="str">
        <f t="shared" si="32"/>
        <v/>
      </c>
      <c r="EG1083" s="33" t="str">
        <f>IF(NOT(ISBLANK($B1083)),VLOOKUP($B1083,AssetCategories!$A:$E,5,0),"")</f>
        <v/>
      </c>
      <c r="EH1083" t="str">
        <f>IF(NOT(ISBLANK($B1083)),VLOOKUP($B1083,AssetCategories!$A:$E,4,0),"")</f>
        <v/>
      </c>
      <c r="EM1083" t="str">
        <f>IF(NOT(ISBLANK($B1083)),VLOOKUP($B1083,AssetCategories!$A:$E,2,0),"")</f>
        <v/>
      </c>
      <c r="EN1083" t="str">
        <f>IF(NOT(ISBLANK($B1083)),VLOOKUP($B1083,AssetCategories!$A:$E,3,0),"")</f>
        <v/>
      </c>
      <c r="EP1083" s="33" t="str">
        <f t="shared" si="33"/>
        <v/>
      </c>
    </row>
    <row r="1084" spans="16:146" x14ac:dyDescent="0.25">
      <c r="P1084" s="33" t="str" cm="1">
        <f t="array" ref="P1084">IFERROR(SUM(VALUE(_xlfn.TEXTSPLIT(O1084, ";"))), "")</f>
        <v/>
      </c>
      <c r="DO1084" t="str">
        <f t="shared" si="32"/>
        <v/>
      </c>
      <c r="EG1084" s="33" t="str">
        <f>IF(NOT(ISBLANK($B1084)),VLOOKUP($B1084,AssetCategories!$A:$E,5,0),"")</f>
        <v/>
      </c>
      <c r="EH1084" t="str">
        <f>IF(NOT(ISBLANK($B1084)),VLOOKUP($B1084,AssetCategories!$A:$E,4,0),"")</f>
        <v/>
      </c>
      <c r="EM1084" t="str">
        <f>IF(NOT(ISBLANK($B1084)),VLOOKUP($B1084,AssetCategories!$A:$E,2,0),"")</f>
        <v/>
      </c>
      <c r="EN1084" t="str">
        <f>IF(NOT(ISBLANK($B1084)),VLOOKUP($B1084,AssetCategories!$A:$E,3,0),"")</f>
        <v/>
      </c>
      <c r="EP1084" s="33" t="str">
        <f t="shared" si="33"/>
        <v/>
      </c>
    </row>
    <row r="1085" spans="16:146" x14ac:dyDescent="0.25">
      <c r="P1085" s="33" t="str" cm="1">
        <f t="array" ref="P1085">IFERROR(SUM(VALUE(_xlfn.TEXTSPLIT(O1085, ";"))), "")</f>
        <v/>
      </c>
      <c r="DO1085" t="str">
        <f t="shared" si="32"/>
        <v/>
      </c>
      <c r="EG1085" s="33" t="str">
        <f>IF(NOT(ISBLANK($B1085)),VLOOKUP($B1085,AssetCategories!$A:$E,5,0),"")</f>
        <v/>
      </c>
      <c r="EH1085" t="str">
        <f>IF(NOT(ISBLANK($B1085)),VLOOKUP($B1085,AssetCategories!$A:$E,4,0),"")</f>
        <v/>
      </c>
      <c r="EM1085" t="str">
        <f>IF(NOT(ISBLANK($B1085)),VLOOKUP($B1085,AssetCategories!$A:$E,2,0),"")</f>
        <v/>
      </c>
      <c r="EN1085" t="str">
        <f>IF(NOT(ISBLANK($B1085)),VLOOKUP($B1085,AssetCategories!$A:$E,3,0),"")</f>
        <v/>
      </c>
      <c r="EP1085" s="33" t="str">
        <f t="shared" si="33"/>
        <v/>
      </c>
    </row>
    <row r="1086" spans="16:146" x14ac:dyDescent="0.25">
      <c r="P1086" s="33" t="str" cm="1">
        <f t="array" ref="P1086">IFERROR(SUM(VALUE(_xlfn.TEXTSPLIT(O1086, ";"))), "")</f>
        <v/>
      </c>
      <c r="DO1086" t="str">
        <f t="shared" si="32"/>
        <v/>
      </c>
      <c r="EG1086" s="33" t="str">
        <f>IF(NOT(ISBLANK($B1086)),VLOOKUP($B1086,AssetCategories!$A:$E,5,0),"")</f>
        <v/>
      </c>
      <c r="EH1086" t="str">
        <f>IF(NOT(ISBLANK($B1086)),VLOOKUP($B1086,AssetCategories!$A:$E,4,0),"")</f>
        <v/>
      </c>
      <c r="EM1086" t="str">
        <f>IF(NOT(ISBLANK($B1086)),VLOOKUP($B1086,AssetCategories!$A:$E,2,0),"")</f>
        <v/>
      </c>
      <c r="EN1086" t="str">
        <f>IF(NOT(ISBLANK($B1086)),VLOOKUP($B1086,AssetCategories!$A:$E,3,0),"")</f>
        <v/>
      </c>
      <c r="EP1086" s="33" t="str">
        <f t="shared" si="33"/>
        <v/>
      </c>
    </row>
    <row r="1087" spans="16:146" x14ac:dyDescent="0.25">
      <c r="P1087" s="33" t="str" cm="1">
        <f t="array" ref="P1087">IFERROR(SUM(VALUE(_xlfn.TEXTSPLIT(O1087, ";"))), "")</f>
        <v/>
      </c>
      <c r="DO1087" t="str">
        <f t="shared" si="32"/>
        <v/>
      </c>
      <c r="EG1087" s="33" t="str">
        <f>IF(NOT(ISBLANK($B1087)),VLOOKUP($B1087,AssetCategories!$A:$E,5,0),"")</f>
        <v/>
      </c>
      <c r="EH1087" t="str">
        <f>IF(NOT(ISBLANK($B1087)),VLOOKUP($B1087,AssetCategories!$A:$E,4,0),"")</f>
        <v/>
      </c>
      <c r="EM1087" t="str">
        <f>IF(NOT(ISBLANK($B1087)),VLOOKUP($B1087,AssetCategories!$A:$E,2,0),"")</f>
        <v/>
      </c>
      <c r="EN1087" t="str">
        <f>IF(NOT(ISBLANK($B1087)),VLOOKUP($B1087,AssetCategories!$A:$E,3,0),"")</f>
        <v/>
      </c>
      <c r="EP1087" s="33" t="str">
        <f t="shared" si="33"/>
        <v/>
      </c>
    </row>
    <row r="1088" spans="16:146" x14ac:dyDescent="0.25">
      <c r="P1088" s="33" t="str" cm="1">
        <f t="array" ref="P1088">IFERROR(SUM(VALUE(_xlfn.TEXTSPLIT(O1088, ";"))), "")</f>
        <v/>
      </c>
      <c r="DO1088" t="str">
        <f t="shared" si="32"/>
        <v/>
      </c>
      <c r="EG1088" s="33" t="str">
        <f>IF(NOT(ISBLANK($B1088)),VLOOKUP($B1088,AssetCategories!$A:$E,5,0),"")</f>
        <v/>
      </c>
      <c r="EH1088" t="str">
        <f>IF(NOT(ISBLANK($B1088)),VLOOKUP($B1088,AssetCategories!$A:$E,4,0),"")</f>
        <v/>
      </c>
      <c r="EM1088" t="str">
        <f>IF(NOT(ISBLANK($B1088)),VLOOKUP($B1088,AssetCategories!$A:$E,2,0),"")</f>
        <v/>
      </c>
      <c r="EN1088" t="str">
        <f>IF(NOT(ISBLANK($B1088)),VLOOKUP($B1088,AssetCategories!$A:$E,3,0),"")</f>
        <v/>
      </c>
      <c r="EP1088" s="33" t="str">
        <f t="shared" si="33"/>
        <v/>
      </c>
    </row>
    <row r="1089" spans="16:146" x14ac:dyDescent="0.25">
      <c r="P1089" s="33" t="str" cm="1">
        <f t="array" ref="P1089">IFERROR(SUM(VALUE(_xlfn.TEXTSPLIT(O1089, ";"))), "")</f>
        <v/>
      </c>
      <c r="DO1089" t="str">
        <f t="shared" si="32"/>
        <v/>
      </c>
      <c r="EG1089" s="33" t="str">
        <f>IF(NOT(ISBLANK($B1089)),VLOOKUP($B1089,AssetCategories!$A:$E,5,0),"")</f>
        <v/>
      </c>
      <c r="EH1089" t="str">
        <f>IF(NOT(ISBLANK($B1089)),VLOOKUP($B1089,AssetCategories!$A:$E,4,0),"")</f>
        <v/>
      </c>
      <c r="EM1089" t="str">
        <f>IF(NOT(ISBLANK($B1089)),VLOOKUP($B1089,AssetCategories!$A:$E,2,0),"")</f>
        <v/>
      </c>
      <c r="EN1089" t="str">
        <f>IF(NOT(ISBLANK($B1089)),VLOOKUP($B1089,AssetCategories!$A:$E,3,0),"")</f>
        <v/>
      </c>
      <c r="EP1089" s="33" t="str">
        <f t="shared" si="33"/>
        <v/>
      </c>
    </row>
    <row r="1090" spans="16:146" x14ac:dyDescent="0.25">
      <c r="P1090" s="33" t="str" cm="1">
        <f t="array" ref="P1090">IFERROR(SUM(VALUE(_xlfn.TEXTSPLIT(O1090, ";"))), "")</f>
        <v/>
      </c>
      <c r="DO1090" t="str">
        <f t="shared" si="32"/>
        <v/>
      </c>
      <c r="EG1090" s="33" t="str">
        <f>IF(NOT(ISBLANK($B1090)),VLOOKUP($B1090,AssetCategories!$A:$E,5,0),"")</f>
        <v/>
      </c>
      <c r="EH1090" t="str">
        <f>IF(NOT(ISBLANK($B1090)),VLOOKUP($B1090,AssetCategories!$A:$E,4,0),"")</f>
        <v/>
      </c>
      <c r="EM1090" t="str">
        <f>IF(NOT(ISBLANK($B1090)),VLOOKUP($B1090,AssetCategories!$A:$E,2,0),"")</f>
        <v/>
      </c>
      <c r="EN1090" t="str">
        <f>IF(NOT(ISBLANK($B1090)),VLOOKUP($B1090,AssetCategories!$A:$E,3,0),"")</f>
        <v/>
      </c>
      <c r="EP1090" s="33" t="str">
        <f t="shared" si="33"/>
        <v/>
      </c>
    </row>
    <row r="1091" spans="16:146" x14ac:dyDescent="0.25">
      <c r="P1091" s="33" t="str" cm="1">
        <f t="array" ref="P1091">IFERROR(SUM(VALUE(_xlfn.TEXTSPLIT(O1091, ";"))), "")</f>
        <v/>
      </c>
      <c r="DO1091" t="str">
        <f t="shared" si="32"/>
        <v/>
      </c>
      <c r="EG1091" s="33" t="str">
        <f>IF(NOT(ISBLANK($B1091)),VLOOKUP($B1091,AssetCategories!$A:$E,5,0),"")</f>
        <v/>
      </c>
      <c r="EH1091" t="str">
        <f>IF(NOT(ISBLANK($B1091)),VLOOKUP($B1091,AssetCategories!$A:$E,4,0),"")</f>
        <v/>
      </c>
      <c r="EM1091" t="str">
        <f>IF(NOT(ISBLANK($B1091)),VLOOKUP($B1091,AssetCategories!$A:$E,2,0),"")</f>
        <v/>
      </c>
      <c r="EN1091" t="str">
        <f>IF(NOT(ISBLANK($B1091)),VLOOKUP($B1091,AssetCategories!$A:$E,3,0),"")</f>
        <v/>
      </c>
      <c r="EP1091" s="33" t="str">
        <f t="shared" si="33"/>
        <v/>
      </c>
    </row>
    <row r="1092" spans="16:146" x14ac:dyDescent="0.25">
      <c r="P1092" s="33" t="str" cm="1">
        <f t="array" ref="P1092">IFERROR(SUM(VALUE(_xlfn.TEXTSPLIT(O1092, ";"))), "")</f>
        <v/>
      </c>
      <c r="DO1092" t="str">
        <f t="shared" si="32"/>
        <v/>
      </c>
      <c r="EG1092" s="33" t="str">
        <f>IF(NOT(ISBLANK($B1092)),VLOOKUP($B1092,AssetCategories!$A:$E,5,0),"")</f>
        <v/>
      </c>
      <c r="EH1092" t="str">
        <f>IF(NOT(ISBLANK($B1092)),VLOOKUP($B1092,AssetCategories!$A:$E,4,0),"")</f>
        <v/>
      </c>
      <c r="EM1092" t="str">
        <f>IF(NOT(ISBLANK($B1092)),VLOOKUP($B1092,AssetCategories!$A:$E,2,0),"")</f>
        <v/>
      </c>
      <c r="EN1092" t="str">
        <f>IF(NOT(ISBLANK($B1092)),VLOOKUP($B1092,AssetCategories!$A:$E,3,0),"")</f>
        <v/>
      </c>
      <c r="EP1092" s="33" t="str">
        <f t="shared" si="33"/>
        <v/>
      </c>
    </row>
    <row r="1093" spans="16:146" x14ac:dyDescent="0.25">
      <c r="P1093" s="33" t="str" cm="1">
        <f t="array" ref="P1093">IFERROR(SUM(VALUE(_xlfn.TEXTSPLIT(O1093, ";"))), "")</f>
        <v/>
      </c>
      <c r="DO1093" t="str">
        <f t="shared" ref="DO1093:DO1156" si="34">IF(SUM(DE1093:DN1093)=0, "", SUM(DE1093:DN1093))</f>
        <v/>
      </c>
      <c r="EG1093" s="33" t="str">
        <f>IF(NOT(ISBLANK($B1093)),VLOOKUP($B1093,AssetCategories!$A:$E,5,0),"")</f>
        <v/>
      </c>
      <c r="EH1093" t="str">
        <f>IF(NOT(ISBLANK($B1093)),VLOOKUP($B1093,AssetCategories!$A:$E,4,0),"")</f>
        <v/>
      </c>
      <c r="EM1093" t="str">
        <f>IF(NOT(ISBLANK($B1093)),VLOOKUP($B1093,AssetCategories!$A:$E,2,0),"")</f>
        <v/>
      </c>
      <c r="EN1093" t="str">
        <f>IF(NOT(ISBLANK($B1093)),VLOOKUP($B1093,AssetCategories!$A:$E,3,0),"")</f>
        <v/>
      </c>
      <c r="EP1093" s="33" t="str">
        <f t="shared" ref="EP1093:EP1156" si="35">IFERROR(P1093-EO1093, "")</f>
        <v/>
      </c>
    </row>
    <row r="1094" spans="16:146" x14ac:dyDescent="0.25">
      <c r="P1094" s="33" t="str" cm="1">
        <f t="array" ref="P1094">IFERROR(SUM(VALUE(_xlfn.TEXTSPLIT(O1094, ";"))), "")</f>
        <v/>
      </c>
      <c r="DO1094" t="str">
        <f t="shared" si="34"/>
        <v/>
      </c>
      <c r="EG1094" s="33" t="str">
        <f>IF(NOT(ISBLANK($B1094)),VLOOKUP($B1094,AssetCategories!$A:$E,5,0),"")</f>
        <v/>
      </c>
      <c r="EH1094" t="str">
        <f>IF(NOT(ISBLANK($B1094)),VLOOKUP($B1094,AssetCategories!$A:$E,4,0),"")</f>
        <v/>
      </c>
      <c r="EM1094" t="str">
        <f>IF(NOT(ISBLANK($B1094)),VLOOKUP($B1094,AssetCategories!$A:$E,2,0),"")</f>
        <v/>
      </c>
      <c r="EN1094" t="str">
        <f>IF(NOT(ISBLANK($B1094)),VLOOKUP($B1094,AssetCategories!$A:$E,3,0),"")</f>
        <v/>
      </c>
      <c r="EP1094" s="33" t="str">
        <f t="shared" si="35"/>
        <v/>
      </c>
    </row>
    <row r="1095" spans="16:146" x14ac:dyDescent="0.25">
      <c r="P1095" s="33" t="str" cm="1">
        <f t="array" ref="P1095">IFERROR(SUM(VALUE(_xlfn.TEXTSPLIT(O1095, ";"))), "")</f>
        <v/>
      </c>
      <c r="DO1095" t="str">
        <f t="shared" si="34"/>
        <v/>
      </c>
      <c r="EG1095" s="33" t="str">
        <f>IF(NOT(ISBLANK($B1095)),VLOOKUP($B1095,AssetCategories!$A:$E,5,0),"")</f>
        <v/>
      </c>
      <c r="EH1095" t="str">
        <f>IF(NOT(ISBLANK($B1095)),VLOOKUP($B1095,AssetCategories!$A:$E,4,0),"")</f>
        <v/>
      </c>
      <c r="EM1095" t="str">
        <f>IF(NOT(ISBLANK($B1095)),VLOOKUP($B1095,AssetCategories!$A:$E,2,0),"")</f>
        <v/>
      </c>
      <c r="EN1095" t="str">
        <f>IF(NOT(ISBLANK($B1095)),VLOOKUP($B1095,AssetCategories!$A:$E,3,0),"")</f>
        <v/>
      </c>
      <c r="EP1095" s="33" t="str">
        <f t="shared" si="35"/>
        <v/>
      </c>
    </row>
    <row r="1096" spans="16:146" x14ac:dyDescent="0.25">
      <c r="P1096" s="33" t="str" cm="1">
        <f t="array" ref="P1096">IFERROR(SUM(VALUE(_xlfn.TEXTSPLIT(O1096, ";"))), "")</f>
        <v/>
      </c>
      <c r="DO1096" t="str">
        <f t="shared" si="34"/>
        <v/>
      </c>
      <c r="EG1096" s="33" t="str">
        <f>IF(NOT(ISBLANK($B1096)),VLOOKUP($B1096,AssetCategories!$A:$E,5,0),"")</f>
        <v/>
      </c>
      <c r="EH1096" t="str">
        <f>IF(NOT(ISBLANK($B1096)),VLOOKUP($B1096,AssetCategories!$A:$E,4,0),"")</f>
        <v/>
      </c>
      <c r="EM1096" t="str">
        <f>IF(NOT(ISBLANK($B1096)),VLOOKUP($B1096,AssetCategories!$A:$E,2,0),"")</f>
        <v/>
      </c>
      <c r="EN1096" t="str">
        <f>IF(NOT(ISBLANK($B1096)),VLOOKUP($B1096,AssetCategories!$A:$E,3,0),"")</f>
        <v/>
      </c>
      <c r="EP1096" s="33" t="str">
        <f t="shared" si="35"/>
        <v/>
      </c>
    </row>
    <row r="1097" spans="16:146" x14ac:dyDescent="0.25">
      <c r="P1097" s="33" t="str" cm="1">
        <f t="array" ref="P1097">IFERROR(SUM(VALUE(_xlfn.TEXTSPLIT(O1097, ";"))), "")</f>
        <v/>
      </c>
      <c r="DO1097" t="str">
        <f t="shared" si="34"/>
        <v/>
      </c>
      <c r="EG1097" s="33" t="str">
        <f>IF(NOT(ISBLANK($B1097)),VLOOKUP($B1097,AssetCategories!$A:$E,5,0),"")</f>
        <v/>
      </c>
      <c r="EH1097" t="str">
        <f>IF(NOT(ISBLANK($B1097)),VLOOKUP($B1097,AssetCategories!$A:$E,4,0),"")</f>
        <v/>
      </c>
      <c r="EM1097" t="str">
        <f>IF(NOT(ISBLANK($B1097)),VLOOKUP($B1097,AssetCategories!$A:$E,2,0),"")</f>
        <v/>
      </c>
      <c r="EN1097" t="str">
        <f>IF(NOT(ISBLANK($B1097)),VLOOKUP($B1097,AssetCategories!$A:$E,3,0),"")</f>
        <v/>
      </c>
      <c r="EP1097" s="33" t="str">
        <f t="shared" si="35"/>
        <v/>
      </c>
    </row>
    <row r="1098" spans="16:146" x14ac:dyDescent="0.25">
      <c r="P1098" s="33" t="str" cm="1">
        <f t="array" ref="P1098">IFERROR(SUM(VALUE(_xlfn.TEXTSPLIT(O1098, ";"))), "")</f>
        <v/>
      </c>
      <c r="DO1098" t="str">
        <f t="shared" si="34"/>
        <v/>
      </c>
      <c r="EG1098" s="33" t="str">
        <f>IF(NOT(ISBLANK($B1098)),VLOOKUP($B1098,AssetCategories!$A:$E,5,0),"")</f>
        <v/>
      </c>
      <c r="EH1098" t="str">
        <f>IF(NOT(ISBLANK($B1098)),VLOOKUP($B1098,AssetCategories!$A:$E,4,0),"")</f>
        <v/>
      </c>
      <c r="EM1098" t="str">
        <f>IF(NOT(ISBLANK($B1098)),VLOOKUP($B1098,AssetCategories!$A:$E,2,0),"")</f>
        <v/>
      </c>
      <c r="EN1098" t="str">
        <f>IF(NOT(ISBLANK($B1098)),VLOOKUP($B1098,AssetCategories!$A:$E,3,0),"")</f>
        <v/>
      </c>
      <c r="EP1098" s="33" t="str">
        <f t="shared" si="35"/>
        <v/>
      </c>
    </row>
    <row r="1099" spans="16:146" x14ac:dyDescent="0.25">
      <c r="P1099" s="33" t="str" cm="1">
        <f t="array" ref="P1099">IFERROR(SUM(VALUE(_xlfn.TEXTSPLIT(O1099, ";"))), "")</f>
        <v/>
      </c>
      <c r="DO1099" t="str">
        <f t="shared" si="34"/>
        <v/>
      </c>
      <c r="EG1099" s="33" t="str">
        <f>IF(NOT(ISBLANK($B1099)),VLOOKUP($B1099,AssetCategories!$A:$E,5,0),"")</f>
        <v/>
      </c>
      <c r="EH1099" t="str">
        <f>IF(NOT(ISBLANK($B1099)),VLOOKUP($B1099,AssetCategories!$A:$E,4,0),"")</f>
        <v/>
      </c>
      <c r="EM1099" t="str">
        <f>IF(NOT(ISBLANK($B1099)),VLOOKUP($B1099,AssetCategories!$A:$E,2,0),"")</f>
        <v/>
      </c>
      <c r="EN1099" t="str">
        <f>IF(NOT(ISBLANK($B1099)),VLOOKUP($B1099,AssetCategories!$A:$E,3,0),"")</f>
        <v/>
      </c>
      <c r="EP1099" s="33" t="str">
        <f t="shared" si="35"/>
        <v/>
      </c>
    </row>
    <row r="1100" spans="16:146" x14ac:dyDescent="0.25">
      <c r="P1100" s="33" t="str" cm="1">
        <f t="array" ref="P1100">IFERROR(SUM(VALUE(_xlfn.TEXTSPLIT(O1100, ";"))), "")</f>
        <v/>
      </c>
      <c r="DO1100" t="str">
        <f t="shared" si="34"/>
        <v/>
      </c>
      <c r="EG1100" s="33" t="str">
        <f>IF(NOT(ISBLANK($B1100)),VLOOKUP($B1100,AssetCategories!$A:$E,5,0),"")</f>
        <v/>
      </c>
      <c r="EH1100" t="str">
        <f>IF(NOT(ISBLANK($B1100)),VLOOKUP($B1100,AssetCategories!$A:$E,4,0),"")</f>
        <v/>
      </c>
      <c r="EM1100" t="str">
        <f>IF(NOT(ISBLANK($B1100)),VLOOKUP($B1100,AssetCategories!$A:$E,2,0),"")</f>
        <v/>
      </c>
      <c r="EN1100" t="str">
        <f>IF(NOT(ISBLANK($B1100)),VLOOKUP($B1100,AssetCategories!$A:$E,3,0),"")</f>
        <v/>
      </c>
      <c r="EP1100" s="33" t="str">
        <f t="shared" si="35"/>
        <v/>
      </c>
    </row>
    <row r="1101" spans="16:146" x14ac:dyDescent="0.25">
      <c r="P1101" s="33" t="str" cm="1">
        <f t="array" ref="P1101">IFERROR(SUM(VALUE(_xlfn.TEXTSPLIT(O1101, ";"))), "")</f>
        <v/>
      </c>
      <c r="DO1101" t="str">
        <f t="shared" si="34"/>
        <v/>
      </c>
      <c r="EG1101" s="33" t="str">
        <f>IF(NOT(ISBLANK($B1101)),VLOOKUP($B1101,AssetCategories!$A:$E,5,0),"")</f>
        <v/>
      </c>
      <c r="EH1101" t="str">
        <f>IF(NOT(ISBLANK($B1101)),VLOOKUP($B1101,AssetCategories!$A:$E,4,0),"")</f>
        <v/>
      </c>
      <c r="EM1101" t="str">
        <f>IF(NOT(ISBLANK($B1101)),VLOOKUP($B1101,AssetCategories!$A:$E,2,0),"")</f>
        <v/>
      </c>
      <c r="EN1101" t="str">
        <f>IF(NOT(ISBLANK($B1101)),VLOOKUP($B1101,AssetCategories!$A:$E,3,0),"")</f>
        <v/>
      </c>
      <c r="EP1101" s="33" t="str">
        <f t="shared" si="35"/>
        <v/>
      </c>
    </row>
    <row r="1102" spans="16:146" x14ac:dyDescent="0.25">
      <c r="P1102" s="33" t="str" cm="1">
        <f t="array" ref="P1102">IFERROR(SUM(VALUE(_xlfn.TEXTSPLIT(O1102, ";"))), "")</f>
        <v/>
      </c>
      <c r="DO1102" t="str">
        <f t="shared" si="34"/>
        <v/>
      </c>
      <c r="EG1102" s="33" t="str">
        <f>IF(NOT(ISBLANK($B1102)),VLOOKUP($B1102,AssetCategories!$A:$E,5,0),"")</f>
        <v/>
      </c>
      <c r="EH1102" t="str">
        <f>IF(NOT(ISBLANK($B1102)),VLOOKUP($B1102,AssetCategories!$A:$E,4,0),"")</f>
        <v/>
      </c>
      <c r="EM1102" t="str">
        <f>IF(NOT(ISBLANK($B1102)),VLOOKUP($B1102,AssetCategories!$A:$E,2,0),"")</f>
        <v/>
      </c>
      <c r="EN1102" t="str">
        <f>IF(NOT(ISBLANK($B1102)),VLOOKUP($B1102,AssetCategories!$A:$E,3,0),"")</f>
        <v/>
      </c>
      <c r="EP1102" s="33" t="str">
        <f t="shared" si="35"/>
        <v/>
      </c>
    </row>
    <row r="1103" spans="16:146" x14ac:dyDescent="0.25">
      <c r="P1103" s="33" t="str" cm="1">
        <f t="array" ref="P1103">IFERROR(SUM(VALUE(_xlfn.TEXTSPLIT(O1103, ";"))), "")</f>
        <v/>
      </c>
      <c r="DO1103" t="str">
        <f t="shared" si="34"/>
        <v/>
      </c>
      <c r="EG1103" s="33" t="str">
        <f>IF(NOT(ISBLANK($B1103)),VLOOKUP($B1103,AssetCategories!$A:$E,5,0),"")</f>
        <v/>
      </c>
      <c r="EH1103" t="str">
        <f>IF(NOT(ISBLANK($B1103)),VLOOKUP($B1103,AssetCategories!$A:$E,4,0),"")</f>
        <v/>
      </c>
      <c r="EM1103" t="str">
        <f>IF(NOT(ISBLANK($B1103)),VLOOKUP($B1103,AssetCategories!$A:$E,2,0),"")</f>
        <v/>
      </c>
      <c r="EN1103" t="str">
        <f>IF(NOT(ISBLANK($B1103)),VLOOKUP($B1103,AssetCategories!$A:$E,3,0),"")</f>
        <v/>
      </c>
      <c r="EP1103" s="33" t="str">
        <f t="shared" si="35"/>
        <v/>
      </c>
    </row>
    <row r="1104" spans="16:146" x14ac:dyDescent="0.25">
      <c r="P1104" s="33" t="str" cm="1">
        <f t="array" ref="P1104">IFERROR(SUM(VALUE(_xlfn.TEXTSPLIT(O1104, ";"))), "")</f>
        <v/>
      </c>
      <c r="DO1104" t="str">
        <f t="shared" si="34"/>
        <v/>
      </c>
      <c r="EG1104" s="33" t="str">
        <f>IF(NOT(ISBLANK($B1104)),VLOOKUP($B1104,AssetCategories!$A:$E,5,0),"")</f>
        <v/>
      </c>
      <c r="EH1104" t="str">
        <f>IF(NOT(ISBLANK($B1104)),VLOOKUP($B1104,AssetCategories!$A:$E,4,0),"")</f>
        <v/>
      </c>
      <c r="EM1104" t="str">
        <f>IF(NOT(ISBLANK($B1104)),VLOOKUP($B1104,AssetCategories!$A:$E,2,0),"")</f>
        <v/>
      </c>
      <c r="EN1104" t="str">
        <f>IF(NOT(ISBLANK($B1104)),VLOOKUP($B1104,AssetCategories!$A:$E,3,0),"")</f>
        <v/>
      </c>
      <c r="EP1104" s="33" t="str">
        <f t="shared" si="35"/>
        <v/>
      </c>
    </row>
    <row r="1105" spans="16:146" x14ac:dyDescent="0.25">
      <c r="P1105" s="33" t="str" cm="1">
        <f t="array" ref="P1105">IFERROR(SUM(VALUE(_xlfn.TEXTSPLIT(O1105, ";"))), "")</f>
        <v/>
      </c>
      <c r="DO1105" t="str">
        <f t="shared" si="34"/>
        <v/>
      </c>
      <c r="EG1105" s="33" t="str">
        <f>IF(NOT(ISBLANK($B1105)),VLOOKUP($B1105,AssetCategories!$A:$E,5,0),"")</f>
        <v/>
      </c>
      <c r="EH1105" t="str">
        <f>IF(NOT(ISBLANK($B1105)),VLOOKUP($B1105,AssetCategories!$A:$E,4,0),"")</f>
        <v/>
      </c>
      <c r="EM1105" t="str">
        <f>IF(NOT(ISBLANK($B1105)),VLOOKUP($B1105,AssetCategories!$A:$E,2,0),"")</f>
        <v/>
      </c>
      <c r="EN1105" t="str">
        <f>IF(NOT(ISBLANK($B1105)),VLOOKUP($B1105,AssetCategories!$A:$E,3,0),"")</f>
        <v/>
      </c>
      <c r="EP1105" s="33" t="str">
        <f t="shared" si="35"/>
        <v/>
      </c>
    </row>
    <row r="1106" spans="16:146" x14ac:dyDescent="0.25">
      <c r="P1106" s="33" t="str" cm="1">
        <f t="array" ref="P1106">IFERROR(SUM(VALUE(_xlfn.TEXTSPLIT(O1106, ";"))), "")</f>
        <v/>
      </c>
      <c r="DO1106" t="str">
        <f t="shared" si="34"/>
        <v/>
      </c>
      <c r="EG1106" s="33" t="str">
        <f>IF(NOT(ISBLANK($B1106)),VLOOKUP($B1106,AssetCategories!$A:$E,5,0),"")</f>
        <v/>
      </c>
      <c r="EH1106" t="str">
        <f>IF(NOT(ISBLANK($B1106)),VLOOKUP($B1106,AssetCategories!$A:$E,4,0),"")</f>
        <v/>
      </c>
      <c r="EM1106" t="str">
        <f>IF(NOT(ISBLANK($B1106)),VLOOKUP($B1106,AssetCategories!$A:$E,2,0),"")</f>
        <v/>
      </c>
      <c r="EN1106" t="str">
        <f>IF(NOT(ISBLANK($B1106)),VLOOKUP($B1106,AssetCategories!$A:$E,3,0),"")</f>
        <v/>
      </c>
      <c r="EP1106" s="33" t="str">
        <f t="shared" si="35"/>
        <v/>
      </c>
    </row>
    <row r="1107" spans="16:146" x14ac:dyDescent="0.25">
      <c r="P1107" s="33" t="str" cm="1">
        <f t="array" ref="P1107">IFERROR(SUM(VALUE(_xlfn.TEXTSPLIT(O1107, ";"))), "")</f>
        <v/>
      </c>
      <c r="DO1107" t="str">
        <f t="shared" si="34"/>
        <v/>
      </c>
      <c r="EG1107" s="33" t="str">
        <f>IF(NOT(ISBLANK($B1107)),VLOOKUP($B1107,AssetCategories!$A:$E,5,0),"")</f>
        <v/>
      </c>
      <c r="EH1107" t="str">
        <f>IF(NOT(ISBLANK($B1107)),VLOOKUP($B1107,AssetCategories!$A:$E,4,0),"")</f>
        <v/>
      </c>
      <c r="EM1107" t="str">
        <f>IF(NOT(ISBLANK($B1107)),VLOOKUP($B1107,AssetCategories!$A:$E,2,0),"")</f>
        <v/>
      </c>
      <c r="EN1107" t="str">
        <f>IF(NOT(ISBLANK($B1107)),VLOOKUP($B1107,AssetCategories!$A:$E,3,0),"")</f>
        <v/>
      </c>
      <c r="EP1107" s="33" t="str">
        <f t="shared" si="35"/>
        <v/>
      </c>
    </row>
    <row r="1108" spans="16:146" x14ac:dyDescent="0.25">
      <c r="P1108" s="33" t="str" cm="1">
        <f t="array" ref="P1108">IFERROR(SUM(VALUE(_xlfn.TEXTSPLIT(O1108, ";"))), "")</f>
        <v/>
      </c>
      <c r="DO1108" t="str">
        <f t="shared" si="34"/>
        <v/>
      </c>
      <c r="EG1108" s="33" t="str">
        <f>IF(NOT(ISBLANK($B1108)),VLOOKUP($B1108,AssetCategories!$A:$E,5,0),"")</f>
        <v/>
      </c>
      <c r="EH1108" t="str">
        <f>IF(NOT(ISBLANK($B1108)),VLOOKUP($B1108,AssetCategories!$A:$E,4,0),"")</f>
        <v/>
      </c>
      <c r="EM1108" t="str">
        <f>IF(NOT(ISBLANK($B1108)),VLOOKUP($B1108,AssetCategories!$A:$E,2,0),"")</f>
        <v/>
      </c>
      <c r="EN1108" t="str">
        <f>IF(NOT(ISBLANK($B1108)),VLOOKUP($B1108,AssetCategories!$A:$E,3,0),"")</f>
        <v/>
      </c>
      <c r="EP1108" s="33" t="str">
        <f t="shared" si="35"/>
        <v/>
      </c>
    </row>
    <row r="1109" spans="16:146" x14ac:dyDescent="0.25">
      <c r="P1109" s="33" t="str" cm="1">
        <f t="array" ref="P1109">IFERROR(SUM(VALUE(_xlfn.TEXTSPLIT(O1109, ";"))), "")</f>
        <v/>
      </c>
      <c r="DO1109" t="str">
        <f t="shared" si="34"/>
        <v/>
      </c>
      <c r="EG1109" s="33" t="str">
        <f>IF(NOT(ISBLANK($B1109)),VLOOKUP($B1109,AssetCategories!$A:$E,5,0),"")</f>
        <v/>
      </c>
      <c r="EH1109" t="str">
        <f>IF(NOT(ISBLANK($B1109)),VLOOKUP($B1109,AssetCategories!$A:$E,4,0),"")</f>
        <v/>
      </c>
      <c r="EM1109" t="str">
        <f>IF(NOT(ISBLANK($B1109)),VLOOKUP($B1109,AssetCategories!$A:$E,2,0),"")</f>
        <v/>
      </c>
      <c r="EN1109" t="str">
        <f>IF(NOT(ISBLANK($B1109)),VLOOKUP($B1109,AssetCategories!$A:$E,3,0),"")</f>
        <v/>
      </c>
      <c r="EP1109" s="33" t="str">
        <f t="shared" si="35"/>
        <v/>
      </c>
    </row>
    <row r="1110" spans="16:146" x14ac:dyDescent="0.25">
      <c r="P1110" s="33" t="str" cm="1">
        <f t="array" ref="P1110">IFERROR(SUM(VALUE(_xlfn.TEXTSPLIT(O1110, ";"))), "")</f>
        <v/>
      </c>
      <c r="DO1110" t="str">
        <f t="shared" si="34"/>
        <v/>
      </c>
      <c r="EG1110" s="33" t="str">
        <f>IF(NOT(ISBLANK($B1110)),VLOOKUP($B1110,AssetCategories!$A:$E,5,0),"")</f>
        <v/>
      </c>
      <c r="EH1110" t="str">
        <f>IF(NOT(ISBLANK($B1110)),VLOOKUP($B1110,AssetCategories!$A:$E,4,0),"")</f>
        <v/>
      </c>
      <c r="EM1110" t="str">
        <f>IF(NOT(ISBLANK($B1110)),VLOOKUP($B1110,AssetCategories!$A:$E,2,0),"")</f>
        <v/>
      </c>
      <c r="EN1110" t="str">
        <f>IF(NOT(ISBLANK($B1110)),VLOOKUP($B1110,AssetCategories!$A:$E,3,0),"")</f>
        <v/>
      </c>
      <c r="EP1110" s="33" t="str">
        <f t="shared" si="35"/>
        <v/>
      </c>
    </row>
    <row r="1111" spans="16:146" x14ac:dyDescent="0.25">
      <c r="P1111" s="33" t="str" cm="1">
        <f t="array" ref="P1111">IFERROR(SUM(VALUE(_xlfn.TEXTSPLIT(O1111, ";"))), "")</f>
        <v/>
      </c>
      <c r="DO1111" t="str">
        <f t="shared" si="34"/>
        <v/>
      </c>
      <c r="EG1111" s="33" t="str">
        <f>IF(NOT(ISBLANK($B1111)),VLOOKUP($B1111,AssetCategories!$A:$E,5,0),"")</f>
        <v/>
      </c>
      <c r="EH1111" t="str">
        <f>IF(NOT(ISBLANK($B1111)),VLOOKUP($B1111,AssetCategories!$A:$E,4,0),"")</f>
        <v/>
      </c>
      <c r="EM1111" t="str">
        <f>IF(NOT(ISBLANK($B1111)),VLOOKUP($B1111,AssetCategories!$A:$E,2,0),"")</f>
        <v/>
      </c>
      <c r="EN1111" t="str">
        <f>IF(NOT(ISBLANK($B1111)),VLOOKUP($B1111,AssetCategories!$A:$E,3,0),"")</f>
        <v/>
      </c>
      <c r="EP1111" s="33" t="str">
        <f t="shared" si="35"/>
        <v/>
      </c>
    </row>
    <row r="1112" spans="16:146" x14ac:dyDescent="0.25">
      <c r="P1112" s="33" t="str" cm="1">
        <f t="array" ref="P1112">IFERROR(SUM(VALUE(_xlfn.TEXTSPLIT(O1112, ";"))), "")</f>
        <v/>
      </c>
      <c r="DO1112" t="str">
        <f t="shared" si="34"/>
        <v/>
      </c>
      <c r="EG1112" s="33" t="str">
        <f>IF(NOT(ISBLANK($B1112)),VLOOKUP($B1112,AssetCategories!$A:$E,5,0),"")</f>
        <v/>
      </c>
      <c r="EH1112" t="str">
        <f>IF(NOT(ISBLANK($B1112)),VLOOKUP($B1112,AssetCategories!$A:$E,4,0),"")</f>
        <v/>
      </c>
      <c r="EM1112" t="str">
        <f>IF(NOT(ISBLANK($B1112)),VLOOKUP($B1112,AssetCategories!$A:$E,2,0),"")</f>
        <v/>
      </c>
      <c r="EN1112" t="str">
        <f>IF(NOT(ISBLANK($B1112)),VLOOKUP($B1112,AssetCategories!$A:$E,3,0),"")</f>
        <v/>
      </c>
      <c r="EP1112" s="33" t="str">
        <f t="shared" si="35"/>
        <v/>
      </c>
    </row>
    <row r="1113" spans="16:146" x14ac:dyDescent="0.25">
      <c r="P1113" s="33" t="str" cm="1">
        <f t="array" ref="P1113">IFERROR(SUM(VALUE(_xlfn.TEXTSPLIT(O1113, ";"))), "")</f>
        <v/>
      </c>
      <c r="DO1113" t="str">
        <f t="shared" si="34"/>
        <v/>
      </c>
      <c r="EG1113" s="33" t="str">
        <f>IF(NOT(ISBLANK($B1113)),VLOOKUP($B1113,AssetCategories!$A:$E,5,0),"")</f>
        <v/>
      </c>
      <c r="EH1113" t="str">
        <f>IF(NOT(ISBLANK($B1113)),VLOOKUP($B1113,AssetCategories!$A:$E,4,0),"")</f>
        <v/>
      </c>
      <c r="EM1113" t="str">
        <f>IF(NOT(ISBLANK($B1113)),VLOOKUP($B1113,AssetCategories!$A:$E,2,0),"")</f>
        <v/>
      </c>
      <c r="EN1113" t="str">
        <f>IF(NOT(ISBLANK($B1113)),VLOOKUP($B1113,AssetCategories!$A:$E,3,0),"")</f>
        <v/>
      </c>
      <c r="EP1113" s="33" t="str">
        <f t="shared" si="35"/>
        <v/>
      </c>
    </row>
    <row r="1114" spans="16:146" x14ac:dyDescent="0.25">
      <c r="P1114" s="33" t="str" cm="1">
        <f t="array" ref="P1114">IFERROR(SUM(VALUE(_xlfn.TEXTSPLIT(O1114, ";"))), "")</f>
        <v/>
      </c>
      <c r="DO1114" t="str">
        <f t="shared" si="34"/>
        <v/>
      </c>
      <c r="EG1114" s="33" t="str">
        <f>IF(NOT(ISBLANK($B1114)),VLOOKUP($B1114,AssetCategories!$A:$E,5,0),"")</f>
        <v/>
      </c>
      <c r="EH1114" t="str">
        <f>IF(NOT(ISBLANK($B1114)),VLOOKUP($B1114,AssetCategories!$A:$E,4,0),"")</f>
        <v/>
      </c>
      <c r="EM1114" t="str">
        <f>IF(NOT(ISBLANK($B1114)),VLOOKUP($B1114,AssetCategories!$A:$E,2,0),"")</f>
        <v/>
      </c>
      <c r="EN1114" t="str">
        <f>IF(NOT(ISBLANK($B1114)),VLOOKUP($B1114,AssetCategories!$A:$E,3,0),"")</f>
        <v/>
      </c>
      <c r="EP1114" s="33" t="str">
        <f t="shared" si="35"/>
        <v/>
      </c>
    </row>
    <row r="1115" spans="16:146" x14ac:dyDescent="0.25">
      <c r="P1115" s="33" t="str" cm="1">
        <f t="array" ref="P1115">IFERROR(SUM(VALUE(_xlfn.TEXTSPLIT(O1115, ";"))), "")</f>
        <v/>
      </c>
      <c r="DO1115" t="str">
        <f t="shared" si="34"/>
        <v/>
      </c>
      <c r="EG1115" s="33" t="str">
        <f>IF(NOT(ISBLANK($B1115)),VLOOKUP($B1115,AssetCategories!$A:$E,5,0),"")</f>
        <v/>
      </c>
      <c r="EH1115" t="str">
        <f>IF(NOT(ISBLANK($B1115)),VLOOKUP($B1115,AssetCategories!$A:$E,4,0),"")</f>
        <v/>
      </c>
      <c r="EM1115" t="str">
        <f>IF(NOT(ISBLANK($B1115)),VLOOKUP($B1115,AssetCategories!$A:$E,2,0),"")</f>
        <v/>
      </c>
      <c r="EN1115" t="str">
        <f>IF(NOT(ISBLANK($B1115)),VLOOKUP($B1115,AssetCategories!$A:$E,3,0),"")</f>
        <v/>
      </c>
      <c r="EP1115" s="33" t="str">
        <f t="shared" si="35"/>
        <v/>
      </c>
    </row>
    <row r="1116" spans="16:146" x14ac:dyDescent="0.25">
      <c r="P1116" s="33" t="str" cm="1">
        <f t="array" ref="P1116">IFERROR(SUM(VALUE(_xlfn.TEXTSPLIT(O1116, ";"))), "")</f>
        <v/>
      </c>
      <c r="DO1116" t="str">
        <f t="shared" si="34"/>
        <v/>
      </c>
      <c r="EG1116" s="33" t="str">
        <f>IF(NOT(ISBLANK($B1116)),VLOOKUP($B1116,AssetCategories!$A:$E,5,0),"")</f>
        <v/>
      </c>
      <c r="EH1116" t="str">
        <f>IF(NOT(ISBLANK($B1116)),VLOOKUP($B1116,AssetCategories!$A:$E,4,0),"")</f>
        <v/>
      </c>
      <c r="EM1116" t="str">
        <f>IF(NOT(ISBLANK($B1116)),VLOOKUP($B1116,AssetCategories!$A:$E,2,0),"")</f>
        <v/>
      </c>
      <c r="EN1116" t="str">
        <f>IF(NOT(ISBLANK($B1116)),VLOOKUP($B1116,AssetCategories!$A:$E,3,0),"")</f>
        <v/>
      </c>
      <c r="EP1116" s="33" t="str">
        <f t="shared" si="35"/>
        <v/>
      </c>
    </row>
    <row r="1117" spans="16:146" x14ac:dyDescent="0.25">
      <c r="P1117" s="33" t="str" cm="1">
        <f t="array" ref="P1117">IFERROR(SUM(VALUE(_xlfn.TEXTSPLIT(O1117, ";"))), "")</f>
        <v/>
      </c>
      <c r="DO1117" t="str">
        <f t="shared" si="34"/>
        <v/>
      </c>
      <c r="EG1117" s="33" t="str">
        <f>IF(NOT(ISBLANK($B1117)),VLOOKUP($B1117,AssetCategories!$A:$E,5,0),"")</f>
        <v/>
      </c>
      <c r="EH1117" t="str">
        <f>IF(NOT(ISBLANK($B1117)),VLOOKUP($B1117,AssetCategories!$A:$E,4,0),"")</f>
        <v/>
      </c>
      <c r="EM1117" t="str">
        <f>IF(NOT(ISBLANK($B1117)),VLOOKUP($B1117,AssetCategories!$A:$E,2,0),"")</f>
        <v/>
      </c>
      <c r="EN1117" t="str">
        <f>IF(NOT(ISBLANK($B1117)),VLOOKUP($B1117,AssetCategories!$A:$E,3,0),"")</f>
        <v/>
      </c>
      <c r="EP1117" s="33" t="str">
        <f t="shared" si="35"/>
        <v/>
      </c>
    </row>
    <row r="1118" spans="16:146" x14ac:dyDescent="0.25">
      <c r="P1118" s="33" t="str" cm="1">
        <f t="array" ref="P1118">IFERROR(SUM(VALUE(_xlfn.TEXTSPLIT(O1118, ";"))), "")</f>
        <v/>
      </c>
      <c r="DO1118" t="str">
        <f t="shared" si="34"/>
        <v/>
      </c>
      <c r="EG1118" s="33" t="str">
        <f>IF(NOT(ISBLANK($B1118)),VLOOKUP($B1118,AssetCategories!$A:$E,5,0),"")</f>
        <v/>
      </c>
      <c r="EH1118" t="str">
        <f>IF(NOT(ISBLANK($B1118)),VLOOKUP($B1118,AssetCategories!$A:$E,4,0),"")</f>
        <v/>
      </c>
      <c r="EM1118" t="str">
        <f>IF(NOT(ISBLANK($B1118)),VLOOKUP($B1118,AssetCategories!$A:$E,2,0),"")</f>
        <v/>
      </c>
      <c r="EN1118" t="str">
        <f>IF(NOT(ISBLANK($B1118)),VLOOKUP($B1118,AssetCategories!$A:$E,3,0),"")</f>
        <v/>
      </c>
      <c r="EP1118" s="33" t="str">
        <f t="shared" si="35"/>
        <v/>
      </c>
    </row>
    <row r="1119" spans="16:146" x14ac:dyDescent="0.25">
      <c r="P1119" s="33" t="str" cm="1">
        <f t="array" ref="P1119">IFERROR(SUM(VALUE(_xlfn.TEXTSPLIT(O1119, ";"))), "")</f>
        <v/>
      </c>
      <c r="DO1119" t="str">
        <f t="shared" si="34"/>
        <v/>
      </c>
      <c r="EG1119" s="33" t="str">
        <f>IF(NOT(ISBLANK($B1119)),VLOOKUP($B1119,AssetCategories!$A:$E,5,0),"")</f>
        <v/>
      </c>
      <c r="EH1119" t="str">
        <f>IF(NOT(ISBLANK($B1119)),VLOOKUP($B1119,AssetCategories!$A:$E,4,0),"")</f>
        <v/>
      </c>
      <c r="EM1119" t="str">
        <f>IF(NOT(ISBLANK($B1119)),VLOOKUP($B1119,AssetCategories!$A:$E,2,0),"")</f>
        <v/>
      </c>
      <c r="EN1119" t="str">
        <f>IF(NOT(ISBLANK($B1119)),VLOOKUP($B1119,AssetCategories!$A:$E,3,0),"")</f>
        <v/>
      </c>
      <c r="EP1119" s="33" t="str">
        <f t="shared" si="35"/>
        <v/>
      </c>
    </row>
    <row r="1120" spans="16:146" x14ac:dyDescent="0.25">
      <c r="P1120" s="33" t="str" cm="1">
        <f t="array" ref="P1120">IFERROR(SUM(VALUE(_xlfn.TEXTSPLIT(O1120, ";"))), "")</f>
        <v/>
      </c>
      <c r="DO1120" t="str">
        <f t="shared" si="34"/>
        <v/>
      </c>
      <c r="EG1120" s="33" t="str">
        <f>IF(NOT(ISBLANK($B1120)),VLOOKUP($B1120,AssetCategories!$A:$E,5,0),"")</f>
        <v/>
      </c>
      <c r="EH1120" t="str">
        <f>IF(NOT(ISBLANK($B1120)),VLOOKUP($B1120,AssetCategories!$A:$E,4,0),"")</f>
        <v/>
      </c>
      <c r="EM1120" t="str">
        <f>IF(NOT(ISBLANK($B1120)),VLOOKUP($B1120,AssetCategories!$A:$E,2,0),"")</f>
        <v/>
      </c>
      <c r="EN1120" t="str">
        <f>IF(NOT(ISBLANK($B1120)),VLOOKUP($B1120,AssetCategories!$A:$E,3,0),"")</f>
        <v/>
      </c>
      <c r="EP1120" s="33" t="str">
        <f t="shared" si="35"/>
        <v/>
      </c>
    </row>
    <row r="1121" spans="16:146" x14ac:dyDescent="0.25">
      <c r="P1121" s="33" t="str" cm="1">
        <f t="array" ref="P1121">IFERROR(SUM(VALUE(_xlfn.TEXTSPLIT(O1121, ";"))), "")</f>
        <v/>
      </c>
      <c r="DO1121" t="str">
        <f t="shared" si="34"/>
        <v/>
      </c>
      <c r="EG1121" s="33" t="str">
        <f>IF(NOT(ISBLANK($B1121)),VLOOKUP($B1121,AssetCategories!$A:$E,5,0),"")</f>
        <v/>
      </c>
      <c r="EH1121" t="str">
        <f>IF(NOT(ISBLANK($B1121)),VLOOKUP($B1121,AssetCategories!$A:$E,4,0),"")</f>
        <v/>
      </c>
      <c r="EM1121" t="str">
        <f>IF(NOT(ISBLANK($B1121)),VLOOKUP($B1121,AssetCategories!$A:$E,2,0),"")</f>
        <v/>
      </c>
      <c r="EN1121" t="str">
        <f>IF(NOT(ISBLANK($B1121)),VLOOKUP($B1121,AssetCategories!$A:$E,3,0),"")</f>
        <v/>
      </c>
      <c r="EP1121" s="33" t="str">
        <f t="shared" si="35"/>
        <v/>
      </c>
    </row>
    <row r="1122" spans="16:146" x14ac:dyDescent="0.25">
      <c r="P1122" s="33" t="str" cm="1">
        <f t="array" ref="P1122">IFERROR(SUM(VALUE(_xlfn.TEXTSPLIT(O1122, ";"))), "")</f>
        <v/>
      </c>
      <c r="DO1122" t="str">
        <f t="shared" si="34"/>
        <v/>
      </c>
      <c r="EG1122" s="33" t="str">
        <f>IF(NOT(ISBLANK($B1122)),VLOOKUP($B1122,AssetCategories!$A:$E,5,0),"")</f>
        <v/>
      </c>
      <c r="EH1122" t="str">
        <f>IF(NOT(ISBLANK($B1122)),VLOOKUP($B1122,AssetCategories!$A:$E,4,0),"")</f>
        <v/>
      </c>
      <c r="EM1122" t="str">
        <f>IF(NOT(ISBLANK($B1122)),VLOOKUP($B1122,AssetCategories!$A:$E,2,0),"")</f>
        <v/>
      </c>
      <c r="EN1122" t="str">
        <f>IF(NOT(ISBLANK($B1122)),VLOOKUP($B1122,AssetCategories!$A:$E,3,0),"")</f>
        <v/>
      </c>
      <c r="EP1122" s="33" t="str">
        <f t="shared" si="35"/>
        <v/>
      </c>
    </row>
    <row r="1123" spans="16:146" x14ac:dyDescent="0.25">
      <c r="P1123" s="33" t="str" cm="1">
        <f t="array" ref="P1123">IFERROR(SUM(VALUE(_xlfn.TEXTSPLIT(O1123, ";"))), "")</f>
        <v/>
      </c>
      <c r="DO1123" t="str">
        <f t="shared" si="34"/>
        <v/>
      </c>
      <c r="EG1123" s="33" t="str">
        <f>IF(NOT(ISBLANK($B1123)),VLOOKUP($B1123,AssetCategories!$A:$E,5,0),"")</f>
        <v/>
      </c>
      <c r="EH1123" t="str">
        <f>IF(NOT(ISBLANK($B1123)),VLOOKUP($B1123,AssetCategories!$A:$E,4,0),"")</f>
        <v/>
      </c>
      <c r="EM1123" t="str">
        <f>IF(NOT(ISBLANK($B1123)),VLOOKUP($B1123,AssetCategories!$A:$E,2,0),"")</f>
        <v/>
      </c>
      <c r="EN1123" t="str">
        <f>IF(NOT(ISBLANK($B1123)),VLOOKUP($B1123,AssetCategories!$A:$E,3,0),"")</f>
        <v/>
      </c>
      <c r="EP1123" s="33" t="str">
        <f t="shared" si="35"/>
        <v/>
      </c>
    </row>
    <row r="1124" spans="16:146" x14ac:dyDescent="0.25">
      <c r="P1124" s="33" t="str" cm="1">
        <f t="array" ref="P1124">IFERROR(SUM(VALUE(_xlfn.TEXTSPLIT(O1124, ";"))), "")</f>
        <v/>
      </c>
      <c r="DO1124" t="str">
        <f t="shared" si="34"/>
        <v/>
      </c>
      <c r="EG1124" s="33" t="str">
        <f>IF(NOT(ISBLANK($B1124)),VLOOKUP($B1124,AssetCategories!$A:$E,5,0),"")</f>
        <v/>
      </c>
      <c r="EH1124" t="str">
        <f>IF(NOT(ISBLANK($B1124)),VLOOKUP($B1124,AssetCategories!$A:$E,4,0),"")</f>
        <v/>
      </c>
      <c r="EM1124" t="str">
        <f>IF(NOT(ISBLANK($B1124)),VLOOKUP($B1124,AssetCategories!$A:$E,2,0),"")</f>
        <v/>
      </c>
      <c r="EN1124" t="str">
        <f>IF(NOT(ISBLANK($B1124)),VLOOKUP($B1124,AssetCategories!$A:$E,3,0),"")</f>
        <v/>
      </c>
      <c r="EP1124" s="33" t="str">
        <f t="shared" si="35"/>
        <v/>
      </c>
    </row>
    <row r="1125" spans="16:146" x14ac:dyDescent="0.25">
      <c r="P1125" s="33" t="str" cm="1">
        <f t="array" ref="P1125">IFERROR(SUM(VALUE(_xlfn.TEXTSPLIT(O1125, ";"))), "")</f>
        <v/>
      </c>
      <c r="DO1125" t="str">
        <f t="shared" si="34"/>
        <v/>
      </c>
      <c r="EG1125" s="33" t="str">
        <f>IF(NOT(ISBLANK($B1125)),VLOOKUP($B1125,AssetCategories!$A:$E,5,0),"")</f>
        <v/>
      </c>
      <c r="EH1125" t="str">
        <f>IF(NOT(ISBLANK($B1125)),VLOOKUP($B1125,AssetCategories!$A:$E,4,0),"")</f>
        <v/>
      </c>
      <c r="EM1125" t="str">
        <f>IF(NOT(ISBLANK($B1125)),VLOOKUP($B1125,AssetCategories!$A:$E,2,0),"")</f>
        <v/>
      </c>
      <c r="EN1125" t="str">
        <f>IF(NOT(ISBLANK($B1125)),VLOOKUP($B1125,AssetCategories!$A:$E,3,0),"")</f>
        <v/>
      </c>
      <c r="EP1125" s="33" t="str">
        <f t="shared" si="35"/>
        <v/>
      </c>
    </row>
    <row r="1126" spans="16:146" x14ac:dyDescent="0.25">
      <c r="P1126" s="33" t="str" cm="1">
        <f t="array" ref="P1126">IFERROR(SUM(VALUE(_xlfn.TEXTSPLIT(O1126, ";"))), "")</f>
        <v/>
      </c>
      <c r="DO1126" t="str">
        <f t="shared" si="34"/>
        <v/>
      </c>
      <c r="EG1126" s="33" t="str">
        <f>IF(NOT(ISBLANK($B1126)),VLOOKUP($B1126,AssetCategories!$A:$E,5,0),"")</f>
        <v/>
      </c>
      <c r="EH1126" t="str">
        <f>IF(NOT(ISBLANK($B1126)),VLOOKUP($B1126,AssetCategories!$A:$E,4,0),"")</f>
        <v/>
      </c>
      <c r="EM1126" t="str">
        <f>IF(NOT(ISBLANK($B1126)),VLOOKUP($B1126,AssetCategories!$A:$E,2,0),"")</f>
        <v/>
      </c>
      <c r="EN1126" t="str">
        <f>IF(NOT(ISBLANK($B1126)),VLOOKUP($B1126,AssetCategories!$A:$E,3,0),"")</f>
        <v/>
      </c>
      <c r="EP1126" s="33" t="str">
        <f t="shared" si="35"/>
        <v/>
      </c>
    </row>
    <row r="1127" spans="16:146" x14ac:dyDescent="0.25">
      <c r="P1127" s="33" t="str" cm="1">
        <f t="array" ref="P1127">IFERROR(SUM(VALUE(_xlfn.TEXTSPLIT(O1127, ";"))), "")</f>
        <v/>
      </c>
      <c r="DO1127" t="str">
        <f t="shared" si="34"/>
        <v/>
      </c>
      <c r="EG1127" s="33" t="str">
        <f>IF(NOT(ISBLANK($B1127)),VLOOKUP($B1127,AssetCategories!$A:$E,5,0),"")</f>
        <v/>
      </c>
      <c r="EH1127" t="str">
        <f>IF(NOT(ISBLANK($B1127)),VLOOKUP($B1127,AssetCategories!$A:$E,4,0),"")</f>
        <v/>
      </c>
      <c r="EM1127" t="str">
        <f>IF(NOT(ISBLANK($B1127)),VLOOKUP($B1127,AssetCategories!$A:$E,2,0),"")</f>
        <v/>
      </c>
      <c r="EN1127" t="str">
        <f>IF(NOT(ISBLANK($B1127)),VLOOKUP($B1127,AssetCategories!$A:$E,3,0),"")</f>
        <v/>
      </c>
      <c r="EP1127" s="33" t="str">
        <f t="shared" si="35"/>
        <v/>
      </c>
    </row>
    <row r="1128" spans="16:146" x14ac:dyDescent="0.25">
      <c r="P1128" s="33" t="str" cm="1">
        <f t="array" ref="P1128">IFERROR(SUM(VALUE(_xlfn.TEXTSPLIT(O1128, ";"))), "")</f>
        <v/>
      </c>
      <c r="DO1128" t="str">
        <f t="shared" si="34"/>
        <v/>
      </c>
      <c r="EG1128" s="33" t="str">
        <f>IF(NOT(ISBLANK($B1128)),VLOOKUP($B1128,AssetCategories!$A:$E,5,0),"")</f>
        <v/>
      </c>
      <c r="EH1128" t="str">
        <f>IF(NOT(ISBLANK($B1128)),VLOOKUP($B1128,AssetCategories!$A:$E,4,0),"")</f>
        <v/>
      </c>
      <c r="EM1128" t="str">
        <f>IF(NOT(ISBLANK($B1128)),VLOOKUP($B1128,AssetCategories!$A:$E,2,0),"")</f>
        <v/>
      </c>
      <c r="EN1128" t="str">
        <f>IF(NOT(ISBLANK($B1128)),VLOOKUP($B1128,AssetCategories!$A:$E,3,0),"")</f>
        <v/>
      </c>
      <c r="EP1128" s="33" t="str">
        <f t="shared" si="35"/>
        <v/>
      </c>
    </row>
    <row r="1129" spans="16:146" x14ac:dyDescent="0.25">
      <c r="P1129" s="33" t="str" cm="1">
        <f t="array" ref="P1129">IFERROR(SUM(VALUE(_xlfn.TEXTSPLIT(O1129, ";"))), "")</f>
        <v/>
      </c>
      <c r="DO1129" t="str">
        <f t="shared" si="34"/>
        <v/>
      </c>
      <c r="EG1129" s="33" t="str">
        <f>IF(NOT(ISBLANK($B1129)),VLOOKUP($B1129,AssetCategories!$A:$E,5,0),"")</f>
        <v/>
      </c>
      <c r="EH1129" t="str">
        <f>IF(NOT(ISBLANK($B1129)),VLOOKUP($B1129,AssetCategories!$A:$E,4,0),"")</f>
        <v/>
      </c>
      <c r="EM1129" t="str">
        <f>IF(NOT(ISBLANK($B1129)),VLOOKUP($B1129,AssetCategories!$A:$E,2,0),"")</f>
        <v/>
      </c>
      <c r="EN1129" t="str">
        <f>IF(NOT(ISBLANK($B1129)),VLOOKUP($B1129,AssetCategories!$A:$E,3,0),"")</f>
        <v/>
      </c>
      <c r="EP1129" s="33" t="str">
        <f t="shared" si="35"/>
        <v/>
      </c>
    </row>
    <row r="1130" spans="16:146" x14ac:dyDescent="0.25">
      <c r="P1130" s="33" t="str" cm="1">
        <f t="array" ref="P1130">IFERROR(SUM(VALUE(_xlfn.TEXTSPLIT(O1130, ";"))), "")</f>
        <v/>
      </c>
      <c r="DO1130" t="str">
        <f t="shared" si="34"/>
        <v/>
      </c>
      <c r="EG1130" s="33" t="str">
        <f>IF(NOT(ISBLANK($B1130)),VLOOKUP($B1130,AssetCategories!$A:$E,5,0),"")</f>
        <v/>
      </c>
      <c r="EH1130" t="str">
        <f>IF(NOT(ISBLANK($B1130)),VLOOKUP($B1130,AssetCategories!$A:$E,4,0),"")</f>
        <v/>
      </c>
      <c r="EM1130" t="str">
        <f>IF(NOT(ISBLANK($B1130)),VLOOKUP($B1130,AssetCategories!$A:$E,2,0),"")</f>
        <v/>
      </c>
      <c r="EN1130" t="str">
        <f>IF(NOT(ISBLANK($B1130)),VLOOKUP($B1130,AssetCategories!$A:$E,3,0),"")</f>
        <v/>
      </c>
      <c r="EP1130" s="33" t="str">
        <f t="shared" si="35"/>
        <v/>
      </c>
    </row>
    <row r="1131" spans="16:146" x14ac:dyDescent="0.25">
      <c r="P1131" s="33" t="str" cm="1">
        <f t="array" ref="P1131">IFERROR(SUM(VALUE(_xlfn.TEXTSPLIT(O1131, ";"))), "")</f>
        <v/>
      </c>
      <c r="DO1131" t="str">
        <f t="shared" si="34"/>
        <v/>
      </c>
      <c r="EG1131" s="33" t="str">
        <f>IF(NOT(ISBLANK($B1131)),VLOOKUP($B1131,AssetCategories!$A:$E,5,0),"")</f>
        <v/>
      </c>
      <c r="EH1131" t="str">
        <f>IF(NOT(ISBLANK($B1131)),VLOOKUP($B1131,AssetCategories!$A:$E,4,0),"")</f>
        <v/>
      </c>
      <c r="EM1131" t="str">
        <f>IF(NOT(ISBLANK($B1131)),VLOOKUP($B1131,AssetCategories!$A:$E,2,0),"")</f>
        <v/>
      </c>
      <c r="EN1131" t="str">
        <f>IF(NOT(ISBLANK($B1131)),VLOOKUP($B1131,AssetCategories!$A:$E,3,0),"")</f>
        <v/>
      </c>
      <c r="EP1131" s="33" t="str">
        <f t="shared" si="35"/>
        <v/>
      </c>
    </row>
    <row r="1132" spans="16:146" x14ac:dyDescent="0.25">
      <c r="P1132" s="33" t="str" cm="1">
        <f t="array" ref="P1132">IFERROR(SUM(VALUE(_xlfn.TEXTSPLIT(O1132, ";"))), "")</f>
        <v/>
      </c>
      <c r="DO1132" t="str">
        <f t="shared" si="34"/>
        <v/>
      </c>
      <c r="EG1132" s="33" t="str">
        <f>IF(NOT(ISBLANK($B1132)),VLOOKUP($B1132,AssetCategories!$A:$E,5,0),"")</f>
        <v/>
      </c>
      <c r="EH1132" t="str">
        <f>IF(NOT(ISBLANK($B1132)),VLOOKUP($B1132,AssetCategories!$A:$E,4,0),"")</f>
        <v/>
      </c>
      <c r="EM1132" t="str">
        <f>IF(NOT(ISBLANK($B1132)),VLOOKUP($B1132,AssetCategories!$A:$E,2,0),"")</f>
        <v/>
      </c>
      <c r="EN1132" t="str">
        <f>IF(NOT(ISBLANK($B1132)),VLOOKUP($B1132,AssetCategories!$A:$E,3,0),"")</f>
        <v/>
      </c>
      <c r="EP1132" s="33" t="str">
        <f t="shared" si="35"/>
        <v/>
      </c>
    </row>
    <row r="1133" spans="16:146" x14ac:dyDescent="0.25">
      <c r="P1133" s="33" t="str" cm="1">
        <f t="array" ref="P1133">IFERROR(SUM(VALUE(_xlfn.TEXTSPLIT(O1133, ";"))), "")</f>
        <v/>
      </c>
      <c r="DO1133" t="str">
        <f t="shared" si="34"/>
        <v/>
      </c>
      <c r="EG1133" s="33" t="str">
        <f>IF(NOT(ISBLANK($B1133)),VLOOKUP($B1133,AssetCategories!$A:$E,5,0),"")</f>
        <v/>
      </c>
      <c r="EH1133" t="str">
        <f>IF(NOT(ISBLANK($B1133)),VLOOKUP($B1133,AssetCategories!$A:$E,4,0),"")</f>
        <v/>
      </c>
      <c r="EM1133" t="str">
        <f>IF(NOT(ISBLANK($B1133)),VLOOKUP($B1133,AssetCategories!$A:$E,2,0),"")</f>
        <v/>
      </c>
      <c r="EN1133" t="str">
        <f>IF(NOT(ISBLANK($B1133)),VLOOKUP($B1133,AssetCategories!$A:$E,3,0),"")</f>
        <v/>
      </c>
      <c r="EP1133" s="33" t="str">
        <f t="shared" si="35"/>
        <v/>
      </c>
    </row>
    <row r="1134" spans="16:146" x14ac:dyDescent="0.25">
      <c r="P1134" s="33" t="str" cm="1">
        <f t="array" ref="P1134">IFERROR(SUM(VALUE(_xlfn.TEXTSPLIT(O1134, ";"))), "")</f>
        <v/>
      </c>
      <c r="DO1134" t="str">
        <f t="shared" si="34"/>
        <v/>
      </c>
      <c r="EG1134" s="33" t="str">
        <f>IF(NOT(ISBLANK($B1134)),VLOOKUP($B1134,AssetCategories!$A:$E,5,0),"")</f>
        <v/>
      </c>
      <c r="EH1134" t="str">
        <f>IF(NOT(ISBLANK($B1134)),VLOOKUP($B1134,AssetCategories!$A:$E,4,0),"")</f>
        <v/>
      </c>
      <c r="EM1134" t="str">
        <f>IF(NOT(ISBLANK($B1134)),VLOOKUP($B1134,AssetCategories!$A:$E,2,0),"")</f>
        <v/>
      </c>
      <c r="EN1134" t="str">
        <f>IF(NOT(ISBLANK($B1134)),VLOOKUP($B1134,AssetCategories!$A:$E,3,0),"")</f>
        <v/>
      </c>
      <c r="EP1134" s="33" t="str">
        <f t="shared" si="35"/>
        <v/>
      </c>
    </row>
    <row r="1135" spans="16:146" x14ac:dyDescent="0.25">
      <c r="P1135" s="33" t="str" cm="1">
        <f t="array" ref="P1135">IFERROR(SUM(VALUE(_xlfn.TEXTSPLIT(O1135, ";"))), "")</f>
        <v/>
      </c>
      <c r="DO1135" t="str">
        <f t="shared" si="34"/>
        <v/>
      </c>
      <c r="EG1135" s="33" t="str">
        <f>IF(NOT(ISBLANK($B1135)),VLOOKUP($B1135,AssetCategories!$A:$E,5,0),"")</f>
        <v/>
      </c>
      <c r="EH1135" t="str">
        <f>IF(NOT(ISBLANK($B1135)),VLOOKUP($B1135,AssetCategories!$A:$E,4,0),"")</f>
        <v/>
      </c>
      <c r="EM1135" t="str">
        <f>IF(NOT(ISBLANK($B1135)),VLOOKUP($B1135,AssetCategories!$A:$E,2,0),"")</f>
        <v/>
      </c>
      <c r="EN1135" t="str">
        <f>IF(NOT(ISBLANK($B1135)),VLOOKUP($B1135,AssetCategories!$A:$E,3,0),"")</f>
        <v/>
      </c>
      <c r="EP1135" s="33" t="str">
        <f t="shared" si="35"/>
        <v/>
      </c>
    </row>
    <row r="1136" spans="16:146" x14ac:dyDescent="0.25">
      <c r="P1136" s="33" t="str" cm="1">
        <f t="array" ref="P1136">IFERROR(SUM(VALUE(_xlfn.TEXTSPLIT(O1136, ";"))), "")</f>
        <v/>
      </c>
      <c r="DO1136" t="str">
        <f t="shared" si="34"/>
        <v/>
      </c>
      <c r="EG1136" s="33" t="str">
        <f>IF(NOT(ISBLANK($B1136)),VLOOKUP($B1136,AssetCategories!$A:$E,5,0),"")</f>
        <v/>
      </c>
      <c r="EH1136" t="str">
        <f>IF(NOT(ISBLANK($B1136)),VLOOKUP($B1136,AssetCategories!$A:$E,4,0),"")</f>
        <v/>
      </c>
      <c r="EM1136" t="str">
        <f>IF(NOT(ISBLANK($B1136)),VLOOKUP($B1136,AssetCategories!$A:$E,2,0),"")</f>
        <v/>
      </c>
      <c r="EN1136" t="str">
        <f>IF(NOT(ISBLANK($B1136)),VLOOKUP($B1136,AssetCategories!$A:$E,3,0),"")</f>
        <v/>
      </c>
      <c r="EP1136" s="33" t="str">
        <f t="shared" si="35"/>
        <v/>
      </c>
    </row>
    <row r="1137" spans="16:146" x14ac:dyDescent="0.25">
      <c r="P1137" s="33" t="str" cm="1">
        <f t="array" ref="P1137">IFERROR(SUM(VALUE(_xlfn.TEXTSPLIT(O1137, ";"))), "")</f>
        <v/>
      </c>
      <c r="DO1137" t="str">
        <f t="shared" si="34"/>
        <v/>
      </c>
      <c r="EG1137" s="33" t="str">
        <f>IF(NOT(ISBLANK($B1137)),VLOOKUP($B1137,AssetCategories!$A:$E,5,0),"")</f>
        <v/>
      </c>
      <c r="EH1137" t="str">
        <f>IF(NOT(ISBLANK($B1137)),VLOOKUP($B1137,AssetCategories!$A:$E,4,0),"")</f>
        <v/>
      </c>
      <c r="EM1137" t="str">
        <f>IF(NOT(ISBLANK($B1137)),VLOOKUP($B1137,AssetCategories!$A:$E,2,0),"")</f>
        <v/>
      </c>
      <c r="EN1137" t="str">
        <f>IF(NOT(ISBLANK($B1137)),VLOOKUP($B1137,AssetCategories!$A:$E,3,0),"")</f>
        <v/>
      </c>
      <c r="EP1137" s="33" t="str">
        <f t="shared" si="35"/>
        <v/>
      </c>
    </row>
    <row r="1138" spans="16:146" x14ac:dyDescent="0.25">
      <c r="P1138" s="33" t="str" cm="1">
        <f t="array" ref="P1138">IFERROR(SUM(VALUE(_xlfn.TEXTSPLIT(O1138, ";"))), "")</f>
        <v/>
      </c>
      <c r="DO1138" t="str">
        <f t="shared" si="34"/>
        <v/>
      </c>
      <c r="EG1138" s="33" t="str">
        <f>IF(NOT(ISBLANK($B1138)),VLOOKUP($B1138,AssetCategories!$A:$E,5,0),"")</f>
        <v/>
      </c>
      <c r="EH1138" t="str">
        <f>IF(NOT(ISBLANK($B1138)),VLOOKUP($B1138,AssetCategories!$A:$E,4,0),"")</f>
        <v/>
      </c>
      <c r="EM1138" t="str">
        <f>IF(NOT(ISBLANK($B1138)),VLOOKUP($B1138,AssetCategories!$A:$E,2,0),"")</f>
        <v/>
      </c>
      <c r="EN1138" t="str">
        <f>IF(NOT(ISBLANK($B1138)),VLOOKUP($B1138,AssetCategories!$A:$E,3,0),"")</f>
        <v/>
      </c>
      <c r="EP1138" s="33" t="str">
        <f t="shared" si="35"/>
        <v/>
      </c>
    </row>
    <row r="1139" spans="16:146" x14ac:dyDescent="0.25">
      <c r="P1139" s="33" t="str" cm="1">
        <f t="array" ref="P1139">IFERROR(SUM(VALUE(_xlfn.TEXTSPLIT(O1139, ";"))), "")</f>
        <v/>
      </c>
      <c r="DO1139" t="str">
        <f t="shared" si="34"/>
        <v/>
      </c>
      <c r="EG1139" s="33" t="str">
        <f>IF(NOT(ISBLANK($B1139)),VLOOKUP($B1139,AssetCategories!$A:$E,5,0),"")</f>
        <v/>
      </c>
      <c r="EH1139" t="str">
        <f>IF(NOT(ISBLANK($B1139)),VLOOKUP($B1139,AssetCategories!$A:$E,4,0),"")</f>
        <v/>
      </c>
      <c r="EM1139" t="str">
        <f>IF(NOT(ISBLANK($B1139)),VLOOKUP($B1139,AssetCategories!$A:$E,2,0),"")</f>
        <v/>
      </c>
      <c r="EN1139" t="str">
        <f>IF(NOT(ISBLANK($B1139)),VLOOKUP($B1139,AssetCategories!$A:$E,3,0),"")</f>
        <v/>
      </c>
      <c r="EP1139" s="33" t="str">
        <f t="shared" si="35"/>
        <v/>
      </c>
    </row>
    <row r="1140" spans="16:146" x14ac:dyDescent="0.25">
      <c r="P1140" s="33" t="str" cm="1">
        <f t="array" ref="P1140">IFERROR(SUM(VALUE(_xlfn.TEXTSPLIT(O1140, ";"))), "")</f>
        <v/>
      </c>
      <c r="DO1140" t="str">
        <f t="shared" si="34"/>
        <v/>
      </c>
      <c r="EG1140" s="33" t="str">
        <f>IF(NOT(ISBLANK($B1140)),VLOOKUP($B1140,AssetCategories!$A:$E,5,0),"")</f>
        <v/>
      </c>
      <c r="EH1140" t="str">
        <f>IF(NOT(ISBLANK($B1140)),VLOOKUP($B1140,AssetCategories!$A:$E,4,0),"")</f>
        <v/>
      </c>
      <c r="EM1140" t="str">
        <f>IF(NOT(ISBLANK($B1140)),VLOOKUP($B1140,AssetCategories!$A:$E,2,0),"")</f>
        <v/>
      </c>
      <c r="EN1140" t="str">
        <f>IF(NOT(ISBLANK($B1140)),VLOOKUP($B1140,AssetCategories!$A:$E,3,0),"")</f>
        <v/>
      </c>
      <c r="EP1140" s="33" t="str">
        <f t="shared" si="35"/>
        <v/>
      </c>
    </row>
    <row r="1141" spans="16:146" x14ac:dyDescent="0.25">
      <c r="P1141" s="33" t="str" cm="1">
        <f t="array" ref="P1141">IFERROR(SUM(VALUE(_xlfn.TEXTSPLIT(O1141, ";"))), "")</f>
        <v/>
      </c>
      <c r="DO1141" t="str">
        <f t="shared" si="34"/>
        <v/>
      </c>
      <c r="EG1141" s="33" t="str">
        <f>IF(NOT(ISBLANK($B1141)),VLOOKUP($B1141,AssetCategories!$A:$E,5,0),"")</f>
        <v/>
      </c>
      <c r="EH1141" t="str">
        <f>IF(NOT(ISBLANK($B1141)),VLOOKUP($B1141,AssetCategories!$A:$E,4,0),"")</f>
        <v/>
      </c>
      <c r="EM1141" t="str">
        <f>IF(NOT(ISBLANK($B1141)),VLOOKUP($B1141,AssetCategories!$A:$E,2,0),"")</f>
        <v/>
      </c>
      <c r="EN1141" t="str">
        <f>IF(NOT(ISBLANK($B1141)),VLOOKUP($B1141,AssetCategories!$A:$E,3,0),"")</f>
        <v/>
      </c>
      <c r="EP1141" s="33" t="str">
        <f t="shared" si="35"/>
        <v/>
      </c>
    </row>
    <row r="1142" spans="16:146" x14ac:dyDescent="0.25">
      <c r="P1142" s="33" t="str" cm="1">
        <f t="array" ref="P1142">IFERROR(SUM(VALUE(_xlfn.TEXTSPLIT(O1142, ";"))), "")</f>
        <v/>
      </c>
      <c r="DO1142" t="str">
        <f t="shared" si="34"/>
        <v/>
      </c>
      <c r="EG1142" s="33" t="str">
        <f>IF(NOT(ISBLANK($B1142)),VLOOKUP($B1142,AssetCategories!$A:$E,5,0),"")</f>
        <v/>
      </c>
      <c r="EH1142" t="str">
        <f>IF(NOT(ISBLANK($B1142)),VLOOKUP($B1142,AssetCategories!$A:$E,4,0),"")</f>
        <v/>
      </c>
      <c r="EM1142" t="str">
        <f>IF(NOT(ISBLANK($B1142)),VLOOKUP($B1142,AssetCategories!$A:$E,2,0),"")</f>
        <v/>
      </c>
      <c r="EN1142" t="str">
        <f>IF(NOT(ISBLANK($B1142)),VLOOKUP($B1142,AssetCategories!$A:$E,3,0),"")</f>
        <v/>
      </c>
      <c r="EP1142" s="33" t="str">
        <f t="shared" si="35"/>
        <v/>
      </c>
    </row>
    <row r="1143" spans="16:146" x14ac:dyDescent="0.25">
      <c r="P1143" s="33" t="str" cm="1">
        <f t="array" ref="P1143">IFERROR(SUM(VALUE(_xlfn.TEXTSPLIT(O1143, ";"))), "")</f>
        <v/>
      </c>
      <c r="DO1143" t="str">
        <f t="shared" si="34"/>
        <v/>
      </c>
      <c r="EG1143" s="33" t="str">
        <f>IF(NOT(ISBLANK($B1143)),VLOOKUP($B1143,AssetCategories!$A:$E,5,0),"")</f>
        <v/>
      </c>
      <c r="EH1143" t="str">
        <f>IF(NOT(ISBLANK($B1143)),VLOOKUP($B1143,AssetCategories!$A:$E,4,0),"")</f>
        <v/>
      </c>
      <c r="EM1143" t="str">
        <f>IF(NOT(ISBLANK($B1143)),VLOOKUP($B1143,AssetCategories!$A:$E,2,0),"")</f>
        <v/>
      </c>
      <c r="EN1143" t="str">
        <f>IF(NOT(ISBLANK($B1143)),VLOOKUP($B1143,AssetCategories!$A:$E,3,0),"")</f>
        <v/>
      </c>
      <c r="EP1143" s="33" t="str">
        <f t="shared" si="35"/>
        <v/>
      </c>
    </row>
    <row r="1144" spans="16:146" x14ac:dyDescent="0.25">
      <c r="P1144" s="33" t="str" cm="1">
        <f t="array" ref="P1144">IFERROR(SUM(VALUE(_xlfn.TEXTSPLIT(O1144, ";"))), "")</f>
        <v/>
      </c>
      <c r="DO1144" t="str">
        <f t="shared" si="34"/>
        <v/>
      </c>
      <c r="EG1144" s="33" t="str">
        <f>IF(NOT(ISBLANK($B1144)),VLOOKUP($B1144,AssetCategories!$A:$E,5,0),"")</f>
        <v/>
      </c>
      <c r="EH1144" t="str">
        <f>IF(NOT(ISBLANK($B1144)),VLOOKUP($B1144,AssetCategories!$A:$E,4,0),"")</f>
        <v/>
      </c>
      <c r="EM1144" t="str">
        <f>IF(NOT(ISBLANK($B1144)),VLOOKUP($B1144,AssetCategories!$A:$E,2,0),"")</f>
        <v/>
      </c>
      <c r="EN1144" t="str">
        <f>IF(NOT(ISBLANK($B1144)),VLOOKUP($B1144,AssetCategories!$A:$E,3,0),"")</f>
        <v/>
      </c>
      <c r="EP1144" s="33" t="str">
        <f t="shared" si="35"/>
        <v/>
      </c>
    </row>
    <row r="1145" spans="16:146" x14ac:dyDescent="0.25">
      <c r="P1145" s="33" t="str" cm="1">
        <f t="array" ref="P1145">IFERROR(SUM(VALUE(_xlfn.TEXTSPLIT(O1145, ";"))), "")</f>
        <v/>
      </c>
      <c r="DO1145" t="str">
        <f t="shared" si="34"/>
        <v/>
      </c>
      <c r="EG1145" s="33" t="str">
        <f>IF(NOT(ISBLANK($B1145)),VLOOKUP($B1145,AssetCategories!$A:$E,5,0),"")</f>
        <v/>
      </c>
      <c r="EH1145" t="str">
        <f>IF(NOT(ISBLANK($B1145)),VLOOKUP($B1145,AssetCategories!$A:$E,4,0),"")</f>
        <v/>
      </c>
      <c r="EM1145" t="str">
        <f>IF(NOT(ISBLANK($B1145)),VLOOKUP($B1145,AssetCategories!$A:$E,2,0),"")</f>
        <v/>
      </c>
      <c r="EN1145" t="str">
        <f>IF(NOT(ISBLANK($B1145)),VLOOKUP($B1145,AssetCategories!$A:$E,3,0),"")</f>
        <v/>
      </c>
      <c r="EP1145" s="33" t="str">
        <f t="shared" si="35"/>
        <v/>
      </c>
    </row>
    <row r="1146" spans="16:146" x14ac:dyDescent="0.25">
      <c r="P1146" s="33" t="str" cm="1">
        <f t="array" ref="P1146">IFERROR(SUM(VALUE(_xlfn.TEXTSPLIT(O1146, ";"))), "")</f>
        <v/>
      </c>
      <c r="DO1146" t="str">
        <f t="shared" si="34"/>
        <v/>
      </c>
      <c r="EG1146" s="33" t="str">
        <f>IF(NOT(ISBLANK($B1146)),VLOOKUP($B1146,AssetCategories!$A:$E,5,0),"")</f>
        <v/>
      </c>
      <c r="EH1146" t="str">
        <f>IF(NOT(ISBLANK($B1146)),VLOOKUP($B1146,AssetCategories!$A:$E,4,0),"")</f>
        <v/>
      </c>
      <c r="EM1146" t="str">
        <f>IF(NOT(ISBLANK($B1146)),VLOOKUP($B1146,AssetCategories!$A:$E,2,0),"")</f>
        <v/>
      </c>
      <c r="EN1146" t="str">
        <f>IF(NOT(ISBLANK($B1146)),VLOOKUP($B1146,AssetCategories!$A:$E,3,0),"")</f>
        <v/>
      </c>
      <c r="EP1146" s="33" t="str">
        <f t="shared" si="35"/>
        <v/>
      </c>
    </row>
    <row r="1147" spans="16:146" x14ac:dyDescent="0.25">
      <c r="P1147" s="33" t="str" cm="1">
        <f t="array" ref="P1147">IFERROR(SUM(VALUE(_xlfn.TEXTSPLIT(O1147, ";"))), "")</f>
        <v/>
      </c>
      <c r="DO1147" t="str">
        <f t="shared" si="34"/>
        <v/>
      </c>
      <c r="EG1147" s="33" t="str">
        <f>IF(NOT(ISBLANK($B1147)),VLOOKUP($B1147,AssetCategories!$A:$E,5,0),"")</f>
        <v/>
      </c>
      <c r="EH1147" t="str">
        <f>IF(NOT(ISBLANK($B1147)),VLOOKUP($B1147,AssetCategories!$A:$E,4,0),"")</f>
        <v/>
      </c>
      <c r="EM1147" t="str">
        <f>IF(NOT(ISBLANK($B1147)),VLOOKUP($B1147,AssetCategories!$A:$E,2,0),"")</f>
        <v/>
      </c>
      <c r="EN1147" t="str">
        <f>IF(NOT(ISBLANK($B1147)),VLOOKUP($B1147,AssetCategories!$A:$E,3,0),"")</f>
        <v/>
      </c>
      <c r="EP1147" s="33" t="str">
        <f t="shared" si="35"/>
        <v/>
      </c>
    </row>
    <row r="1148" spans="16:146" x14ac:dyDescent="0.25">
      <c r="P1148" s="33" t="str" cm="1">
        <f t="array" ref="P1148">IFERROR(SUM(VALUE(_xlfn.TEXTSPLIT(O1148, ";"))), "")</f>
        <v/>
      </c>
      <c r="DO1148" t="str">
        <f t="shared" si="34"/>
        <v/>
      </c>
      <c r="EG1148" s="33" t="str">
        <f>IF(NOT(ISBLANK($B1148)),VLOOKUP($B1148,AssetCategories!$A:$E,5,0),"")</f>
        <v/>
      </c>
      <c r="EH1148" t="str">
        <f>IF(NOT(ISBLANK($B1148)),VLOOKUP($B1148,AssetCategories!$A:$E,4,0),"")</f>
        <v/>
      </c>
      <c r="EM1148" t="str">
        <f>IF(NOT(ISBLANK($B1148)),VLOOKUP($B1148,AssetCategories!$A:$E,2,0),"")</f>
        <v/>
      </c>
      <c r="EN1148" t="str">
        <f>IF(NOT(ISBLANK($B1148)),VLOOKUP($B1148,AssetCategories!$A:$E,3,0),"")</f>
        <v/>
      </c>
      <c r="EP1148" s="33" t="str">
        <f t="shared" si="35"/>
        <v/>
      </c>
    </row>
    <row r="1149" spans="16:146" x14ac:dyDescent="0.25">
      <c r="P1149" s="33" t="str" cm="1">
        <f t="array" ref="P1149">IFERROR(SUM(VALUE(_xlfn.TEXTSPLIT(O1149, ";"))), "")</f>
        <v/>
      </c>
      <c r="DO1149" t="str">
        <f t="shared" si="34"/>
        <v/>
      </c>
      <c r="EG1149" s="33" t="str">
        <f>IF(NOT(ISBLANK($B1149)),VLOOKUP($B1149,AssetCategories!$A:$E,5,0),"")</f>
        <v/>
      </c>
      <c r="EH1149" t="str">
        <f>IF(NOT(ISBLANK($B1149)),VLOOKUP($B1149,AssetCategories!$A:$E,4,0),"")</f>
        <v/>
      </c>
      <c r="EM1149" t="str">
        <f>IF(NOT(ISBLANK($B1149)),VLOOKUP($B1149,AssetCategories!$A:$E,2,0),"")</f>
        <v/>
      </c>
      <c r="EN1149" t="str">
        <f>IF(NOT(ISBLANK($B1149)),VLOOKUP($B1149,AssetCategories!$A:$E,3,0),"")</f>
        <v/>
      </c>
      <c r="EP1149" s="33" t="str">
        <f t="shared" si="35"/>
        <v/>
      </c>
    </row>
    <row r="1150" spans="16:146" x14ac:dyDescent="0.25">
      <c r="P1150" s="33" t="str" cm="1">
        <f t="array" ref="P1150">IFERROR(SUM(VALUE(_xlfn.TEXTSPLIT(O1150, ";"))), "")</f>
        <v/>
      </c>
      <c r="DO1150" t="str">
        <f t="shared" si="34"/>
        <v/>
      </c>
      <c r="EG1150" s="33" t="str">
        <f>IF(NOT(ISBLANK($B1150)),VLOOKUP($B1150,AssetCategories!$A:$E,5,0),"")</f>
        <v/>
      </c>
      <c r="EH1150" t="str">
        <f>IF(NOT(ISBLANK($B1150)),VLOOKUP($B1150,AssetCategories!$A:$E,4,0),"")</f>
        <v/>
      </c>
      <c r="EM1150" t="str">
        <f>IF(NOT(ISBLANK($B1150)),VLOOKUP($B1150,AssetCategories!$A:$E,2,0),"")</f>
        <v/>
      </c>
      <c r="EN1150" t="str">
        <f>IF(NOT(ISBLANK($B1150)),VLOOKUP($B1150,AssetCategories!$A:$E,3,0),"")</f>
        <v/>
      </c>
      <c r="EP1150" s="33" t="str">
        <f t="shared" si="35"/>
        <v/>
      </c>
    </row>
    <row r="1151" spans="16:146" x14ac:dyDescent="0.25">
      <c r="P1151" s="33" t="str" cm="1">
        <f t="array" ref="P1151">IFERROR(SUM(VALUE(_xlfn.TEXTSPLIT(O1151, ";"))), "")</f>
        <v/>
      </c>
      <c r="DO1151" t="str">
        <f t="shared" si="34"/>
        <v/>
      </c>
      <c r="EG1151" s="33" t="str">
        <f>IF(NOT(ISBLANK($B1151)),VLOOKUP($B1151,AssetCategories!$A:$E,5,0),"")</f>
        <v/>
      </c>
      <c r="EH1151" t="str">
        <f>IF(NOT(ISBLANK($B1151)),VLOOKUP($B1151,AssetCategories!$A:$E,4,0),"")</f>
        <v/>
      </c>
      <c r="EM1151" t="str">
        <f>IF(NOT(ISBLANK($B1151)),VLOOKUP($B1151,AssetCategories!$A:$E,2,0),"")</f>
        <v/>
      </c>
      <c r="EN1151" t="str">
        <f>IF(NOT(ISBLANK($B1151)),VLOOKUP($B1151,AssetCategories!$A:$E,3,0),"")</f>
        <v/>
      </c>
      <c r="EP1151" s="33" t="str">
        <f t="shared" si="35"/>
        <v/>
      </c>
    </row>
    <row r="1152" spans="16:146" x14ac:dyDescent="0.25">
      <c r="P1152" s="33" t="str" cm="1">
        <f t="array" ref="P1152">IFERROR(SUM(VALUE(_xlfn.TEXTSPLIT(O1152, ";"))), "")</f>
        <v/>
      </c>
      <c r="DO1152" t="str">
        <f t="shared" si="34"/>
        <v/>
      </c>
      <c r="EG1152" s="33" t="str">
        <f>IF(NOT(ISBLANK($B1152)),VLOOKUP($B1152,AssetCategories!$A:$E,5,0),"")</f>
        <v/>
      </c>
      <c r="EH1152" t="str">
        <f>IF(NOT(ISBLANK($B1152)),VLOOKUP($B1152,AssetCategories!$A:$E,4,0),"")</f>
        <v/>
      </c>
      <c r="EM1152" t="str">
        <f>IF(NOT(ISBLANK($B1152)),VLOOKUP($B1152,AssetCategories!$A:$E,2,0),"")</f>
        <v/>
      </c>
      <c r="EN1152" t="str">
        <f>IF(NOT(ISBLANK($B1152)),VLOOKUP($B1152,AssetCategories!$A:$E,3,0),"")</f>
        <v/>
      </c>
      <c r="EP1152" s="33" t="str">
        <f t="shared" si="35"/>
        <v/>
      </c>
    </row>
    <row r="1153" spans="16:146" x14ac:dyDescent="0.25">
      <c r="P1153" s="33" t="str" cm="1">
        <f t="array" ref="P1153">IFERROR(SUM(VALUE(_xlfn.TEXTSPLIT(O1153, ";"))), "")</f>
        <v/>
      </c>
      <c r="DO1153" t="str">
        <f t="shared" si="34"/>
        <v/>
      </c>
      <c r="EG1153" s="33" t="str">
        <f>IF(NOT(ISBLANK($B1153)),VLOOKUP($B1153,AssetCategories!$A:$E,5,0),"")</f>
        <v/>
      </c>
      <c r="EH1153" t="str">
        <f>IF(NOT(ISBLANK($B1153)),VLOOKUP($B1153,AssetCategories!$A:$E,4,0),"")</f>
        <v/>
      </c>
      <c r="EM1153" t="str">
        <f>IF(NOT(ISBLANK($B1153)),VLOOKUP($B1153,AssetCategories!$A:$E,2,0),"")</f>
        <v/>
      </c>
      <c r="EN1153" t="str">
        <f>IF(NOT(ISBLANK($B1153)),VLOOKUP($B1153,AssetCategories!$A:$E,3,0),"")</f>
        <v/>
      </c>
      <c r="EP1153" s="33" t="str">
        <f t="shared" si="35"/>
        <v/>
      </c>
    </row>
    <row r="1154" spans="16:146" x14ac:dyDescent="0.25">
      <c r="P1154" s="33" t="str" cm="1">
        <f t="array" ref="P1154">IFERROR(SUM(VALUE(_xlfn.TEXTSPLIT(O1154, ";"))), "")</f>
        <v/>
      </c>
      <c r="DO1154" t="str">
        <f t="shared" si="34"/>
        <v/>
      </c>
      <c r="EG1154" s="33" t="str">
        <f>IF(NOT(ISBLANK($B1154)),VLOOKUP($B1154,AssetCategories!$A:$E,5,0),"")</f>
        <v/>
      </c>
      <c r="EH1154" t="str">
        <f>IF(NOT(ISBLANK($B1154)),VLOOKUP($B1154,AssetCategories!$A:$E,4,0),"")</f>
        <v/>
      </c>
      <c r="EM1154" t="str">
        <f>IF(NOT(ISBLANK($B1154)),VLOOKUP($B1154,AssetCategories!$A:$E,2,0),"")</f>
        <v/>
      </c>
      <c r="EN1154" t="str">
        <f>IF(NOT(ISBLANK($B1154)),VLOOKUP($B1154,AssetCategories!$A:$E,3,0),"")</f>
        <v/>
      </c>
      <c r="EP1154" s="33" t="str">
        <f t="shared" si="35"/>
        <v/>
      </c>
    </row>
    <row r="1155" spans="16:146" x14ac:dyDescent="0.25">
      <c r="P1155" s="33" t="str" cm="1">
        <f t="array" ref="P1155">IFERROR(SUM(VALUE(_xlfn.TEXTSPLIT(O1155, ";"))), "")</f>
        <v/>
      </c>
      <c r="DO1155" t="str">
        <f t="shared" si="34"/>
        <v/>
      </c>
      <c r="EG1155" s="33" t="str">
        <f>IF(NOT(ISBLANK($B1155)),VLOOKUP($B1155,AssetCategories!$A:$E,5,0),"")</f>
        <v/>
      </c>
      <c r="EH1155" t="str">
        <f>IF(NOT(ISBLANK($B1155)),VLOOKUP($B1155,AssetCategories!$A:$E,4,0),"")</f>
        <v/>
      </c>
      <c r="EM1155" t="str">
        <f>IF(NOT(ISBLANK($B1155)),VLOOKUP($B1155,AssetCategories!$A:$E,2,0),"")</f>
        <v/>
      </c>
      <c r="EN1155" t="str">
        <f>IF(NOT(ISBLANK($B1155)),VLOOKUP($B1155,AssetCategories!$A:$E,3,0),"")</f>
        <v/>
      </c>
      <c r="EP1155" s="33" t="str">
        <f t="shared" si="35"/>
        <v/>
      </c>
    </row>
    <row r="1156" spans="16:146" x14ac:dyDescent="0.25">
      <c r="P1156" s="33" t="str" cm="1">
        <f t="array" ref="P1156">IFERROR(SUM(VALUE(_xlfn.TEXTSPLIT(O1156, ";"))), "")</f>
        <v/>
      </c>
      <c r="DO1156" t="str">
        <f t="shared" si="34"/>
        <v/>
      </c>
      <c r="EG1156" s="33" t="str">
        <f>IF(NOT(ISBLANK($B1156)),VLOOKUP($B1156,AssetCategories!$A:$E,5,0),"")</f>
        <v/>
      </c>
      <c r="EH1156" t="str">
        <f>IF(NOT(ISBLANK($B1156)),VLOOKUP($B1156,AssetCategories!$A:$E,4,0),"")</f>
        <v/>
      </c>
      <c r="EM1156" t="str">
        <f>IF(NOT(ISBLANK($B1156)),VLOOKUP($B1156,AssetCategories!$A:$E,2,0),"")</f>
        <v/>
      </c>
      <c r="EN1156" t="str">
        <f>IF(NOT(ISBLANK($B1156)),VLOOKUP($B1156,AssetCategories!$A:$E,3,0),"")</f>
        <v/>
      </c>
      <c r="EP1156" s="33" t="str">
        <f t="shared" si="35"/>
        <v/>
      </c>
    </row>
    <row r="1157" spans="16:146" x14ac:dyDescent="0.25">
      <c r="P1157" s="33" t="str" cm="1">
        <f t="array" ref="P1157">IFERROR(SUM(VALUE(_xlfn.TEXTSPLIT(O1157, ";"))), "")</f>
        <v/>
      </c>
      <c r="DO1157" t="str">
        <f t="shared" ref="DO1157:DO1220" si="36">IF(SUM(DE1157:DN1157)=0, "", SUM(DE1157:DN1157))</f>
        <v/>
      </c>
      <c r="EG1157" s="33" t="str">
        <f>IF(NOT(ISBLANK($B1157)),VLOOKUP($B1157,AssetCategories!$A:$E,5,0),"")</f>
        <v/>
      </c>
      <c r="EH1157" t="str">
        <f>IF(NOT(ISBLANK($B1157)),VLOOKUP($B1157,AssetCategories!$A:$E,4,0),"")</f>
        <v/>
      </c>
      <c r="EM1157" t="str">
        <f>IF(NOT(ISBLANK($B1157)),VLOOKUP($B1157,AssetCategories!$A:$E,2,0),"")</f>
        <v/>
      </c>
      <c r="EN1157" t="str">
        <f>IF(NOT(ISBLANK($B1157)),VLOOKUP($B1157,AssetCategories!$A:$E,3,0),"")</f>
        <v/>
      </c>
      <c r="EP1157" s="33" t="str">
        <f t="shared" ref="EP1157:EP1220" si="37">IFERROR(P1157-EO1157, "")</f>
        <v/>
      </c>
    </row>
    <row r="1158" spans="16:146" x14ac:dyDescent="0.25">
      <c r="P1158" s="33" t="str" cm="1">
        <f t="array" ref="P1158">IFERROR(SUM(VALUE(_xlfn.TEXTSPLIT(O1158, ";"))), "")</f>
        <v/>
      </c>
      <c r="DO1158" t="str">
        <f t="shared" si="36"/>
        <v/>
      </c>
      <c r="EG1158" s="33" t="str">
        <f>IF(NOT(ISBLANK($B1158)),VLOOKUP($B1158,AssetCategories!$A:$E,5,0),"")</f>
        <v/>
      </c>
      <c r="EH1158" t="str">
        <f>IF(NOT(ISBLANK($B1158)),VLOOKUP($B1158,AssetCategories!$A:$E,4,0),"")</f>
        <v/>
      </c>
      <c r="EM1158" t="str">
        <f>IF(NOT(ISBLANK($B1158)),VLOOKUP($B1158,AssetCategories!$A:$E,2,0),"")</f>
        <v/>
      </c>
      <c r="EN1158" t="str">
        <f>IF(NOT(ISBLANK($B1158)),VLOOKUP($B1158,AssetCategories!$A:$E,3,0),"")</f>
        <v/>
      </c>
      <c r="EP1158" s="33" t="str">
        <f t="shared" si="37"/>
        <v/>
      </c>
    </row>
    <row r="1159" spans="16:146" x14ac:dyDescent="0.25">
      <c r="P1159" s="33" t="str" cm="1">
        <f t="array" ref="P1159">IFERROR(SUM(VALUE(_xlfn.TEXTSPLIT(O1159, ";"))), "")</f>
        <v/>
      </c>
      <c r="DO1159" t="str">
        <f t="shared" si="36"/>
        <v/>
      </c>
      <c r="EG1159" s="33" t="str">
        <f>IF(NOT(ISBLANK($B1159)),VLOOKUP($B1159,AssetCategories!$A:$E,5,0),"")</f>
        <v/>
      </c>
      <c r="EH1159" t="str">
        <f>IF(NOT(ISBLANK($B1159)),VLOOKUP($B1159,AssetCategories!$A:$E,4,0),"")</f>
        <v/>
      </c>
      <c r="EM1159" t="str">
        <f>IF(NOT(ISBLANK($B1159)),VLOOKUP($B1159,AssetCategories!$A:$E,2,0),"")</f>
        <v/>
      </c>
      <c r="EN1159" t="str">
        <f>IF(NOT(ISBLANK($B1159)),VLOOKUP($B1159,AssetCategories!$A:$E,3,0),"")</f>
        <v/>
      </c>
      <c r="EP1159" s="33" t="str">
        <f t="shared" si="37"/>
        <v/>
      </c>
    </row>
    <row r="1160" spans="16:146" x14ac:dyDescent="0.25">
      <c r="P1160" s="33" t="str" cm="1">
        <f t="array" ref="P1160">IFERROR(SUM(VALUE(_xlfn.TEXTSPLIT(O1160, ";"))), "")</f>
        <v/>
      </c>
      <c r="DO1160" t="str">
        <f t="shared" si="36"/>
        <v/>
      </c>
      <c r="EG1160" s="33" t="str">
        <f>IF(NOT(ISBLANK($B1160)),VLOOKUP($B1160,AssetCategories!$A:$E,5,0),"")</f>
        <v/>
      </c>
      <c r="EH1160" t="str">
        <f>IF(NOT(ISBLANK($B1160)),VLOOKUP($B1160,AssetCategories!$A:$E,4,0),"")</f>
        <v/>
      </c>
      <c r="EM1160" t="str">
        <f>IF(NOT(ISBLANK($B1160)),VLOOKUP($B1160,AssetCategories!$A:$E,2,0),"")</f>
        <v/>
      </c>
      <c r="EN1160" t="str">
        <f>IF(NOT(ISBLANK($B1160)),VLOOKUP($B1160,AssetCategories!$A:$E,3,0),"")</f>
        <v/>
      </c>
      <c r="EP1160" s="33" t="str">
        <f t="shared" si="37"/>
        <v/>
      </c>
    </row>
    <row r="1161" spans="16:146" x14ac:dyDescent="0.25">
      <c r="P1161" s="33" t="str" cm="1">
        <f t="array" ref="P1161">IFERROR(SUM(VALUE(_xlfn.TEXTSPLIT(O1161, ";"))), "")</f>
        <v/>
      </c>
      <c r="DO1161" t="str">
        <f t="shared" si="36"/>
        <v/>
      </c>
      <c r="EG1161" s="33" t="str">
        <f>IF(NOT(ISBLANK($B1161)),VLOOKUP($B1161,AssetCategories!$A:$E,5,0),"")</f>
        <v/>
      </c>
      <c r="EH1161" t="str">
        <f>IF(NOT(ISBLANK($B1161)),VLOOKUP($B1161,AssetCategories!$A:$E,4,0),"")</f>
        <v/>
      </c>
      <c r="EM1161" t="str">
        <f>IF(NOT(ISBLANK($B1161)),VLOOKUP($B1161,AssetCategories!$A:$E,2,0),"")</f>
        <v/>
      </c>
      <c r="EN1161" t="str">
        <f>IF(NOT(ISBLANK($B1161)),VLOOKUP($B1161,AssetCategories!$A:$E,3,0),"")</f>
        <v/>
      </c>
      <c r="EP1161" s="33" t="str">
        <f t="shared" si="37"/>
        <v/>
      </c>
    </row>
    <row r="1162" spans="16:146" x14ac:dyDescent="0.25">
      <c r="P1162" s="33" t="str" cm="1">
        <f t="array" ref="P1162">IFERROR(SUM(VALUE(_xlfn.TEXTSPLIT(O1162, ";"))), "")</f>
        <v/>
      </c>
      <c r="DO1162" t="str">
        <f t="shared" si="36"/>
        <v/>
      </c>
      <c r="EG1162" s="33" t="str">
        <f>IF(NOT(ISBLANK($B1162)),VLOOKUP($B1162,AssetCategories!$A:$E,5,0),"")</f>
        <v/>
      </c>
      <c r="EH1162" t="str">
        <f>IF(NOT(ISBLANK($B1162)),VLOOKUP($B1162,AssetCategories!$A:$E,4,0),"")</f>
        <v/>
      </c>
      <c r="EM1162" t="str">
        <f>IF(NOT(ISBLANK($B1162)),VLOOKUP($B1162,AssetCategories!$A:$E,2,0),"")</f>
        <v/>
      </c>
      <c r="EN1162" t="str">
        <f>IF(NOT(ISBLANK($B1162)),VLOOKUP($B1162,AssetCategories!$A:$E,3,0),"")</f>
        <v/>
      </c>
      <c r="EP1162" s="33" t="str">
        <f t="shared" si="37"/>
        <v/>
      </c>
    </row>
    <row r="1163" spans="16:146" x14ac:dyDescent="0.25">
      <c r="P1163" s="33" t="str" cm="1">
        <f t="array" ref="P1163">IFERROR(SUM(VALUE(_xlfn.TEXTSPLIT(O1163, ";"))), "")</f>
        <v/>
      </c>
      <c r="DO1163" t="str">
        <f t="shared" si="36"/>
        <v/>
      </c>
      <c r="EG1163" s="33" t="str">
        <f>IF(NOT(ISBLANK($B1163)),VLOOKUP($B1163,AssetCategories!$A:$E,5,0),"")</f>
        <v/>
      </c>
      <c r="EH1163" t="str">
        <f>IF(NOT(ISBLANK($B1163)),VLOOKUP($B1163,AssetCategories!$A:$E,4,0),"")</f>
        <v/>
      </c>
      <c r="EM1163" t="str">
        <f>IF(NOT(ISBLANK($B1163)),VLOOKUP($B1163,AssetCategories!$A:$E,2,0),"")</f>
        <v/>
      </c>
      <c r="EN1163" t="str">
        <f>IF(NOT(ISBLANK($B1163)),VLOOKUP($B1163,AssetCategories!$A:$E,3,0),"")</f>
        <v/>
      </c>
      <c r="EP1163" s="33" t="str">
        <f t="shared" si="37"/>
        <v/>
      </c>
    </row>
    <row r="1164" spans="16:146" x14ac:dyDescent="0.25">
      <c r="P1164" s="33" t="str" cm="1">
        <f t="array" ref="P1164">IFERROR(SUM(VALUE(_xlfn.TEXTSPLIT(O1164, ";"))), "")</f>
        <v/>
      </c>
      <c r="DO1164" t="str">
        <f t="shared" si="36"/>
        <v/>
      </c>
      <c r="EG1164" s="33" t="str">
        <f>IF(NOT(ISBLANK($B1164)),VLOOKUP($B1164,AssetCategories!$A:$E,5,0),"")</f>
        <v/>
      </c>
      <c r="EH1164" t="str">
        <f>IF(NOT(ISBLANK($B1164)),VLOOKUP($B1164,AssetCategories!$A:$E,4,0),"")</f>
        <v/>
      </c>
      <c r="EM1164" t="str">
        <f>IF(NOT(ISBLANK($B1164)),VLOOKUP($B1164,AssetCategories!$A:$E,2,0),"")</f>
        <v/>
      </c>
      <c r="EN1164" t="str">
        <f>IF(NOT(ISBLANK($B1164)),VLOOKUP($B1164,AssetCategories!$A:$E,3,0),"")</f>
        <v/>
      </c>
      <c r="EP1164" s="33" t="str">
        <f t="shared" si="37"/>
        <v/>
      </c>
    </row>
    <row r="1165" spans="16:146" x14ac:dyDescent="0.25">
      <c r="P1165" s="33" t="str" cm="1">
        <f t="array" ref="P1165">IFERROR(SUM(VALUE(_xlfn.TEXTSPLIT(O1165, ";"))), "")</f>
        <v/>
      </c>
      <c r="DO1165" t="str">
        <f t="shared" si="36"/>
        <v/>
      </c>
      <c r="EG1165" s="33" t="str">
        <f>IF(NOT(ISBLANK($B1165)),VLOOKUP($B1165,AssetCategories!$A:$E,5,0),"")</f>
        <v/>
      </c>
      <c r="EH1165" t="str">
        <f>IF(NOT(ISBLANK($B1165)),VLOOKUP($B1165,AssetCategories!$A:$E,4,0),"")</f>
        <v/>
      </c>
      <c r="EM1165" t="str">
        <f>IF(NOT(ISBLANK($B1165)),VLOOKUP($B1165,AssetCategories!$A:$E,2,0),"")</f>
        <v/>
      </c>
      <c r="EN1165" t="str">
        <f>IF(NOT(ISBLANK($B1165)),VLOOKUP($B1165,AssetCategories!$A:$E,3,0),"")</f>
        <v/>
      </c>
      <c r="EP1165" s="33" t="str">
        <f t="shared" si="37"/>
        <v/>
      </c>
    </row>
    <row r="1166" spans="16:146" x14ac:dyDescent="0.25">
      <c r="P1166" s="33" t="str" cm="1">
        <f t="array" ref="P1166">IFERROR(SUM(VALUE(_xlfn.TEXTSPLIT(O1166, ";"))), "")</f>
        <v/>
      </c>
      <c r="DO1166" t="str">
        <f t="shared" si="36"/>
        <v/>
      </c>
      <c r="EG1166" s="33" t="str">
        <f>IF(NOT(ISBLANK($B1166)),VLOOKUP($B1166,AssetCategories!$A:$E,5,0),"")</f>
        <v/>
      </c>
      <c r="EH1166" t="str">
        <f>IF(NOT(ISBLANK($B1166)),VLOOKUP($B1166,AssetCategories!$A:$E,4,0),"")</f>
        <v/>
      </c>
      <c r="EM1166" t="str">
        <f>IF(NOT(ISBLANK($B1166)),VLOOKUP($B1166,AssetCategories!$A:$E,2,0),"")</f>
        <v/>
      </c>
      <c r="EN1166" t="str">
        <f>IF(NOT(ISBLANK($B1166)),VLOOKUP($B1166,AssetCategories!$A:$E,3,0),"")</f>
        <v/>
      </c>
      <c r="EP1166" s="33" t="str">
        <f t="shared" si="37"/>
        <v/>
      </c>
    </row>
    <row r="1167" spans="16:146" x14ac:dyDescent="0.25">
      <c r="P1167" s="33" t="str" cm="1">
        <f t="array" ref="P1167">IFERROR(SUM(VALUE(_xlfn.TEXTSPLIT(O1167, ";"))), "")</f>
        <v/>
      </c>
      <c r="DO1167" t="str">
        <f t="shared" si="36"/>
        <v/>
      </c>
      <c r="EG1167" s="33" t="str">
        <f>IF(NOT(ISBLANK($B1167)),VLOOKUP($B1167,AssetCategories!$A:$E,5,0),"")</f>
        <v/>
      </c>
      <c r="EH1167" t="str">
        <f>IF(NOT(ISBLANK($B1167)),VLOOKUP($B1167,AssetCategories!$A:$E,4,0),"")</f>
        <v/>
      </c>
      <c r="EM1167" t="str">
        <f>IF(NOT(ISBLANK($B1167)),VLOOKUP($B1167,AssetCategories!$A:$E,2,0),"")</f>
        <v/>
      </c>
      <c r="EN1167" t="str">
        <f>IF(NOT(ISBLANK($B1167)),VLOOKUP($B1167,AssetCategories!$A:$E,3,0),"")</f>
        <v/>
      </c>
      <c r="EP1167" s="33" t="str">
        <f t="shared" si="37"/>
        <v/>
      </c>
    </row>
    <row r="1168" spans="16:146" x14ac:dyDescent="0.25">
      <c r="P1168" s="33" t="str" cm="1">
        <f t="array" ref="P1168">IFERROR(SUM(VALUE(_xlfn.TEXTSPLIT(O1168, ";"))), "")</f>
        <v/>
      </c>
      <c r="DO1168" t="str">
        <f t="shared" si="36"/>
        <v/>
      </c>
      <c r="EG1168" s="33" t="str">
        <f>IF(NOT(ISBLANK($B1168)),VLOOKUP($B1168,AssetCategories!$A:$E,5,0),"")</f>
        <v/>
      </c>
      <c r="EH1168" t="str">
        <f>IF(NOT(ISBLANK($B1168)),VLOOKUP($B1168,AssetCategories!$A:$E,4,0),"")</f>
        <v/>
      </c>
      <c r="EM1168" t="str">
        <f>IF(NOT(ISBLANK($B1168)),VLOOKUP($B1168,AssetCategories!$A:$E,2,0),"")</f>
        <v/>
      </c>
      <c r="EN1168" t="str">
        <f>IF(NOT(ISBLANK($B1168)),VLOOKUP($B1168,AssetCategories!$A:$E,3,0),"")</f>
        <v/>
      </c>
      <c r="EP1168" s="33" t="str">
        <f t="shared" si="37"/>
        <v/>
      </c>
    </row>
    <row r="1169" spans="16:146" x14ac:dyDescent="0.25">
      <c r="P1169" s="33" t="str" cm="1">
        <f t="array" ref="P1169">IFERROR(SUM(VALUE(_xlfn.TEXTSPLIT(O1169, ";"))), "")</f>
        <v/>
      </c>
      <c r="DO1169" t="str">
        <f t="shared" si="36"/>
        <v/>
      </c>
      <c r="EG1169" s="33" t="str">
        <f>IF(NOT(ISBLANK($B1169)),VLOOKUP($B1169,AssetCategories!$A:$E,5,0),"")</f>
        <v/>
      </c>
      <c r="EH1169" t="str">
        <f>IF(NOT(ISBLANK($B1169)),VLOOKUP($B1169,AssetCategories!$A:$E,4,0),"")</f>
        <v/>
      </c>
      <c r="EM1169" t="str">
        <f>IF(NOT(ISBLANK($B1169)),VLOOKUP($B1169,AssetCategories!$A:$E,2,0),"")</f>
        <v/>
      </c>
      <c r="EN1169" t="str">
        <f>IF(NOT(ISBLANK($B1169)),VLOOKUP($B1169,AssetCategories!$A:$E,3,0),"")</f>
        <v/>
      </c>
      <c r="EP1169" s="33" t="str">
        <f t="shared" si="37"/>
        <v/>
      </c>
    </row>
    <row r="1170" spans="16:146" x14ac:dyDescent="0.25">
      <c r="P1170" s="33" t="str" cm="1">
        <f t="array" ref="P1170">IFERROR(SUM(VALUE(_xlfn.TEXTSPLIT(O1170, ";"))), "")</f>
        <v/>
      </c>
      <c r="DO1170" t="str">
        <f t="shared" si="36"/>
        <v/>
      </c>
      <c r="EG1170" s="33" t="str">
        <f>IF(NOT(ISBLANK($B1170)),VLOOKUP($B1170,AssetCategories!$A:$E,5,0),"")</f>
        <v/>
      </c>
      <c r="EH1170" t="str">
        <f>IF(NOT(ISBLANK($B1170)),VLOOKUP($B1170,AssetCategories!$A:$E,4,0),"")</f>
        <v/>
      </c>
      <c r="EM1170" t="str">
        <f>IF(NOT(ISBLANK($B1170)),VLOOKUP($B1170,AssetCategories!$A:$E,2,0),"")</f>
        <v/>
      </c>
      <c r="EN1170" t="str">
        <f>IF(NOT(ISBLANK($B1170)),VLOOKUP($B1170,AssetCategories!$A:$E,3,0),"")</f>
        <v/>
      </c>
      <c r="EP1170" s="33" t="str">
        <f t="shared" si="37"/>
        <v/>
      </c>
    </row>
    <row r="1171" spans="16:146" x14ac:dyDescent="0.25">
      <c r="P1171" s="33" t="str" cm="1">
        <f t="array" ref="P1171">IFERROR(SUM(VALUE(_xlfn.TEXTSPLIT(O1171, ";"))), "")</f>
        <v/>
      </c>
      <c r="DO1171" t="str">
        <f t="shared" si="36"/>
        <v/>
      </c>
      <c r="EG1171" s="33" t="str">
        <f>IF(NOT(ISBLANK($B1171)),VLOOKUP($B1171,AssetCategories!$A:$E,5,0),"")</f>
        <v/>
      </c>
      <c r="EH1171" t="str">
        <f>IF(NOT(ISBLANK($B1171)),VLOOKUP($B1171,AssetCategories!$A:$E,4,0),"")</f>
        <v/>
      </c>
      <c r="EM1171" t="str">
        <f>IF(NOT(ISBLANK($B1171)),VLOOKUP($B1171,AssetCategories!$A:$E,2,0),"")</f>
        <v/>
      </c>
      <c r="EN1171" t="str">
        <f>IF(NOT(ISBLANK($B1171)),VLOOKUP($B1171,AssetCategories!$A:$E,3,0),"")</f>
        <v/>
      </c>
      <c r="EP1171" s="33" t="str">
        <f t="shared" si="37"/>
        <v/>
      </c>
    </row>
    <row r="1172" spans="16:146" x14ac:dyDescent="0.25">
      <c r="P1172" s="33" t="str" cm="1">
        <f t="array" ref="P1172">IFERROR(SUM(VALUE(_xlfn.TEXTSPLIT(O1172, ";"))), "")</f>
        <v/>
      </c>
      <c r="DO1172" t="str">
        <f t="shared" si="36"/>
        <v/>
      </c>
      <c r="EG1172" s="33" t="str">
        <f>IF(NOT(ISBLANK($B1172)),VLOOKUP($B1172,AssetCategories!$A:$E,5,0),"")</f>
        <v/>
      </c>
      <c r="EH1172" t="str">
        <f>IF(NOT(ISBLANK($B1172)),VLOOKUP($B1172,AssetCategories!$A:$E,4,0),"")</f>
        <v/>
      </c>
      <c r="EM1172" t="str">
        <f>IF(NOT(ISBLANK($B1172)),VLOOKUP($B1172,AssetCategories!$A:$E,2,0),"")</f>
        <v/>
      </c>
      <c r="EN1172" t="str">
        <f>IF(NOT(ISBLANK($B1172)),VLOOKUP($B1172,AssetCategories!$A:$E,3,0),"")</f>
        <v/>
      </c>
      <c r="EP1172" s="33" t="str">
        <f t="shared" si="37"/>
        <v/>
      </c>
    </row>
    <row r="1173" spans="16:146" x14ac:dyDescent="0.25">
      <c r="P1173" s="33" t="str" cm="1">
        <f t="array" ref="P1173">IFERROR(SUM(VALUE(_xlfn.TEXTSPLIT(O1173, ";"))), "")</f>
        <v/>
      </c>
      <c r="DO1173" t="str">
        <f t="shared" si="36"/>
        <v/>
      </c>
      <c r="EG1173" s="33" t="str">
        <f>IF(NOT(ISBLANK($B1173)),VLOOKUP($B1173,AssetCategories!$A:$E,5,0),"")</f>
        <v/>
      </c>
      <c r="EH1173" t="str">
        <f>IF(NOT(ISBLANK($B1173)),VLOOKUP($B1173,AssetCategories!$A:$E,4,0),"")</f>
        <v/>
      </c>
      <c r="EM1173" t="str">
        <f>IF(NOT(ISBLANK($B1173)),VLOOKUP($B1173,AssetCategories!$A:$E,2,0),"")</f>
        <v/>
      </c>
      <c r="EN1173" t="str">
        <f>IF(NOT(ISBLANK($B1173)),VLOOKUP($B1173,AssetCategories!$A:$E,3,0),"")</f>
        <v/>
      </c>
      <c r="EP1173" s="33" t="str">
        <f t="shared" si="37"/>
        <v/>
      </c>
    </row>
    <row r="1174" spans="16:146" x14ac:dyDescent="0.25">
      <c r="P1174" s="33" t="str" cm="1">
        <f t="array" ref="P1174">IFERROR(SUM(VALUE(_xlfn.TEXTSPLIT(O1174, ";"))), "")</f>
        <v/>
      </c>
      <c r="DO1174" t="str">
        <f t="shared" si="36"/>
        <v/>
      </c>
      <c r="EG1174" s="33" t="str">
        <f>IF(NOT(ISBLANK($B1174)),VLOOKUP($B1174,AssetCategories!$A:$E,5,0),"")</f>
        <v/>
      </c>
      <c r="EH1174" t="str">
        <f>IF(NOT(ISBLANK($B1174)),VLOOKUP($B1174,AssetCategories!$A:$E,4,0),"")</f>
        <v/>
      </c>
      <c r="EM1174" t="str">
        <f>IF(NOT(ISBLANK($B1174)),VLOOKUP($B1174,AssetCategories!$A:$E,2,0),"")</f>
        <v/>
      </c>
      <c r="EN1174" t="str">
        <f>IF(NOT(ISBLANK($B1174)),VLOOKUP($B1174,AssetCategories!$A:$E,3,0),"")</f>
        <v/>
      </c>
      <c r="EP1174" s="33" t="str">
        <f t="shared" si="37"/>
        <v/>
      </c>
    </row>
    <row r="1175" spans="16:146" x14ac:dyDescent="0.25">
      <c r="P1175" s="33" t="str" cm="1">
        <f t="array" ref="P1175">IFERROR(SUM(VALUE(_xlfn.TEXTSPLIT(O1175, ";"))), "")</f>
        <v/>
      </c>
      <c r="DO1175" t="str">
        <f t="shared" si="36"/>
        <v/>
      </c>
      <c r="EG1175" s="33" t="str">
        <f>IF(NOT(ISBLANK($B1175)),VLOOKUP($B1175,AssetCategories!$A:$E,5,0),"")</f>
        <v/>
      </c>
      <c r="EH1175" t="str">
        <f>IF(NOT(ISBLANK($B1175)),VLOOKUP($B1175,AssetCategories!$A:$E,4,0),"")</f>
        <v/>
      </c>
      <c r="EM1175" t="str">
        <f>IF(NOT(ISBLANK($B1175)),VLOOKUP($B1175,AssetCategories!$A:$E,2,0),"")</f>
        <v/>
      </c>
      <c r="EN1175" t="str">
        <f>IF(NOT(ISBLANK($B1175)),VLOOKUP($B1175,AssetCategories!$A:$E,3,0),"")</f>
        <v/>
      </c>
      <c r="EP1175" s="33" t="str">
        <f t="shared" si="37"/>
        <v/>
      </c>
    </row>
    <row r="1176" spans="16:146" x14ac:dyDescent="0.25">
      <c r="P1176" s="33" t="str" cm="1">
        <f t="array" ref="P1176">IFERROR(SUM(VALUE(_xlfn.TEXTSPLIT(O1176, ";"))), "")</f>
        <v/>
      </c>
      <c r="DO1176" t="str">
        <f t="shared" si="36"/>
        <v/>
      </c>
      <c r="EG1176" s="33" t="str">
        <f>IF(NOT(ISBLANK($B1176)),VLOOKUP($B1176,AssetCategories!$A:$E,5,0),"")</f>
        <v/>
      </c>
      <c r="EH1176" t="str">
        <f>IF(NOT(ISBLANK($B1176)),VLOOKUP($B1176,AssetCategories!$A:$E,4,0),"")</f>
        <v/>
      </c>
      <c r="EM1176" t="str">
        <f>IF(NOT(ISBLANK($B1176)),VLOOKUP($B1176,AssetCategories!$A:$E,2,0),"")</f>
        <v/>
      </c>
      <c r="EN1176" t="str">
        <f>IF(NOT(ISBLANK($B1176)),VLOOKUP($B1176,AssetCategories!$A:$E,3,0),"")</f>
        <v/>
      </c>
      <c r="EP1176" s="33" t="str">
        <f t="shared" si="37"/>
        <v/>
      </c>
    </row>
    <row r="1177" spans="16:146" x14ac:dyDescent="0.25">
      <c r="P1177" s="33" t="str" cm="1">
        <f t="array" ref="P1177">IFERROR(SUM(VALUE(_xlfn.TEXTSPLIT(O1177, ";"))), "")</f>
        <v/>
      </c>
      <c r="DO1177" t="str">
        <f t="shared" si="36"/>
        <v/>
      </c>
      <c r="EG1177" s="33" t="str">
        <f>IF(NOT(ISBLANK($B1177)),VLOOKUP($B1177,AssetCategories!$A:$E,5,0),"")</f>
        <v/>
      </c>
      <c r="EH1177" t="str">
        <f>IF(NOT(ISBLANK($B1177)),VLOOKUP($B1177,AssetCategories!$A:$E,4,0),"")</f>
        <v/>
      </c>
      <c r="EM1177" t="str">
        <f>IF(NOT(ISBLANK($B1177)),VLOOKUP($B1177,AssetCategories!$A:$E,2,0),"")</f>
        <v/>
      </c>
      <c r="EN1177" t="str">
        <f>IF(NOT(ISBLANK($B1177)),VLOOKUP($B1177,AssetCategories!$A:$E,3,0),"")</f>
        <v/>
      </c>
      <c r="EP1177" s="33" t="str">
        <f t="shared" si="37"/>
        <v/>
      </c>
    </row>
    <row r="1178" spans="16:146" x14ac:dyDescent="0.25">
      <c r="P1178" s="33" t="str" cm="1">
        <f t="array" ref="P1178">IFERROR(SUM(VALUE(_xlfn.TEXTSPLIT(O1178, ";"))), "")</f>
        <v/>
      </c>
      <c r="DO1178" t="str">
        <f t="shared" si="36"/>
        <v/>
      </c>
      <c r="EG1178" s="33" t="str">
        <f>IF(NOT(ISBLANK($B1178)),VLOOKUP($B1178,AssetCategories!$A:$E,5,0),"")</f>
        <v/>
      </c>
      <c r="EH1178" t="str">
        <f>IF(NOT(ISBLANK($B1178)),VLOOKUP($B1178,AssetCategories!$A:$E,4,0),"")</f>
        <v/>
      </c>
      <c r="EM1178" t="str">
        <f>IF(NOT(ISBLANK($B1178)),VLOOKUP($B1178,AssetCategories!$A:$E,2,0),"")</f>
        <v/>
      </c>
      <c r="EN1178" t="str">
        <f>IF(NOT(ISBLANK($B1178)),VLOOKUP($B1178,AssetCategories!$A:$E,3,0),"")</f>
        <v/>
      </c>
      <c r="EP1178" s="33" t="str">
        <f t="shared" si="37"/>
        <v/>
      </c>
    </row>
    <row r="1179" spans="16:146" x14ac:dyDescent="0.25">
      <c r="P1179" s="33" t="str" cm="1">
        <f t="array" ref="P1179">IFERROR(SUM(VALUE(_xlfn.TEXTSPLIT(O1179, ";"))), "")</f>
        <v/>
      </c>
      <c r="DO1179" t="str">
        <f t="shared" si="36"/>
        <v/>
      </c>
      <c r="EG1179" s="33" t="str">
        <f>IF(NOT(ISBLANK($B1179)),VLOOKUP($B1179,AssetCategories!$A:$E,5,0),"")</f>
        <v/>
      </c>
      <c r="EH1179" t="str">
        <f>IF(NOT(ISBLANK($B1179)),VLOOKUP($B1179,AssetCategories!$A:$E,4,0),"")</f>
        <v/>
      </c>
      <c r="EM1179" t="str">
        <f>IF(NOT(ISBLANK($B1179)),VLOOKUP($B1179,AssetCategories!$A:$E,2,0),"")</f>
        <v/>
      </c>
      <c r="EN1179" t="str">
        <f>IF(NOT(ISBLANK($B1179)),VLOOKUP($B1179,AssetCategories!$A:$E,3,0),"")</f>
        <v/>
      </c>
      <c r="EP1179" s="33" t="str">
        <f t="shared" si="37"/>
        <v/>
      </c>
    </row>
    <row r="1180" spans="16:146" x14ac:dyDescent="0.25">
      <c r="P1180" s="33" t="str" cm="1">
        <f t="array" ref="P1180">IFERROR(SUM(VALUE(_xlfn.TEXTSPLIT(O1180, ";"))), "")</f>
        <v/>
      </c>
      <c r="DO1180" t="str">
        <f t="shared" si="36"/>
        <v/>
      </c>
      <c r="EG1180" s="33" t="str">
        <f>IF(NOT(ISBLANK($B1180)),VLOOKUP($B1180,AssetCategories!$A:$E,5,0),"")</f>
        <v/>
      </c>
      <c r="EH1180" t="str">
        <f>IF(NOT(ISBLANK($B1180)),VLOOKUP($B1180,AssetCategories!$A:$E,4,0),"")</f>
        <v/>
      </c>
      <c r="EM1180" t="str">
        <f>IF(NOT(ISBLANK($B1180)),VLOOKUP($B1180,AssetCategories!$A:$E,2,0),"")</f>
        <v/>
      </c>
      <c r="EN1180" t="str">
        <f>IF(NOT(ISBLANK($B1180)),VLOOKUP($B1180,AssetCategories!$A:$E,3,0),"")</f>
        <v/>
      </c>
      <c r="EP1180" s="33" t="str">
        <f t="shared" si="37"/>
        <v/>
      </c>
    </row>
    <row r="1181" spans="16:146" x14ac:dyDescent="0.25">
      <c r="P1181" s="33" t="str" cm="1">
        <f t="array" ref="P1181">IFERROR(SUM(VALUE(_xlfn.TEXTSPLIT(O1181, ";"))), "")</f>
        <v/>
      </c>
      <c r="DO1181" t="str">
        <f t="shared" si="36"/>
        <v/>
      </c>
      <c r="EG1181" s="33" t="str">
        <f>IF(NOT(ISBLANK($B1181)),VLOOKUP($B1181,AssetCategories!$A:$E,5,0),"")</f>
        <v/>
      </c>
      <c r="EH1181" t="str">
        <f>IF(NOT(ISBLANK($B1181)),VLOOKUP($B1181,AssetCategories!$A:$E,4,0),"")</f>
        <v/>
      </c>
      <c r="EM1181" t="str">
        <f>IF(NOT(ISBLANK($B1181)),VLOOKUP($B1181,AssetCategories!$A:$E,2,0),"")</f>
        <v/>
      </c>
      <c r="EN1181" t="str">
        <f>IF(NOT(ISBLANK($B1181)),VLOOKUP($B1181,AssetCategories!$A:$E,3,0),"")</f>
        <v/>
      </c>
      <c r="EP1181" s="33" t="str">
        <f t="shared" si="37"/>
        <v/>
      </c>
    </row>
    <row r="1182" spans="16:146" x14ac:dyDescent="0.25">
      <c r="P1182" s="33" t="str" cm="1">
        <f t="array" ref="P1182">IFERROR(SUM(VALUE(_xlfn.TEXTSPLIT(O1182, ";"))), "")</f>
        <v/>
      </c>
      <c r="DO1182" t="str">
        <f t="shared" si="36"/>
        <v/>
      </c>
      <c r="EG1182" s="33" t="str">
        <f>IF(NOT(ISBLANK($B1182)),VLOOKUP($B1182,AssetCategories!$A:$E,5,0),"")</f>
        <v/>
      </c>
      <c r="EH1182" t="str">
        <f>IF(NOT(ISBLANK($B1182)),VLOOKUP($B1182,AssetCategories!$A:$E,4,0),"")</f>
        <v/>
      </c>
      <c r="EM1182" t="str">
        <f>IF(NOT(ISBLANK($B1182)),VLOOKUP($B1182,AssetCategories!$A:$E,2,0),"")</f>
        <v/>
      </c>
      <c r="EN1182" t="str">
        <f>IF(NOT(ISBLANK($B1182)),VLOOKUP($B1182,AssetCategories!$A:$E,3,0),"")</f>
        <v/>
      </c>
      <c r="EP1182" s="33" t="str">
        <f t="shared" si="37"/>
        <v/>
      </c>
    </row>
    <row r="1183" spans="16:146" x14ac:dyDescent="0.25">
      <c r="P1183" s="33" t="str" cm="1">
        <f t="array" ref="P1183">IFERROR(SUM(VALUE(_xlfn.TEXTSPLIT(O1183, ";"))), "")</f>
        <v/>
      </c>
      <c r="DO1183" t="str">
        <f t="shared" si="36"/>
        <v/>
      </c>
      <c r="EG1183" s="33" t="str">
        <f>IF(NOT(ISBLANK($B1183)),VLOOKUP($B1183,AssetCategories!$A:$E,5,0),"")</f>
        <v/>
      </c>
      <c r="EH1183" t="str">
        <f>IF(NOT(ISBLANK($B1183)),VLOOKUP($B1183,AssetCategories!$A:$E,4,0),"")</f>
        <v/>
      </c>
      <c r="EM1183" t="str">
        <f>IF(NOT(ISBLANK($B1183)),VLOOKUP($B1183,AssetCategories!$A:$E,2,0),"")</f>
        <v/>
      </c>
      <c r="EN1183" t="str">
        <f>IF(NOT(ISBLANK($B1183)),VLOOKUP($B1183,AssetCategories!$A:$E,3,0),"")</f>
        <v/>
      </c>
      <c r="EP1183" s="33" t="str">
        <f t="shared" si="37"/>
        <v/>
      </c>
    </row>
    <row r="1184" spans="16:146" x14ac:dyDescent="0.25">
      <c r="P1184" s="33" t="str" cm="1">
        <f t="array" ref="P1184">IFERROR(SUM(VALUE(_xlfn.TEXTSPLIT(O1184, ";"))), "")</f>
        <v/>
      </c>
      <c r="DO1184" t="str">
        <f t="shared" si="36"/>
        <v/>
      </c>
      <c r="EG1184" s="33" t="str">
        <f>IF(NOT(ISBLANK($B1184)),VLOOKUP($B1184,AssetCategories!$A:$E,5,0),"")</f>
        <v/>
      </c>
      <c r="EH1184" t="str">
        <f>IF(NOT(ISBLANK($B1184)),VLOOKUP($B1184,AssetCategories!$A:$E,4,0),"")</f>
        <v/>
      </c>
      <c r="EM1184" t="str">
        <f>IF(NOT(ISBLANK($B1184)),VLOOKUP($B1184,AssetCategories!$A:$E,2,0),"")</f>
        <v/>
      </c>
      <c r="EN1184" t="str">
        <f>IF(NOT(ISBLANK($B1184)),VLOOKUP($B1184,AssetCategories!$A:$E,3,0),"")</f>
        <v/>
      </c>
      <c r="EP1184" s="33" t="str">
        <f t="shared" si="37"/>
        <v/>
      </c>
    </row>
    <row r="1185" spans="16:146" x14ac:dyDescent="0.25">
      <c r="P1185" s="33" t="str" cm="1">
        <f t="array" ref="P1185">IFERROR(SUM(VALUE(_xlfn.TEXTSPLIT(O1185, ";"))), "")</f>
        <v/>
      </c>
      <c r="DO1185" t="str">
        <f t="shared" si="36"/>
        <v/>
      </c>
      <c r="EG1185" s="33" t="str">
        <f>IF(NOT(ISBLANK($B1185)),VLOOKUP($B1185,AssetCategories!$A:$E,5,0),"")</f>
        <v/>
      </c>
      <c r="EH1185" t="str">
        <f>IF(NOT(ISBLANK($B1185)),VLOOKUP($B1185,AssetCategories!$A:$E,4,0),"")</f>
        <v/>
      </c>
      <c r="EM1185" t="str">
        <f>IF(NOT(ISBLANK($B1185)),VLOOKUP($B1185,AssetCategories!$A:$E,2,0),"")</f>
        <v/>
      </c>
      <c r="EN1185" t="str">
        <f>IF(NOT(ISBLANK($B1185)),VLOOKUP($B1185,AssetCategories!$A:$E,3,0),"")</f>
        <v/>
      </c>
      <c r="EP1185" s="33" t="str">
        <f t="shared" si="37"/>
        <v/>
      </c>
    </row>
    <row r="1186" spans="16:146" x14ac:dyDescent="0.25">
      <c r="P1186" s="33" t="str" cm="1">
        <f t="array" ref="P1186">IFERROR(SUM(VALUE(_xlfn.TEXTSPLIT(O1186, ";"))), "")</f>
        <v/>
      </c>
      <c r="DO1186" t="str">
        <f t="shared" si="36"/>
        <v/>
      </c>
      <c r="EG1186" s="33" t="str">
        <f>IF(NOT(ISBLANK($B1186)),VLOOKUP($B1186,AssetCategories!$A:$E,5,0),"")</f>
        <v/>
      </c>
      <c r="EH1186" t="str">
        <f>IF(NOT(ISBLANK($B1186)),VLOOKUP($B1186,AssetCategories!$A:$E,4,0),"")</f>
        <v/>
      </c>
      <c r="EM1186" t="str">
        <f>IF(NOT(ISBLANK($B1186)),VLOOKUP($B1186,AssetCategories!$A:$E,2,0),"")</f>
        <v/>
      </c>
      <c r="EN1186" t="str">
        <f>IF(NOT(ISBLANK($B1186)),VLOOKUP($B1186,AssetCategories!$A:$E,3,0),"")</f>
        <v/>
      </c>
      <c r="EP1186" s="33" t="str">
        <f t="shared" si="37"/>
        <v/>
      </c>
    </row>
    <row r="1187" spans="16:146" x14ac:dyDescent="0.25">
      <c r="P1187" s="33" t="str" cm="1">
        <f t="array" ref="P1187">IFERROR(SUM(VALUE(_xlfn.TEXTSPLIT(O1187, ";"))), "")</f>
        <v/>
      </c>
      <c r="DO1187" t="str">
        <f t="shared" si="36"/>
        <v/>
      </c>
      <c r="EG1187" s="33" t="str">
        <f>IF(NOT(ISBLANK($B1187)),VLOOKUP($B1187,AssetCategories!$A:$E,5,0),"")</f>
        <v/>
      </c>
      <c r="EH1187" t="str">
        <f>IF(NOT(ISBLANK($B1187)),VLOOKUP($B1187,AssetCategories!$A:$E,4,0),"")</f>
        <v/>
      </c>
      <c r="EM1187" t="str">
        <f>IF(NOT(ISBLANK($B1187)),VLOOKUP($B1187,AssetCategories!$A:$E,2,0),"")</f>
        <v/>
      </c>
      <c r="EN1187" t="str">
        <f>IF(NOT(ISBLANK($B1187)),VLOOKUP($B1187,AssetCategories!$A:$E,3,0),"")</f>
        <v/>
      </c>
      <c r="EP1187" s="33" t="str">
        <f t="shared" si="37"/>
        <v/>
      </c>
    </row>
    <row r="1188" spans="16:146" x14ac:dyDescent="0.25">
      <c r="P1188" s="33" t="str" cm="1">
        <f t="array" ref="P1188">IFERROR(SUM(VALUE(_xlfn.TEXTSPLIT(O1188, ";"))), "")</f>
        <v/>
      </c>
      <c r="DO1188" t="str">
        <f t="shared" si="36"/>
        <v/>
      </c>
      <c r="EG1188" s="33" t="str">
        <f>IF(NOT(ISBLANK($B1188)),VLOOKUP($B1188,AssetCategories!$A:$E,5,0),"")</f>
        <v/>
      </c>
      <c r="EH1188" t="str">
        <f>IF(NOT(ISBLANK($B1188)),VLOOKUP($B1188,AssetCategories!$A:$E,4,0),"")</f>
        <v/>
      </c>
      <c r="EM1188" t="str">
        <f>IF(NOT(ISBLANK($B1188)),VLOOKUP($B1188,AssetCategories!$A:$E,2,0),"")</f>
        <v/>
      </c>
      <c r="EN1188" t="str">
        <f>IF(NOT(ISBLANK($B1188)),VLOOKUP($B1188,AssetCategories!$A:$E,3,0),"")</f>
        <v/>
      </c>
      <c r="EP1188" s="33" t="str">
        <f t="shared" si="37"/>
        <v/>
      </c>
    </row>
    <row r="1189" spans="16:146" x14ac:dyDescent="0.25">
      <c r="P1189" s="33" t="str" cm="1">
        <f t="array" ref="P1189">IFERROR(SUM(VALUE(_xlfn.TEXTSPLIT(O1189, ";"))), "")</f>
        <v/>
      </c>
      <c r="DO1189" t="str">
        <f t="shared" si="36"/>
        <v/>
      </c>
      <c r="EG1189" s="33" t="str">
        <f>IF(NOT(ISBLANK($B1189)),VLOOKUP($B1189,AssetCategories!$A:$E,5,0),"")</f>
        <v/>
      </c>
      <c r="EH1189" t="str">
        <f>IF(NOT(ISBLANK($B1189)),VLOOKUP($B1189,AssetCategories!$A:$E,4,0),"")</f>
        <v/>
      </c>
      <c r="EM1189" t="str">
        <f>IF(NOT(ISBLANK($B1189)),VLOOKUP($B1189,AssetCategories!$A:$E,2,0),"")</f>
        <v/>
      </c>
      <c r="EN1189" t="str">
        <f>IF(NOT(ISBLANK($B1189)),VLOOKUP($B1189,AssetCategories!$A:$E,3,0),"")</f>
        <v/>
      </c>
      <c r="EP1189" s="33" t="str">
        <f t="shared" si="37"/>
        <v/>
      </c>
    </row>
    <row r="1190" spans="16:146" x14ac:dyDescent="0.25">
      <c r="P1190" s="33" t="str" cm="1">
        <f t="array" ref="P1190">IFERROR(SUM(VALUE(_xlfn.TEXTSPLIT(O1190, ";"))), "")</f>
        <v/>
      </c>
      <c r="DO1190" t="str">
        <f t="shared" si="36"/>
        <v/>
      </c>
      <c r="EG1190" s="33" t="str">
        <f>IF(NOT(ISBLANK($B1190)),VLOOKUP($B1190,AssetCategories!$A:$E,5,0),"")</f>
        <v/>
      </c>
      <c r="EH1190" t="str">
        <f>IF(NOT(ISBLANK($B1190)),VLOOKUP($B1190,AssetCategories!$A:$E,4,0),"")</f>
        <v/>
      </c>
      <c r="EM1190" t="str">
        <f>IF(NOT(ISBLANK($B1190)),VLOOKUP($B1190,AssetCategories!$A:$E,2,0),"")</f>
        <v/>
      </c>
      <c r="EN1190" t="str">
        <f>IF(NOT(ISBLANK($B1190)),VLOOKUP($B1190,AssetCategories!$A:$E,3,0),"")</f>
        <v/>
      </c>
      <c r="EP1190" s="33" t="str">
        <f t="shared" si="37"/>
        <v/>
      </c>
    </row>
    <row r="1191" spans="16:146" x14ac:dyDescent="0.25">
      <c r="P1191" s="33" t="str" cm="1">
        <f t="array" ref="P1191">IFERROR(SUM(VALUE(_xlfn.TEXTSPLIT(O1191, ";"))), "")</f>
        <v/>
      </c>
      <c r="DO1191" t="str">
        <f t="shared" si="36"/>
        <v/>
      </c>
      <c r="EG1191" s="33" t="str">
        <f>IF(NOT(ISBLANK($B1191)),VLOOKUP($B1191,AssetCategories!$A:$E,5,0),"")</f>
        <v/>
      </c>
      <c r="EH1191" t="str">
        <f>IF(NOT(ISBLANK($B1191)),VLOOKUP($B1191,AssetCategories!$A:$E,4,0),"")</f>
        <v/>
      </c>
      <c r="EM1191" t="str">
        <f>IF(NOT(ISBLANK($B1191)),VLOOKUP($B1191,AssetCategories!$A:$E,2,0),"")</f>
        <v/>
      </c>
      <c r="EN1191" t="str">
        <f>IF(NOT(ISBLANK($B1191)),VLOOKUP($B1191,AssetCategories!$A:$E,3,0),"")</f>
        <v/>
      </c>
      <c r="EP1191" s="33" t="str">
        <f t="shared" si="37"/>
        <v/>
      </c>
    </row>
    <row r="1192" spans="16:146" x14ac:dyDescent="0.25">
      <c r="P1192" s="33" t="str" cm="1">
        <f t="array" ref="P1192">IFERROR(SUM(VALUE(_xlfn.TEXTSPLIT(O1192, ";"))), "")</f>
        <v/>
      </c>
      <c r="DO1192" t="str">
        <f t="shared" si="36"/>
        <v/>
      </c>
      <c r="EG1192" s="33" t="str">
        <f>IF(NOT(ISBLANK($B1192)),VLOOKUP($B1192,AssetCategories!$A:$E,5,0),"")</f>
        <v/>
      </c>
      <c r="EH1192" t="str">
        <f>IF(NOT(ISBLANK($B1192)),VLOOKUP($B1192,AssetCategories!$A:$E,4,0),"")</f>
        <v/>
      </c>
      <c r="EM1192" t="str">
        <f>IF(NOT(ISBLANK($B1192)),VLOOKUP($B1192,AssetCategories!$A:$E,2,0),"")</f>
        <v/>
      </c>
      <c r="EN1192" t="str">
        <f>IF(NOT(ISBLANK($B1192)),VLOOKUP($B1192,AssetCategories!$A:$E,3,0),"")</f>
        <v/>
      </c>
      <c r="EP1192" s="33" t="str">
        <f t="shared" si="37"/>
        <v/>
      </c>
    </row>
    <row r="1193" spans="16:146" x14ac:dyDescent="0.25">
      <c r="P1193" s="33" t="str" cm="1">
        <f t="array" ref="P1193">IFERROR(SUM(VALUE(_xlfn.TEXTSPLIT(O1193, ";"))), "")</f>
        <v/>
      </c>
      <c r="DO1193" t="str">
        <f t="shared" si="36"/>
        <v/>
      </c>
      <c r="EG1193" s="33" t="str">
        <f>IF(NOT(ISBLANK($B1193)),VLOOKUP($B1193,AssetCategories!$A:$E,5,0),"")</f>
        <v/>
      </c>
      <c r="EH1193" t="str">
        <f>IF(NOT(ISBLANK($B1193)),VLOOKUP($B1193,AssetCategories!$A:$E,4,0),"")</f>
        <v/>
      </c>
      <c r="EM1193" t="str">
        <f>IF(NOT(ISBLANK($B1193)),VLOOKUP($B1193,AssetCategories!$A:$E,2,0),"")</f>
        <v/>
      </c>
      <c r="EN1193" t="str">
        <f>IF(NOT(ISBLANK($B1193)),VLOOKUP($B1193,AssetCategories!$A:$E,3,0),"")</f>
        <v/>
      </c>
      <c r="EP1193" s="33" t="str">
        <f t="shared" si="37"/>
        <v/>
      </c>
    </row>
    <row r="1194" spans="16:146" x14ac:dyDescent="0.25">
      <c r="P1194" s="33" t="str" cm="1">
        <f t="array" ref="P1194">IFERROR(SUM(VALUE(_xlfn.TEXTSPLIT(O1194, ";"))), "")</f>
        <v/>
      </c>
      <c r="DO1194" t="str">
        <f t="shared" si="36"/>
        <v/>
      </c>
      <c r="EG1194" s="33" t="str">
        <f>IF(NOT(ISBLANK($B1194)),VLOOKUP($B1194,AssetCategories!$A:$E,5,0),"")</f>
        <v/>
      </c>
      <c r="EH1194" t="str">
        <f>IF(NOT(ISBLANK($B1194)),VLOOKUP($B1194,AssetCategories!$A:$E,4,0),"")</f>
        <v/>
      </c>
      <c r="EM1194" t="str">
        <f>IF(NOT(ISBLANK($B1194)),VLOOKUP($B1194,AssetCategories!$A:$E,2,0),"")</f>
        <v/>
      </c>
      <c r="EN1194" t="str">
        <f>IF(NOT(ISBLANK($B1194)),VLOOKUP($B1194,AssetCategories!$A:$E,3,0),"")</f>
        <v/>
      </c>
      <c r="EP1194" s="33" t="str">
        <f t="shared" si="37"/>
        <v/>
      </c>
    </row>
    <row r="1195" spans="16:146" x14ac:dyDescent="0.25">
      <c r="P1195" s="33" t="str" cm="1">
        <f t="array" ref="P1195">IFERROR(SUM(VALUE(_xlfn.TEXTSPLIT(O1195, ";"))), "")</f>
        <v/>
      </c>
      <c r="DO1195" t="str">
        <f t="shared" si="36"/>
        <v/>
      </c>
      <c r="EG1195" s="33" t="str">
        <f>IF(NOT(ISBLANK($B1195)),VLOOKUP($B1195,AssetCategories!$A:$E,5,0),"")</f>
        <v/>
      </c>
      <c r="EH1195" t="str">
        <f>IF(NOT(ISBLANK($B1195)),VLOOKUP($B1195,AssetCategories!$A:$E,4,0),"")</f>
        <v/>
      </c>
      <c r="EM1195" t="str">
        <f>IF(NOT(ISBLANK($B1195)),VLOOKUP($B1195,AssetCategories!$A:$E,2,0),"")</f>
        <v/>
      </c>
      <c r="EN1195" t="str">
        <f>IF(NOT(ISBLANK($B1195)),VLOOKUP($B1195,AssetCategories!$A:$E,3,0),"")</f>
        <v/>
      </c>
      <c r="EP1195" s="33" t="str">
        <f t="shared" si="37"/>
        <v/>
      </c>
    </row>
    <row r="1196" spans="16:146" x14ac:dyDescent="0.25">
      <c r="P1196" s="33" t="str" cm="1">
        <f t="array" ref="P1196">IFERROR(SUM(VALUE(_xlfn.TEXTSPLIT(O1196, ";"))), "")</f>
        <v/>
      </c>
      <c r="DO1196" t="str">
        <f t="shared" si="36"/>
        <v/>
      </c>
      <c r="EG1196" s="33" t="str">
        <f>IF(NOT(ISBLANK($B1196)),VLOOKUP($B1196,AssetCategories!$A:$E,5,0),"")</f>
        <v/>
      </c>
      <c r="EH1196" t="str">
        <f>IF(NOT(ISBLANK($B1196)),VLOOKUP($B1196,AssetCategories!$A:$E,4,0),"")</f>
        <v/>
      </c>
      <c r="EM1196" t="str">
        <f>IF(NOT(ISBLANK($B1196)),VLOOKUP($B1196,AssetCategories!$A:$E,2,0),"")</f>
        <v/>
      </c>
      <c r="EN1196" t="str">
        <f>IF(NOT(ISBLANK($B1196)),VLOOKUP($B1196,AssetCategories!$A:$E,3,0),"")</f>
        <v/>
      </c>
      <c r="EP1196" s="33" t="str">
        <f t="shared" si="37"/>
        <v/>
      </c>
    </row>
    <row r="1197" spans="16:146" x14ac:dyDescent="0.25">
      <c r="P1197" s="33" t="str" cm="1">
        <f t="array" ref="P1197">IFERROR(SUM(VALUE(_xlfn.TEXTSPLIT(O1197, ";"))), "")</f>
        <v/>
      </c>
      <c r="DO1197" t="str">
        <f t="shared" si="36"/>
        <v/>
      </c>
      <c r="EG1197" s="33" t="str">
        <f>IF(NOT(ISBLANK($B1197)),VLOOKUP($B1197,AssetCategories!$A:$E,5,0),"")</f>
        <v/>
      </c>
      <c r="EH1197" t="str">
        <f>IF(NOT(ISBLANK($B1197)),VLOOKUP($B1197,AssetCategories!$A:$E,4,0),"")</f>
        <v/>
      </c>
      <c r="EM1197" t="str">
        <f>IF(NOT(ISBLANK($B1197)),VLOOKUP($B1197,AssetCategories!$A:$E,2,0),"")</f>
        <v/>
      </c>
      <c r="EN1197" t="str">
        <f>IF(NOT(ISBLANK($B1197)),VLOOKUP($B1197,AssetCategories!$A:$E,3,0),"")</f>
        <v/>
      </c>
      <c r="EP1197" s="33" t="str">
        <f t="shared" si="37"/>
        <v/>
      </c>
    </row>
    <row r="1198" spans="16:146" x14ac:dyDescent="0.25">
      <c r="P1198" s="33" t="str" cm="1">
        <f t="array" ref="P1198">IFERROR(SUM(VALUE(_xlfn.TEXTSPLIT(O1198, ";"))), "")</f>
        <v/>
      </c>
      <c r="DO1198" t="str">
        <f t="shared" si="36"/>
        <v/>
      </c>
      <c r="EG1198" s="33" t="str">
        <f>IF(NOT(ISBLANK($B1198)),VLOOKUP($B1198,AssetCategories!$A:$E,5,0),"")</f>
        <v/>
      </c>
      <c r="EH1198" t="str">
        <f>IF(NOT(ISBLANK($B1198)),VLOOKUP($B1198,AssetCategories!$A:$E,4,0),"")</f>
        <v/>
      </c>
      <c r="EM1198" t="str">
        <f>IF(NOT(ISBLANK($B1198)),VLOOKUP($B1198,AssetCategories!$A:$E,2,0),"")</f>
        <v/>
      </c>
      <c r="EN1198" t="str">
        <f>IF(NOT(ISBLANK($B1198)),VLOOKUP($B1198,AssetCategories!$A:$E,3,0),"")</f>
        <v/>
      </c>
      <c r="EP1198" s="33" t="str">
        <f t="shared" si="37"/>
        <v/>
      </c>
    </row>
    <row r="1199" spans="16:146" x14ac:dyDescent="0.25">
      <c r="P1199" s="33" t="str" cm="1">
        <f t="array" ref="P1199">IFERROR(SUM(VALUE(_xlfn.TEXTSPLIT(O1199, ";"))), "")</f>
        <v/>
      </c>
      <c r="DO1199" t="str">
        <f t="shared" si="36"/>
        <v/>
      </c>
      <c r="EG1199" s="33" t="str">
        <f>IF(NOT(ISBLANK($B1199)),VLOOKUP($B1199,AssetCategories!$A:$E,5,0),"")</f>
        <v/>
      </c>
      <c r="EH1199" t="str">
        <f>IF(NOT(ISBLANK($B1199)),VLOOKUP($B1199,AssetCategories!$A:$E,4,0),"")</f>
        <v/>
      </c>
      <c r="EM1199" t="str">
        <f>IF(NOT(ISBLANK($B1199)),VLOOKUP($B1199,AssetCategories!$A:$E,2,0),"")</f>
        <v/>
      </c>
      <c r="EN1199" t="str">
        <f>IF(NOT(ISBLANK($B1199)),VLOOKUP($B1199,AssetCategories!$A:$E,3,0),"")</f>
        <v/>
      </c>
      <c r="EP1199" s="33" t="str">
        <f t="shared" si="37"/>
        <v/>
      </c>
    </row>
    <row r="1200" spans="16:146" x14ac:dyDescent="0.25">
      <c r="P1200" s="33" t="str" cm="1">
        <f t="array" ref="P1200">IFERROR(SUM(VALUE(_xlfn.TEXTSPLIT(O1200, ";"))), "")</f>
        <v/>
      </c>
      <c r="DO1200" t="str">
        <f t="shared" si="36"/>
        <v/>
      </c>
      <c r="EG1200" s="33" t="str">
        <f>IF(NOT(ISBLANK($B1200)),VLOOKUP($B1200,AssetCategories!$A:$E,5,0),"")</f>
        <v/>
      </c>
      <c r="EH1200" t="str">
        <f>IF(NOT(ISBLANK($B1200)),VLOOKUP($B1200,AssetCategories!$A:$E,4,0),"")</f>
        <v/>
      </c>
      <c r="EM1200" t="str">
        <f>IF(NOT(ISBLANK($B1200)),VLOOKUP($B1200,AssetCategories!$A:$E,2,0),"")</f>
        <v/>
      </c>
      <c r="EN1200" t="str">
        <f>IF(NOT(ISBLANK($B1200)),VLOOKUP($B1200,AssetCategories!$A:$E,3,0),"")</f>
        <v/>
      </c>
      <c r="EP1200" s="33" t="str">
        <f t="shared" si="37"/>
        <v/>
      </c>
    </row>
    <row r="1201" spans="16:146" x14ac:dyDescent="0.25">
      <c r="P1201" s="33" t="str" cm="1">
        <f t="array" ref="P1201">IFERROR(SUM(VALUE(_xlfn.TEXTSPLIT(O1201, ";"))), "")</f>
        <v/>
      </c>
      <c r="DO1201" t="str">
        <f t="shared" si="36"/>
        <v/>
      </c>
      <c r="EG1201" s="33" t="str">
        <f>IF(NOT(ISBLANK($B1201)),VLOOKUP($B1201,AssetCategories!$A:$E,5,0),"")</f>
        <v/>
      </c>
      <c r="EH1201" t="str">
        <f>IF(NOT(ISBLANK($B1201)),VLOOKUP($B1201,AssetCategories!$A:$E,4,0),"")</f>
        <v/>
      </c>
      <c r="EM1201" t="str">
        <f>IF(NOT(ISBLANK($B1201)),VLOOKUP($B1201,AssetCategories!$A:$E,2,0),"")</f>
        <v/>
      </c>
      <c r="EN1201" t="str">
        <f>IF(NOT(ISBLANK($B1201)),VLOOKUP($B1201,AssetCategories!$A:$E,3,0),"")</f>
        <v/>
      </c>
      <c r="EP1201" s="33" t="str">
        <f t="shared" si="37"/>
        <v/>
      </c>
    </row>
    <row r="1202" spans="16:146" x14ac:dyDescent="0.25">
      <c r="P1202" s="33" t="str" cm="1">
        <f t="array" ref="P1202">IFERROR(SUM(VALUE(_xlfn.TEXTSPLIT(O1202, ";"))), "")</f>
        <v/>
      </c>
      <c r="DO1202" t="str">
        <f t="shared" si="36"/>
        <v/>
      </c>
      <c r="EG1202" s="33" t="str">
        <f>IF(NOT(ISBLANK($B1202)),VLOOKUP($B1202,AssetCategories!$A:$E,5,0),"")</f>
        <v/>
      </c>
      <c r="EH1202" t="str">
        <f>IF(NOT(ISBLANK($B1202)),VLOOKUP($B1202,AssetCategories!$A:$E,4,0),"")</f>
        <v/>
      </c>
      <c r="EM1202" t="str">
        <f>IF(NOT(ISBLANK($B1202)),VLOOKUP($B1202,AssetCategories!$A:$E,2,0),"")</f>
        <v/>
      </c>
      <c r="EN1202" t="str">
        <f>IF(NOT(ISBLANK($B1202)),VLOOKUP($B1202,AssetCategories!$A:$E,3,0),"")</f>
        <v/>
      </c>
      <c r="EP1202" s="33" t="str">
        <f t="shared" si="37"/>
        <v/>
      </c>
    </row>
    <row r="1203" spans="16:146" x14ac:dyDescent="0.25">
      <c r="P1203" s="33" t="str" cm="1">
        <f t="array" ref="P1203">IFERROR(SUM(VALUE(_xlfn.TEXTSPLIT(O1203, ";"))), "")</f>
        <v/>
      </c>
      <c r="DO1203" t="str">
        <f t="shared" si="36"/>
        <v/>
      </c>
      <c r="EG1203" s="33" t="str">
        <f>IF(NOT(ISBLANK($B1203)),VLOOKUP($B1203,AssetCategories!$A:$E,5,0),"")</f>
        <v/>
      </c>
      <c r="EH1203" t="str">
        <f>IF(NOT(ISBLANK($B1203)),VLOOKUP($B1203,AssetCategories!$A:$E,4,0),"")</f>
        <v/>
      </c>
      <c r="EM1203" t="str">
        <f>IF(NOT(ISBLANK($B1203)),VLOOKUP($B1203,AssetCategories!$A:$E,2,0),"")</f>
        <v/>
      </c>
      <c r="EN1203" t="str">
        <f>IF(NOT(ISBLANK($B1203)),VLOOKUP($B1203,AssetCategories!$A:$E,3,0),"")</f>
        <v/>
      </c>
      <c r="EP1203" s="33" t="str">
        <f t="shared" si="37"/>
        <v/>
      </c>
    </row>
    <row r="1204" spans="16:146" x14ac:dyDescent="0.25">
      <c r="P1204" s="33" t="str" cm="1">
        <f t="array" ref="P1204">IFERROR(SUM(VALUE(_xlfn.TEXTSPLIT(O1204, ";"))), "")</f>
        <v/>
      </c>
      <c r="DO1204" t="str">
        <f t="shared" si="36"/>
        <v/>
      </c>
      <c r="EG1204" s="33" t="str">
        <f>IF(NOT(ISBLANK($B1204)),VLOOKUP($B1204,AssetCategories!$A:$E,5,0),"")</f>
        <v/>
      </c>
      <c r="EH1204" t="str">
        <f>IF(NOT(ISBLANK($B1204)),VLOOKUP($B1204,AssetCategories!$A:$E,4,0),"")</f>
        <v/>
      </c>
      <c r="EM1204" t="str">
        <f>IF(NOT(ISBLANK($B1204)),VLOOKUP($B1204,AssetCategories!$A:$E,2,0),"")</f>
        <v/>
      </c>
      <c r="EN1204" t="str">
        <f>IF(NOT(ISBLANK($B1204)),VLOOKUP($B1204,AssetCategories!$A:$E,3,0),"")</f>
        <v/>
      </c>
      <c r="EP1204" s="33" t="str">
        <f t="shared" si="37"/>
        <v/>
      </c>
    </row>
    <row r="1205" spans="16:146" x14ac:dyDescent="0.25">
      <c r="P1205" s="33" t="str" cm="1">
        <f t="array" ref="P1205">IFERROR(SUM(VALUE(_xlfn.TEXTSPLIT(O1205, ";"))), "")</f>
        <v/>
      </c>
      <c r="DO1205" t="str">
        <f t="shared" si="36"/>
        <v/>
      </c>
      <c r="EG1205" s="33" t="str">
        <f>IF(NOT(ISBLANK($B1205)),VLOOKUP($B1205,AssetCategories!$A:$E,5,0),"")</f>
        <v/>
      </c>
      <c r="EH1205" t="str">
        <f>IF(NOT(ISBLANK($B1205)),VLOOKUP($B1205,AssetCategories!$A:$E,4,0),"")</f>
        <v/>
      </c>
      <c r="EM1205" t="str">
        <f>IF(NOT(ISBLANK($B1205)),VLOOKUP($B1205,AssetCategories!$A:$E,2,0),"")</f>
        <v/>
      </c>
      <c r="EN1205" t="str">
        <f>IF(NOT(ISBLANK($B1205)),VLOOKUP($B1205,AssetCategories!$A:$E,3,0),"")</f>
        <v/>
      </c>
      <c r="EP1205" s="33" t="str">
        <f t="shared" si="37"/>
        <v/>
      </c>
    </row>
    <row r="1206" spans="16:146" x14ac:dyDescent="0.25">
      <c r="P1206" s="33" t="str" cm="1">
        <f t="array" ref="P1206">IFERROR(SUM(VALUE(_xlfn.TEXTSPLIT(O1206, ";"))), "")</f>
        <v/>
      </c>
      <c r="DO1206" t="str">
        <f t="shared" si="36"/>
        <v/>
      </c>
      <c r="EG1206" s="33" t="str">
        <f>IF(NOT(ISBLANK($B1206)),VLOOKUP($B1206,AssetCategories!$A:$E,5,0),"")</f>
        <v/>
      </c>
      <c r="EH1206" t="str">
        <f>IF(NOT(ISBLANK($B1206)),VLOOKUP($B1206,AssetCategories!$A:$E,4,0),"")</f>
        <v/>
      </c>
      <c r="EM1206" t="str">
        <f>IF(NOT(ISBLANK($B1206)),VLOOKUP($B1206,AssetCategories!$A:$E,2,0),"")</f>
        <v/>
      </c>
      <c r="EN1206" t="str">
        <f>IF(NOT(ISBLANK($B1206)),VLOOKUP($B1206,AssetCategories!$A:$E,3,0),"")</f>
        <v/>
      </c>
      <c r="EP1206" s="33" t="str">
        <f t="shared" si="37"/>
        <v/>
      </c>
    </row>
    <row r="1207" spans="16:146" x14ac:dyDescent="0.25">
      <c r="P1207" s="33" t="str" cm="1">
        <f t="array" ref="P1207">IFERROR(SUM(VALUE(_xlfn.TEXTSPLIT(O1207, ";"))), "")</f>
        <v/>
      </c>
      <c r="DO1207" t="str">
        <f t="shared" si="36"/>
        <v/>
      </c>
      <c r="EG1207" s="33" t="str">
        <f>IF(NOT(ISBLANK($B1207)),VLOOKUP($B1207,AssetCategories!$A:$E,5,0),"")</f>
        <v/>
      </c>
      <c r="EH1207" t="str">
        <f>IF(NOT(ISBLANK($B1207)),VLOOKUP($B1207,AssetCategories!$A:$E,4,0),"")</f>
        <v/>
      </c>
      <c r="EM1207" t="str">
        <f>IF(NOT(ISBLANK($B1207)),VLOOKUP($B1207,AssetCategories!$A:$E,2,0),"")</f>
        <v/>
      </c>
      <c r="EN1207" t="str">
        <f>IF(NOT(ISBLANK($B1207)),VLOOKUP($B1207,AssetCategories!$A:$E,3,0),"")</f>
        <v/>
      </c>
      <c r="EP1207" s="33" t="str">
        <f t="shared" si="37"/>
        <v/>
      </c>
    </row>
    <row r="1208" spans="16:146" x14ac:dyDescent="0.25">
      <c r="P1208" s="33" t="str" cm="1">
        <f t="array" ref="P1208">IFERROR(SUM(VALUE(_xlfn.TEXTSPLIT(O1208, ";"))), "")</f>
        <v/>
      </c>
      <c r="DO1208" t="str">
        <f t="shared" si="36"/>
        <v/>
      </c>
      <c r="EG1208" s="33" t="str">
        <f>IF(NOT(ISBLANK($B1208)),VLOOKUP($B1208,AssetCategories!$A:$E,5,0),"")</f>
        <v/>
      </c>
      <c r="EH1208" t="str">
        <f>IF(NOT(ISBLANK($B1208)),VLOOKUP($B1208,AssetCategories!$A:$E,4,0),"")</f>
        <v/>
      </c>
      <c r="EM1208" t="str">
        <f>IF(NOT(ISBLANK($B1208)),VLOOKUP($B1208,AssetCategories!$A:$E,2,0),"")</f>
        <v/>
      </c>
      <c r="EN1208" t="str">
        <f>IF(NOT(ISBLANK($B1208)),VLOOKUP($B1208,AssetCategories!$A:$E,3,0),"")</f>
        <v/>
      </c>
      <c r="EP1208" s="33" t="str">
        <f t="shared" si="37"/>
        <v/>
      </c>
    </row>
    <row r="1209" spans="16:146" x14ac:dyDescent="0.25">
      <c r="P1209" s="33" t="str" cm="1">
        <f t="array" ref="P1209">IFERROR(SUM(VALUE(_xlfn.TEXTSPLIT(O1209, ";"))), "")</f>
        <v/>
      </c>
      <c r="DO1209" t="str">
        <f t="shared" si="36"/>
        <v/>
      </c>
      <c r="EG1209" s="33" t="str">
        <f>IF(NOT(ISBLANK($B1209)),VLOOKUP($B1209,AssetCategories!$A:$E,5,0),"")</f>
        <v/>
      </c>
      <c r="EH1209" t="str">
        <f>IF(NOT(ISBLANK($B1209)),VLOOKUP($B1209,AssetCategories!$A:$E,4,0),"")</f>
        <v/>
      </c>
      <c r="EM1209" t="str">
        <f>IF(NOT(ISBLANK($B1209)),VLOOKUP($B1209,AssetCategories!$A:$E,2,0),"")</f>
        <v/>
      </c>
      <c r="EN1209" t="str">
        <f>IF(NOT(ISBLANK($B1209)),VLOOKUP($B1209,AssetCategories!$A:$E,3,0),"")</f>
        <v/>
      </c>
      <c r="EP1209" s="33" t="str">
        <f t="shared" si="37"/>
        <v/>
      </c>
    </row>
    <row r="1210" spans="16:146" x14ac:dyDescent="0.25">
      <c r="P1210" s="33" t="str" cm="1">
        <f t="array" ref="P1210">IFERROR(SUM(VALUE(_xlfn.TEXTSPLIT(O1210, ";"))), "")</f>
        <v/>
      </c>
      <c r="DO1210" t="str">
        <f t="shared" si="36"/>
        <v/>
      </c>
      <c r="EG1210" s="33" t="str">
        <f>IF(NOT(ISBLANK($B1210)),VLOOKUP($B1210,AssetCategories!$A:$E,5,0),"")</f>
        <v/>
      </c>
      <c r="EH1210" t="str">
        <f>IF(NOT(ISBLANK($B1210)),VLOOKUP($B1210,AssetCategories!$A:$E,4,0),"")</f>
        <v/>
      </c>
      <c r="EM1210" t="str">
        <f>IF(NOT(ISBLANK($B1210)),VLOOKUP($B1210,AssetCategories!$A:$E,2,0),"")</f>
        <v/>
      </c>
      <c r="EN1210" t="str">
        <f>IF(NOT(ISBLANK($B1210)),VLOOKUP($B1210,AssetCategories!$A:$E,3,0),"")</f>
        <v/>
      </c>
      <c r="EP1210" s="33" t="str">
        <f t="shared" si="37"/>
        <v/>
      </c>
    </row>
    <row r="1211" spans="16:146" x14ac:dyDescent="0.25">
      <c r="P1211" s="33" t="str" cm="1">
        <f t="array" ref="P1211">IFERROR(SUM(VALUE(_xlfn.TEXTSPLIT(O1211, ";"))), "")</f>
        <v/>
      </c>
      <c r="DO1211" t="str">
        <f t="shared" si="36"/>
        <v/>
      </c>
      <c r="EG1211" s="33" t="str">
        <f>IF(NOT(ISBLANK($B1211)),VLOOKUP($B1211,AssetCategories!$A:$E,5,0),"")</f>
        <v/>
      </c>
      <c r="EH1211" t="str">
        <f>IF(NOT(ISBLANK($B1211)),VLOOKUP($B1211,AssetCategories!$A:$E,4,0),"")</f>
        <v/>
      </c>
      <c r="EM1211" t="str">
        <f>IF(NOT(ISBLANK($B1211)),VLOOKUP($B1211,AssetCategories!$A:$E,2,0),"")</f>
        <v/>
      </c>
      <c r="EN1211" t="str">
        <f>IF(NOT(ISBLANK($B1211)),VLOOKUP($B1211,AssetCategories!$A:$E,3,0),"")</f>
        <v/>
      </c>
      <c r="EP1211" s="33" t="str">
        <f t="shared" si="37"/>
        <v/>
      </c>
    </row>
    <row r="1212" spans="16:146" x14ac:dyDescent="0.25">
      <c r="P1212" s="33" t="str" cm="1">
        <f t="array" ref="P1212">IFERROR(SUM(VALUE(_xlfn.TEXTSPLIT(O1212, ";"))), "")</f>
        <v/>
      </c>
      <c r="DO1212" t="str">
        <f t="shared" si="36"/>
        <v/>
      </c>
      <c r="EG1212" s="33" t="str">
        <f>IF(NOT(ISBLANK($B1212)),VLOOKUP($B1212,AssetCategories!$A:$E,5,0),"")</f>
        <v/>
      </c>
      <c r="EH1212" t="str">
        <f>IF(NOT(ISBLANK($B1212)),VLOOKUP($B1212,AssetCategories!$A:$E,4,0),"")</f>
        <v/>
      </c>
      <c r="EM1212" t="str">
        <f>IF(NOT(ISBLANK($B1212)),VLOOKUP($B1212,AssetCategories!$A:$E,2,0),"")</f>
        <v/>
      </c>
      <c r="EN1212" t="str">
        <f>IF(NOT(ISBLANK($B1212)),VLOOKUP($B1212,AssetCategories!$A:$E,3,0),"")</f>
        <v/>
      </c>
      <c r="EP1212" s="33" t="str">
        <f t="shared" si="37"/>
        <v/>
      </c>
    </row>
    <row r="1213" spans="16:146" x14ac:dyDescent="0.25">
      <c r="P1213" s="33" t="str" cm="1">
        <f t="array" ref="P1213">IFERROR(SUM(VALUE(_xlfn.TEXTSPLIT(O1213, ";"))), "")</f>
        <v/>
      </c>
      <c r="DO1213" t="str">
        <f t="shared" si="36"/>
        <v/>
      </c>
      <c r="EG1213" s="33" t="str">
        <f>IF(NOT(ISBLANK($B1213)),VLOOKUP($B1213,AssetCategories!$A:$E,5,0),"")</f>
        <v/>
      </c>
      <c r="EH1213" t="str">
        <f>IF(NOT(ISBLANK($B1213)),VLOOKUP($B1213,AssetCategories!$A:$E,4,0),"")</f>
        <v/>
      </c>
      <c r="EM1213" t="str">
        <f>IF(NOT(ISBLANK($B1213)),VLOOKUP($B1213,AssetCategories!$A:$E,2,0),"")</f>
        <v/>
      </c>
      <c r="EN1213" t="str">
        <f>IF(NOT(ISBLANK($B1213)),VLOOKUP($B1213,AssetCategories!$A:$E,3,0),"")</f>
        <v/>
      </c>
      <c r="EP1213" s="33" t="str">
        <f t="shared" si="37"/>
        <v/>
      </c>
    </row>
    <row r="1214" spans="16:146" x14ac:dyDescent="0.25">
      <c r="P1214" s="33" t="str" cm="1">
        <f t="array" ref="P1214">IFERROR(SUM(VALUE(_xlfn.TEXTSPLIT(O1214, ";"))), "")</f>
        <v/>
      </c>
      <c r="DO1214" t="str">
        <f t="shared" si="36"/>
        <v/>
      </c>
      <c r="EG1214" s="33" t="str">
        <f>IF(NOT(ISBLANK($B1214)),VLOOKUP($B1214,AssetCategories!$A:$E,5,0),"")</f>
        <v/>
      </c>
      <c r="EH1214" t="str">
        <f>IF(NOT(ISBLANK($B1214)),VLOOKUP($B1214,AssetCategories!$A:$E,4,0),"")</f>
        <v/>
      </c>
      <c r="EM1214" t="str">
        <f>IF(NOT(ISBLANK($B1214)),VLOOKUP($B1214,AssetCategories!$A:$E,2,0),"")</f>
        <v/>
      </c>
      <c r="EN1214" t="str">
        <f>IF(NOT(ISBLANK($B1214)),VLOOKUP($B1214,AssetCategories!$A:$E,3,0),"")</f>
        <v/>
      </c>
      <c r="EP1214" s="33" t="str">
        <f t="shared" si="37"/>
        <v/>
      </c>
    </row>
    <row r="1215" spans="16:146" x14ac:dyDescent="0.25">
      <c r="P1215" s="33" t="str" cm="1">
        <f t="array" ref="P1215">IFERROR(SUM(VALUE(_xlfn.TEXTSPLIT(O1215, ";"))), "")</f>
        <v/>
      </c>
      <c r="DO1215" t="str">
        <f t="shared" si="36"/>
        <v/>
      </c>
      <c r="EG1215" s="33" t="str">
        <f>IF(NOT(ISBLANK($B1215)),VLOOKUP($B1215,AssetCategories!$A:$E,5,0),"")</f>
        <v/>
      </c>
      <c r="EH1215" t="str">
        <f>IF(NOT(ISBLANK($B1215)),VLOOKUP($B1215,AssetCategories!$A:$E,4,0),"")</f>
        <v/>
      </c>
      <c r="EM1215" t="str">
        <f>IF(NOT(ISBLANK($B1215)),VLOOKUP($B1215,AssetCategories!$A:$E,2,0),"")</f>
        <v/>
      </c>
      <c r="EN1215" t="str">
        <f>IF(NOT(ISBLANK($B1215)),VLOOKUP($B1215,AssetCategories!$A:$E,3,0),"")</f>
        <v/>
      </c>
      <c r="EP1215" s="33" t="str">
        <f t="shared" si="37"/>
        <v/>
      </c>
    </row>
    <row r="1216" spans="16:146" x14ac:dyDescent="0.25">
      <c r="P1216" s="33" t="str" cm="1">
        <f t="array" ref="P1216">IFERROR(SUM(VALUE(_xlfn.TEXTSPLIT(O1216, ";"))), "")</f>
        <v/>
      </c>
      <c r="DO1216" t="str">
        <f t="shared" si="36"/>
        <v/>
      </c>
      <c r="EG1216" s="33" t="str">
        <f>IF(NOT(ISBLANK($B1216)),VLOOKUP($B1216,AssetCategories!$A:$E,5,0),"")</f>
        <v/>
      </c>
      <c r="EH1216" t="str">
        <f>IF(NOT(ISBLANK($B1216)),VLOOKUP($B1216,AssetCategories!$A:$E,4,0),"")</f>
        <v/>
      </c>
      <c r="EM1216" t="str">
        <f>IF(NOT(ISBLANK($B1216)),VLOOKUP($B1216,AssetCategories!$A:$E,2,0),"")</f>
        <v/>
      </c>
      <c r="EN1216" t="str">
        <f>IF(NOT(ISBLANK($B1216)),VLOOKUP($B1216,AssetCategories!$A:$E,3,0),"")</f>
        <v/>
      </c>
      <c r="EP1216" s="33" t="str">
        <f t="shared" si="37"/>
        <v/>
      </c>
    </row>
    <row r="1217" spans="16:146" x14ac:dyDescent="0.25">
      <c r="P1217" s="33" t="str" cm="1">
        <f t="array" ref="P1217">IFERROR(SUM(VALUE(_xlfn.TEXTSPLIT(O1217, ";"))), "")</f>
        <v/>
      </c>
      <c r="DO1217" t="str">
        <f t="shared" si="36"/>
        <v/>
      </c>
      <c r="EG1217" s="33" t="str">
        <f>IF(NOT(ISBLANK($B1217)),VLOOKUP($B1217,AssetCategories!$A:$E,5,0),"")</f>
        <v/>
      </c>
      <c r="EH1217" t="str">
        <f>IF(NOT(ISBLANK($B1217)),VLOOKUP($B1217,AssetCategories!$A:$E,4,0),"")</f>
        <v/>
      </c>
      <c r="EM1217" t="str">
        <f>IF(NOT(ISBLANK($B1217)),VLOOKUP($B1217,AssetCategories!$A:$E,2,0),"")</f>
        <v/>
      </c>
      <c r="EN1217" t="str">
        <f>IF(NOT(ISBLANK($B1217)),VLOOKUP($B1217,AssetCategories!$A:$E,3,0),"")</f>
        <v/>
      </c>
      <c r="EP1217" s="33" t="str">
        <f t="shared" si="37"/>
        <v/>
      </c>
    </row>
    <row r="1218" spans="16:146" x14ac:dyDescent="0.25">
      <c r="P1218" s="33" t="str" cm="1">
        <f t="array" ref="P1218">IFERROR(SUM(VALUE(_xlfn.TEXTSPLIT(O1218, ";"))), "")</f>
        <v/>
      </c>
      <c r="DO1218" t="str">
        <f t="shared" si="36"/>
        <v/>
      </c>
      <c r="EG1218" s="33" t="str">
        <f>IF(NOT(ISBLANK($B1218)),VLOOKUP($B1218,AssetCategories!$A:$E,5,0),"")</f>
        <v/>
      </c>
      <c r="EH1218" t="str">
        <f>IF(NOT(ISBLANK($B1218)),VLOOKUP($B1218,AssetCategories!$A:$E,4,0),"")</f>
        <v/>
      </c>
      <c r="EM1218" t="str">
        <f>IF(NOT(ISBLANK($B1218)),VLOOKUP($B1218,AssetCategories!$A:$E,2,0),"")</f>
        <v/>
      </c>
      <c r="EN1218" t="str">
        <f>IF(NOT(ISBLANK($B1218)),VLOOKUP($B1218,AssetCategories!$A:$E,3,0),"")</f>
        <v/>
      </c>
      <c r="EP1218" s="33" t="str">
        <f t="shared" si="37"/>
        <v/>
      </c>
    </row>
    <row r="1219" spans="16:146" x14ac:dyDescent="0.25">
      <c r="P1219" s="33" t="str" cm="1">
        <f t="array" ref="P1219">IFERROR(SUM(VALUE(_xlfn.TEXTSPLIT(O1219, ";"))), "")</f>
        <v/>
      </c>
      <c r="DO1219" t="str">
        <f t="shared" si="36"/>
        <v/>
      </c>
      <c r="EG1219" s="33" t="str">
        <f>IF(NOT(ISBLANK($B1219)),VLOOKUP($B1219,AssetCategories!$A:$E,5,0),"")</f>
        <v/>
      </c>
      <c r="EH1219" t="str">
        <f>IF(NOT(ISBLANK($B1219)),VLOOKUP($B1219,AssetCategories!$A:$E,4,0),"")</f>
        <v/>
      </c>
      <c r="EM1219" t="str">
        <f>IF(NOT(ISBLANK($B1219)),VLOOKUP($B1219,AssetCategories!$A:$E,2,0),"")</f>
        <v/>
      </c>
      <c r="EN1219" t="str">
        <f>IF(NOT(ISBLANK($B1219)),VLOOKUP($B1219,AssetCategories!$A:$E,3,0),"")</f>
        <v/>
      </c>
      <c r="EP1219" s="33" t="str">
        <f t="shared" si="37"/>
        <v/>
      </c>
    </row>
    <row r="1220" spans="16:146" x14ac:dyDescent="0.25">
      <c r="P1220" s="33" t="str" cm="1">
        <f t="array" ref="P1220">IFERROR(SUM(VALUE(_xlfn.TEXTSPLIT(O1220, ";"))), "")</f>
        <v/>
      </c>
      <c r="DO1220" t="str">
        <f t="shared" si="36"/>
        <v/>
      </c>
      <c r="EG1220" s="33" t="str">
        <f>IF(NOT(ISBLANK($B1220)),VLOOKUP($B1220,AssetCategories!$A:$E,5,0),"")</f>
        <v/>
      </c>
      <c r="EH1220" t="str">
        <f>IF(NOT(ISBLANK($B1220)),VLOOKUP($B1220,AssetCategories!$A:$E,4,0),"")</f>
        <v/>
      </c>
      <c r="EM1220" t="str">
        <f>IF(NOT(ISBLANK($B1220)),VLOOKUP($B1220,AssetCategories!$A:$E,2,0),"")</f>
        <v/>
      </c>
      <c r="EN1220" t="str">
        <f>IF(NOT(ISBLANK($B1220)),VLOOKUP($B1220,AssetCategories!$A:$E,3,0),"")</f>
        <v/>
      </c>
      <c r="EP1220" s="33" t="str">
        <f t="shared" si="37"/>
        <v/>
      </c>
    </row>
    <row r="1221" spans="16:146" x14ac:dyDescent="0.25">
      <c r="P1221" s="33" t="str" cm="1">
        <f t="array" ref="P1221">IFERROR(SUM(VALUE(_xlfn.TEXTSPLIT(O1221, ";"))), "")</f>
        <v/>
      </c>
      <c r="DO1221" t="str">
        <f t="shared" ref="DO1221:DO1284" si="38">IF(SUM(DE1221:DN1221)=0, "", SUM(DE1221:DN1221))</f>
        <v/>
      </c>
      <c r="EG1221" s="33" t="str">
        <f>IF(NOT(ISBLANK($B1221)),VLOOKUP($B1221,AssetCategories!$A:$E,5,0),"")</f>
        <v/>
      </c>
      <c r="EH1221" t="str">
        <f>IF(NOT(ISBLANK($B1221)),VLOOKUP($B1221,AssetCategories!$A:$E,4,0),"")</f>
        <v/>
      </c>
      <c r="EM1221" t="str">
        <f>IF(NOT(ISBLANK($B1221)),VLOOKUP($B1221,AssetCategories!$A:$E,2,0),"")</f>
        <v/>
      </c>
      <c r="EN1221" t="str">
        <f>IF(NOT(ISBLANK($B1221)),VLOOKUP($B1221,AssetCategories!$A:$E,3,0),"")</f>
        <v/>
      </c>
      <c r="EP1221" s="33" t="str">
        <f t="shared" ref="EP1221:EP1284" si="39">IFERROR(P1221-EO1221, "")</f>
        <v/>
      </c>
    </row>
    <row r="1222" spans="16:146" x14ac:dyDescent="0.25">
      <c r="P1222" s="33" t="str" cm="1">
        <f t="array" ref="P1222">IFERROR(SUM(VALUE(_xlfn.TEXTSPLIT(O1222, ";"))), "")</f>
        <v/>
      </c>
      <c r="DO1222" t="str">
        <f t="shared" si="38"/>
        <v/>
      </c>
      <c r="EG1222" s="33" t="str">
        <f>IF(NOT(ISBLANK($B1222)),VLOOKUP($B1222,AssetCategories!$A:$E,5,0),"")</f>
        <v/>
      </c>
      <c r="EH1222" t="str">
        <f>IF(NOT(ISBLANK($B1222)),VLOOKUP($B1222,AssetCategories!$A:$E,4,0),"")</f>
        <v/>
      </c>
      <c r="EM1222" t="str">
        <f>IF(NOT(ISBLANK($B1222)),VLOOKUP($B1222,AssetCategories!$A:$E,2,0),"")</f>
        <v/>
      </c>
      <c r="EN1222" t="str">
        <f>IF(NOT(ISBLANK($B1222)),VLOOKUP($B1222,AssetCategories!$A:$E,3,0),"")</f>
        <v/>
      </c>
      <c r="EP1222" s="33" t="str">
        <f t="shared" si="39"/>
        <v/>
      </c>
    </row>
    <row r="1223" spans="16:146" x14ac:dyDescent="0.25">
      <c r="P1223" s="33" t="str" cm="1">
        <f t="array" ref="P1223">IFERROR(SUM(VALUE(_xlfn.TEXTSPLIT(O1223, ";"))), "")</f>
        <v/>
      </c>
      <c r="DO1223" t="str">
        <f t="shared" si="38"/>
        <v/>
      </c>
      <c r="EG1223" s="33" t="str">
        <f>IF(NOT(ISBLANK($B1223)),VLOOKUP($B1223,AssetCategories!$A:$E,5,0),"")</f>
        <v/>
      </c>
      <c r="EH1223" t="str">
        <f>IF(NOT(ISBLANK($B1223)),VLOOKUP($B1223,AssetCategories!$A:$E,4,0),"")</f>
        <v/>
      </c>
      <c r="EM1223" t="str">
        <f>IF(NOT(ISBLANK($B1223)),VLOOKUP($B1223,AssetCategories!$A:$E,2,0),"")</f>
        <v/>
      </c>
      <c r="EN1223" t="str">
        <f>IF(NOT(ISBLANK($B1223)),VLOOKUP($B1223,AssetCategories!$A:$E,3,0),"")</f>
        <v/>
      </c>
      <c r="EP1223" s="33" t="str">
        <f t="shared" si="39"/>
        <v/>
      </c>
    </row>
    <row r="1224" spans="16:146" x14ac:dyDescent="0.25">
      <c r="P1224" s="33" t="str" cm="1">
        <f t="array" ref="P1224">IFERROR(SUM(VALUE(_xlfn.TEXTSPLIT(O1224, ";"))), "")</f>
        <v/>
      </c>
      <c r="DO1224" t="str">
        <f t="shared" si="38"/>
        <v/>
      </c>
      <c r="EG1224" s="33" t="str">
        <f>IF(NOT(ISBLANK($B1224)),VLOOKUP($B1224,AssetCategories!$A:$E,5,0),"")</f>
        <v/>
      </c>
      <c r="EH1224" t="str">
        <f>IF(NOT(ISBLANK($B1224)),VLOOKUP($B1224,AssetCategories!$A:$E,4,0),"")</f>
        <v/>
      </c>
      <c r="EM1224" t="str">
        <f>IF(NOT(ISBLANK($B1224)),VLOOKUP($B1224,AssetCategories!$A:$E,2,0),"")</f>
        <v/>
      </c>
      <c r="EN1224" t="str">
        <f>IF(NOT(ISBLANK($B1224)),VLOOKUP($B1224,AssetCategories!$A:$E,3,0),"")</f>
        <v/>
      </c>
      <c r="EP1224" s="33" t="str">
        <f t="shared" si="39"/>
        <v/>
      </c>
    </row>
    <row r="1225" spans="16:146" x14ac:dyDescent="0.25">
      <c r="P1225" s="33" t="str" cm="1">
        <f t="array" ref="P1225">IFERROR(SUM(VALUE(_xlfn.TEXTSPLIT(O1225, ";"))), "")</f>
        <v/>
      </c>
      <c r="DO1225" t="str">
        <f t="shared" si="38"/>
        <v/>
      </c>
      <c r="EG1225" s="33" t="str">
        <f>IF(NOT(ISBLANK($B1225)),VLOOKUP($B1225,AssetCategories!$A:$E,5,0),"")</f>
        <v/>
      </c>
      <c r="EH1225" t="str">
        <f>IF(NOT(ISBLANK($B1225)),VLOOKUP($B1225,AssetCategories!$A:$E,4,0),"")</f>
        <v/>
      </c>
      <c r="EM1225" t="str">
        <f>IF(NOT(ISBLANK($B1225)),VLOOKUP($B1225,AssetCategories!$A:$E,2,0),"")</f>
        <v/>
      </c>
      <c r="EN1225" t="str">
        <f>IF(NOT(ISBLANK($B1225)),VLOOKUP($B1225,AssetCategories!$A:$E,3,0),"")</f>
        <v/>
      </c>
      <c r="EP1225" s="33" t="str">
        <f t="shared" si="39"/>
        <v/>
      </c>
    </row>
    <row r="1226" spans="16:146" x14ac:dyDescent="0.25">
      <c r="P1226" s="33" t="str" cm="1">
        <f t="array" ref="P1226">IFERROR(SUM(VALUE(_xlfn.TEXTSPLIT(O1226, ";"))), "")</f>
        <v/>
      </c>
      <c r="DO1226" t="str">
        <f t="shared" si="38"/>
        <v/>
      </c>
      <c r="EG1226" s="33" t="str">
        <f>IF(NOT(ISBLANK($B1226)),VLOOKUP($B1226,AssetCategories!$A:$E,5,0),"")</f>
        <v/>
      </c>
      <c r="EH1226" t="str">
        <f>IF(NOT(ISBLANK($B1226)),VLOOKUP($B1226,AssetCategories!$A:$E,4,0),"")</f>
        <v/>
      </c>
      <c r="EM1226" t="str">
        <f>IF(NOT(ISBLANK($B1226)),VLOOKUP($B1226,AssetCategories!$A:$E,2,0),"")</f>
        <v/>
      </c>
      <c r="EN1226" t="str">
        <f>IF(NOT(ISBLANK($B1226)),VLOOKUP($B1226,AssetCategories!$A:$E,3,0),"")</f>
        <v/>
      </c>
      <c r="EP1226" s="33" t="str">
        <f t="shared" si="39"/>
        <v/>
      </c>
    </row>
    <row r="1227" spans="16:146" x14ac:dyDescent="0.25">
      <c r="P1227" s="33" t="str" cm="1">
        <f t="array" ref="P1227">IFERROR(SUM(VALUE(_xlfn.TEXTSPLIT(O1227, ";"))), "")</f>
        <v/>
      </c>
      <c r="DO1227" t="str">
        <f t="shared" si="38"/>
        <v/>
      </c>
      <c r="EG1227" s="33" t="str">
        <f>IF(NOT(ISBLANK($B1227)),VLOOKUP($B1227,AssetCategories!$A:$E,5,0),"")</f>
        <v/>
      </c>
      <c r="EH1227" t="str">
        <f>IF(NOT(ISBLANK($B1227)),VLOOKUP($B1227,AssetCategories!$A:$E,4,0),"")</f>
        <v/>
      </c>
      <c r="EM1227" t="str">
        <f>IF(NOT(ISBLANK($B1227)),VLOOKUP($B1227,AssetCategories!$A:$E,2,0),"")</f>
        <v/>
      </c>
      <c r="EN1227" t="str">
        <f>IF(NOT(ISBLANK($B1227)),VLOOKUP($B1227,AssetCategories!$A:$E,3,0),"")</f>
        <v/>
      </c>
      <c r="EP1227" s="33" t="str">
        <f t="shared" si="39"/>
        <v/>
      </c>
    </row>
    <row r="1228" spans="16:146" x14ac:dyDescent="0.25">
      <c r="P1228" s="33" t="str" cm="1">
        <f t="array" ref="P1228">IFERROR(SUM(VALUE(_xlfn.TEXTSPLIT(O1228, ";"))), "")</f>
        <v/>
      </c>
      <c r="DO1228" t="str">
        <f t="shared" si="38"/>
        <v/>
      </c>
      <c r="EG1228" s="33" t="str">
        <f>IF(NOT(ISBLANK($B1228)),VLOOKUP($B1228,AssetCategories!$A:$E,5,0),"")</f>
        <v/>
      </c>
      <c r="EH1228" t="str">
        <f>IF(NOT(ISBLANK($B1228)),VLOOKUP($B1228,AssetCategories!$A:$E,4,0),"")</f>
        <v/>
      </c>
      <c r="EM1228" t="str">
        <f>IF(NOT(ISBLANK($B1228)),VLOOKUP($B1228,AssetCategories!$A:$E,2,0),"")</f>
        <v/>
      </c>
      <c r="EN1228" t="str">
        <f>IF(NOT(ISBLANK($B1228)),VLOOKUP($B1228,AssetCategories!$A:$E,3,0),"")</f>
        <v/>
      </c>
      <c r="EP1228" s="33" t="str">
        <f t="shared" si="39"/>
        <v/>
      </c>
    </row>
    <row r="1229" spans="16:146" x14ac:dyDescent="0.25">
      <c r="P1229" s="33" t="str" cm="1">
        <f t="array" ref="P1229">IFERROR(SUM(VALUE(_xlfn.TEXTSPLIT(O1229, ";"))), "")</f>
        <v/>
      </c>
      <c r="DO1229" t="str">
        <f t="shared" si="38"/>
        <v/>
      </c>
      <c r="EG1229" s="33" t="str">
        <f>IF(NOT(ISBLANK($B1229)),VLOOKUP($B1229,AssetCategories!$A:$E,5,0),"")</f>
        <v/>
      </c>
      <c r="EH1229" t="str">
        <f>IF(NOT(ISBLANK($B1229)),VLOOKUP($B1229,AssetCategories!$A:$E,4,0),"")</f>
        <v/>
      </c>
      <c r="EM1229" t="str">
        <f>IF(NOT(ISBLANK($B1229)),VLOOKUP($B1229,AssetCategories!$A:$E,2,0),"")</f>
        <v/>
      </c>
      <c r="EN1229" t="str">
        <f>IF(NOT(ISBLANK($B1229)),VLOOKUP($B1229,AssetCategories!$A:$E,3,0),"")</f>
        <v/>
      </c>
      <c r="EP1229" s="33" t="str">
        <f t="shared" si="39"/>
        <v/>
      </c>
    </row>
    <row r="1230" spans="16:146" x14ac:dyDescent="0.25">
      <c r="P1230" s="33" t="str" cm="1">
        <f t="array" ref="P1230">IFERROR(SUM(VALUE(_xlfn.TEXTSPLIT(O1230, ";"))), "")</f>
        <v/>
      </c>
      <c r="DO1230" t="str">
        <f t="shared" si="38"/>
        <v/>
      </c>
      <c r="EG1230" s="33" t="str">
        <f>IF(NOT(ISBLANK($B1230)),VLOOKUP($B1230,AssetCategories!$A:$E,5,0),"")</f>
        <v/>
      </c>
      <c r="EH1230" t="str">
        <f>IF(NOT(ISBLANK($B1230)),VLOOKUP($B1230,AssetCategories!$A:$E,4,0),"")</f>
        <v/>
      </c>
      <c r="EM1230" t="str">
        <f>IF(NOT(ISBLANK($B1230)),VLOOKUP($B1230,AssetCategories!$A:$E,2,0),"")</f>
        <v/>
      </c>
      <c r="EN1230" t="str">
        <f>IF(NOT(ISBLANK($B1230)),VLOOKUP($B1230,AssetCategories!$A:$E,3,0),"")</f>
        <v/>
      </c>
      <c r="EP1230" s="33" t="str">
        <f t="shared" si="39"/>
        <v/>
      </c>
    </row>
    <row r="1231" spans="16:146" x14ac:dyDescent="0.25">
      <c r="P1231" s="33" t="str" cm="1">
        <f t="array" ref="P1231">IFERROR(SUM(VALUE(_xlfn.TEXTSPLIT(O1231, ";"))), "")</f>
        <v/>
      </c>
      <c r="DO1231" t="str">
        <f t="shared" si="38"/>
        <v/>
      </c>
      <c r="EG1231" s="33" t="str">
        <f>IF(NOT(ISBLANK($B1231)),VLOOKUP($B1231,AssetCategories!$A:$E,5,0),"")</f>
        <v/>
      </c>
      <c r="EH1231" t="str">
        <f>IF(NOT(ISBLANK($B1231)),VLOOKUP($B1231,AssetCategories!$A:$E,4,0),"")</f>
        <v/>
      </c>
      <c r="EM1231" t="str">
        <f>IF(NOT(ISBLANK($B1231)),VLOOKUP($B1231,AssetCategories!$A:$E,2,0),"")</f>
        <v/>
      </c>
      <c r="EN1231" t="str">
        <f>IF(NOT(ISBLANK($B1231)),VLOOKUP($B1231,AssetCategories!$A:$E,3,0),"")</f>
        <v/>
      </c>
      <c r="EP1231" s="33" t="str">
        <f t="shared" si="39"/>
        <v/>
      </c>
    </row>
    <row r="1232" spans="16:146" x14ac:dyDescent="0.25">
      <c r="P1232" s="33" t="str" cm="1">
        <f t="array" ref="P1232">IFERROR(SUM(VALUE(_xlfn.TEXTSPLIT(O1232, ";"))), "")</f>
        <v/>
      </c>
      <c r="DO1232" t="str">
        <f t="shared" si="38"/>
        <v/>
      </c>
      <c r="EG1232" s="33" t="str">
        <f>IF(NOT(ISBLANK($B1232)),VLOOKUP($B1232,AssetCategories!$A:$E,5,0),"")</f>
        <v/>
      </c>
      <c r="EH1232" t="str">
        <f>IF(NOT(ISBLANK($B1232)),VLOOKUP($B1232,AssetCategories!$A:$E,4,0),"")</f>
        <v/>
      </c>
      <c r="EM1232" t="str">
        <f>IF(NOT(ISBLANK($B1232)),VLOOKUP($B1232,AssetCategories!$A:$E,2,0),"")</f>
        <v/>
      </c>
      <c r="EN1232" t="str">
        <f>IF(NOT(ISBLANK($B1232)),VLOOKUP($B1232,AssetCategories!$A:$E,3,0),"")</f>
        <v/>
      </c>
      <c r="EP1232" s="33" t="str">
        <f t="shared" si="39"/>
        <v/>
      </c>
    </row>
    <row r="1233" spans="16:146" x14ac:dyDescent="0.25">
      <c r="P1233" s="33" t="str" cm="1">
        <f t="array" ref="P1233">IFERROR(SUM(VALUE(_xlfn.TEXTSPLIT(O1233, ";"))), "")</f>
        <v/>
      </c>
      <c r="DO1233" t="str">
        <f t="shared" si="38"/>
        <v/>
      </c>
      <c r="EG1233" s="33" t="str">
        <f>IF(NOT(ISBLANK($B1233)),VLOOKUP($B1233,AssetCategories!$A:$E,5,0),"")</f>
        <v/>
      </c>
      <c r="EH1233" t="str">
        <f>IF(NOT(ISBLANK($B1233)),VLOOKUP($B1233,AssetCategories!$A:$E,4,0),"")</f>
        <v/>
      </c>
      <c r="EM1233" t="str">
        <f>IF(NOT(ISBLANK($B1233)),VLOOKUP($B1233,AssetCategories!$A:$E,2,0),"")</f>
        <v/>
      </c>
      <c r="EN1233" t="str">
        <f>IF(NOT(ISBLANK($B1233)),VLOOKUP($B1233,AssetCategories!$A:$E,3,0),"")</f>
        <v/>
      </c>
      <c r="EP1233" s="33" t="str">
        <f t="shared" si="39"/>
        <v/>
      </c>
    </row>
    <row r="1234" spans="16:146" x14ac:dyDescent="0.25">
      <c r="P1234" s="33" t="str" cm="1">
        <f t="array" ref="P1234">IFERROR(SUM(VALUE(_xlfn.TEXTSPLIT(O1234, ";"))), "")</f>
        <v/>
      </c>
      <c r="DO1234" t="str">
        <f t="shared" si="38"/>
        <v/>
      </c>
      <c r="EG1234" s="33" t="str">
        <f>IF(NOT(ISBLANK($B1234)),VLOOKUP($B1234,AssetCategories!$A:$E,5,0),"")</f>
        <v/>
      </c>
      <c r="EH1234" t="str">
        <f>IF(NOT(ISBLANK($B1234)),VLOOKUP($B1234,AssetCategories!$A:$E,4,0),"")</f>
        <v/>
      </c>
      <c r="EM1234" t="str">
        <f>IF(NOT(ISBLANK($B1234)),VLOOKUP($B1234,AssetCategories!$A:$E,2,0),"")</f>
        <v/>
      </c>
      <c r="EN1234" t="str">
        <f>IF(NOT(ISBLANK($B1234)),VLOOKUP($B1234,AssetCategories!$A:$E,3,0),"")</f>
        <v/>
      </c>
      <c r="EP1234" s="33" t="str">
        <f t="shared" si="39"/>
        <v/>
      </c>
    </row>
    <row r="1235" spans="16:146" x14ac:dyDescent="0.25">
      <c r="P1235" s="33" t="str" cm="1">
        <f t="array" ref="P1235">IFERROR(SUM(VALUE(_xlfn.TEXTSPLIT(O1235, ";"))), "")</f>
        <v/>
      </c>
      <c r="DO1235" t="str">
        <f t="shared" si="38"/>
        <v/>
      </c>
      <c r="EG1235" s="33" t="str">
        <f>IF(NOT(ISBLANK($B1235)),VLOOKUP($B1235,AssetCategories!$A:$E,5,0),"")</f>
        <v/>
      </c>
      <c r="EH1235" t="str">
        <f>IF(NOT(ISBLANK($B1235)),VLOOKUP($B1235,AssetCategories!$A:$E,4,0),"")</f>
        <v/>
      </c>
      <c r="EM1235" t="str">
        <f>IF(NOT(ISBLANK($B1235)),VLOOKUP($B1235,AssetCategories!$A:$E,2,0),"")</f>
        <v/>
      </c>
      <c r="EN1235" t="str">
        <f>IF(NOT(ISBLANK($B1235)),VLOOKUP($B1235,AssetCategories!$A:$E,3,0),"")</f>
        <v/>
      </c>
      <c r="EP1235" s="33" t="str">
        <f t="shared" si="39"/>
        <v/>
      </c>
    </row>
    <row r="1236" spans="16:146" x14ac:dyDescent="0.25">
      <c r="P1236" s="33" t="str" cm="1">
        <f t="array" ref="P1236">IFERROR(SUM(VALUE(_xlfn.TEXTSPLIT(O1236, ";"))), "")</f>
        <v/>
      </c>
      <c r="DO1236" t="str">
        <f t="shared" si="38"/>
        <v/>
      </c>
      <c r="EG1236" s="33" t="str">
        <f>IF(NOT(ISBLANK($B1236)),VLOOKUP($B1236,AssetCategories!$A:$E,5,0),"")</f>
        <v/>
      </c>
      <c r="EH1236" t="str">
        <f>IF(NOT(ISBLANK($B1236)),VLOOKUP($B1236,AssetCategories!$A:$E,4,0),"")</f>
        <v/>
      </c>
      <c r="EM1236" t="str">
        <f>IF(NOT(ISBLANK($B1236)),VLOOKUP($B1236,AssetCategories!$A:$E,2,0),"")</f>
        <v/>
      </c>
      <c r="EN1236" t="str">
        <f>IF(NOT(ISBLANK($B1236)),VLOOKUP($B1236,AssetCategories!$A:$E,3,0),"")</f>
        <v/>
      </c>
      <c r="EP1236" s="33" t="str">
        <f t="shared" si="39"/>
        <v/>
      </c>
    </row>
    <row r="1237" spans="16:146" x14ac:dyDescent="0.25">
      <c r="P1237" s="33" t="str" cm="1">
        <f t="array" ref="P1237">IFERROR(SUM(VALUE(_xlfn.TEXTSPLIT(O1237, ";"))), "")</f>
        <v/>
      </c>
      <c r="DO1237" t="str">
        <f t="shared" si="38"/>
        <v/>
      </c>
      <c r="EG1237" s="33" t="str">
        <f>IF(NOT(ISBLANK($B1237)),VLOOKUP($B1237,AssetCategories!$A:$E,5,0),"")</f>
        <v/>
      </c>
      <c r="EH1237" t="str">
        <f>IF(NOT(ISBLANK($B1237)),VLOOKUP($B1237,AssetCategories!$A:$E,4,0),"")</f>
        <v/>
      </c>
      <c r="EM1237" t="str">
        <f>IF(NOT(ISBLANK($B1237)),VLOOKUP($B1237,AssetCategories!$A:$E,2,0),"")</f>
        <v/>
      </c>
      <c r="EN1237" t="str">
        <f>IF(NOT(ISBLANK($B1237)),VLOOKUP($B1237,AssetCategories!$A:$E,3,0),"")</f>
        <v/>
      </c>
      <c r="EP1237" s="33" t="str">
        <f t="shared" si="39"/>
        <v/>
      </c>
    </row>
    <row r="1238" spans="16:146" x14ac:dyDescent="0.25">
      <c r="P1238" s="33" t="str" cm="1">
        <f t="array" ref="P1238">IFERROR(SUM(VALUE(_xlfn.TEXTSPLIT(O1238, ";"))), "")</f>
        <v/>
      </c>
      <c r="DO1238" t="str">
        <f t="shared" si="38"/>
        <v/>
      </c>
      <c r="EG1238" s="33" t="str">
        <f>IF(NOT(ISBLANK($B1238)),VLOOKUP($B1238,AssetCategories!$A:$E,5,0),"")</f>
        <v/>
      </c>
      <c r="EH1238" t="str">
        <f>IF(NOT(ISBLANK($B1238)),VLOOKUP($B1238,AssetCategories!$A:$E,4,0),"")</f>
        <v/>
      </c>
      <c r="EM1238" t="str">
        <f>IF(NOT(ISBLANK($B1238)),VLOOKUP($B1238,AssetCategories!$A:$E,2,0),"")</f>
        <v/>
      </c>
      <c r="EN1238" t="str">
        <f>IF(NOT(ISBLANK($B1238)),VLOOKUP($B1238,AssetCategories!$A:$E,3,0),"")</f>
        <v/>
      </c>
      <c r="EP1238" s="33" t="str">
        <f t="shared" si="39"/>
        <v/>
      </c>
    </row>
    <row r="1239" spans="16:146" x14ac:dyDescent="0.25">
      <c r="P1239" s="33" t="str" cm="1">
        <f t="array" ref="P1239">IFERROR(SUM(VALUE(_xlfn.TEXTSPLIT(O1239, ";"))), "")</f>
        <v/>
      </c>
      <c r="DO1239" t="str">
        <f t="shared" si="38"/>
        <v/>
      </c>
      <c r="EG1239" s="33" t="str">
        <f>IF(NOT(ISBLANK($B1239)),VLOOKUP($B1239,AssetCategories!$A:$E,5,0),"")</f>
        <v/>
      </c>
      <c r="EH1239" t="str">
        <f>IF(NOT(ISBLANK($B1239)),VLOOKUP($B1239,AssetCategories!$A:$E,4,0),"")</f>
        <v/>
      </c>
      <c r="EM1239" t="str">
        <f>IF(NOT(ISBLANK($B1239)),VLOOKUP($B1239,AssetCategories!$A:$E,2,0),"")</f>
        <v/>
      </c>
      <c r="EN1239" t="str">
        <f>IF(NOT(ISBLANK($B1239)),VLOOKUP($B1239,AssetCategories!$A:$E,3,0),"")</f>
        <v/>
      </c>
      <c r="EP1239" s="33" t="str">
        <f t="shared" si="39"/>
        <v/>
      </c>
    </row>
    <row r="1240" spans="16:146" x14ac:dyDescent="0.25">
      <c r="P1240" s="33" t="str" cm="1">
        <f t="array" ref="P1240">IFERROR(SUM(VALUE(_xlfn.TEXTSPLIT(O1240, ";"))), "")</f>
        <v/>
      </c>
      <c r="DO1240" t="str">
        <f t="shared" si="38"/>
        <v/>
      </c>
      <c r="EG1240" s="33" t="str">
        <f>IF(NOT(ISBLANK($B1240)),VLOOKUP($B1240,AssetCategories!$A:$E,5,0),"")</f>
        <v/>
      </c>
      <c r="EH1240" t="str">
        <f>IF(NOT(ISBLANK($B1240)),VLOOKUP($B1240,AssetCategories!$A:$E,4,0),"")</f>
        <v/>
      </c>
      <c r="EM1240" t="str">
        <f>IF(NOT(ISBLANK($B1240)),VLOOKUP($B1240,AssetCategories!$A:$E,2,0),"")</f>
        <v/>
      </c>
      <c r="EN1240" t="str">
        <f>IF(NOT(ISBLANK($B1240)),VLOOKUP($B1240,AssetCategories!$A:$E,3,0),"")</f>
        <v/>
      </c>
      <c r="EP1240" s="33" t="str">
        <f t="shared" si="39"/>
        <v/>
      </c>
    </row>
    <row r="1241" spans="16:146" x14ac:dyDescent="0.25">
      <c r="P1241" s="33" t="str" cm="1">
        <f t="array" ref="P1241">IFERROR(SUM(VALUE(_xlfn.TEXTSPLIT(O1241, ";"))), "")</f>
        <v/>
      </c>
      <c r="DO1241" t="str">
        <f t="shared" si="38"/>
        <v/>
      </c>
      <c r="EG1241" s="33" t="str">
        <f>IF(NOT(ISBLANK($B1241)),VLOOKUP($B1241,AssetCategories!$A:$E,5,0),"")</f>
        <v/>
      </c>
      <c r="EH1241" t="str">
        <f>IF(NOT(ISBLANK($B1241)),VLOOKUP($B1241,AssetCategories!$A:$E,4,0),"")</f>
        <v/>
      </c>
      <c r="EM1241" t="str">
        <f>IF(NOT(ISBLANK($B1241)),VLOOKUP($B1241,AssetCategories!$A:$E,2,0),"")</f>
        <v/>
      </c>
      <c r="EN1241" t="str">
        <f>IF(NOT(ISBLANK($B1241)),VLOOKUP($B1241,AssetCategories!$A:$E,3,0),"")</f>
        <v/>
      </c>
      <c r="EP1241" s="33" t="str">
        <f t="shared" si="39"/>
        <v/>
      </c>
    </row>
    <row r="1242" spans="16:146" x14ac:dyDescent="0.25">
      <c r="P1242" s="33" t="str" cm="1">
        <f t="array" ref="P1242">IFERROR(SUM(VALUE(_xlfn.TEXTSPLIT(O1242, ";"))), "")</f>
        <v/>
      </c>
      <c r="DO1242" t="str">
        <f t="shared" si="38"/>
        <v/>
      </c>
      <c r="EG1242" s="33" t="str">
        <f>IF(NOT(ISBLANK($B1242)),VLOOKUP($B1242,AssetCategories!$A:$E,5,0),"")</f>
        <v/>
      </c>
      <c r="EH1242" t="str">
        <f>IF(NOT(ISBLANK($B1242)),VLOOKUP($B1242,AssetCategories!$A:$E,4,0),"")</f>
        <v/>
      </c>
      <c r="EM1242" t="str">
        <f>IF(NOT(ISBLANK($B1242)),VLOOKUP($B1242,AssetCategories!$A:$E,2,0),"")</f>
        <v/>
      </c>
      <c r="EN1242" t="str">
        <f>IF(NOT(ISBLANK($B1242)),VLOOKUP($B1242,AssetCategories!$A:$E,3,0),"")</f>
        <v/>
      </c>
      <c r="EP1242" s="33" t="str">
        <f t="shared" si="39"/>
        <v/>
      </c>
    </row>
    <row r="1243" spans="16:146" x14ac:dyDescent="0.25">
      <c r="P1243" s="33" t="str" cm="1">
        <f t="array" ref="P1243">IFERROR(SUM(VALUE(_xlfn.TEXTSPLIT(O1243, ";"))), "")</f>
        <v/>
      </c>
      <c r="DO1243" t="str">
        <f t="shared" si="38"/>
        <v/>
      </c>
      <c r="EG1243" s="33" t="str">
        <f>IF(NOT(ISBLANK($B1243)),VLOOKUP($B1243,AssetCategories!$A:$E,5,0),"")</f>
        <v/>
      </c>
      <c r="EH1243" t="str">
        <f>IF(NOT(ISBLANK($B1243)),VLOOKUP($B1243,AssetCategories!$A:$E,4,0),"")</f>
        <v/>
      </c>
      <c r="EM1243" t="str">
        <f>IF(NOT(ISBLANK($B1243)),VLOOKUP($B1243,AssetCategories!$A:$E,2,0),"")</f>
        <v/>
      </c>
      <c r="EN1243" t="str">
        <f>IF(NOT(ISBLANK($B1243)),VLOOKUP($B1243,AssetCategories!$A:$E,3,0),"")</f>
        <v/>
      </c>
      <c r="EP1243" s="33" t="str">
        <f t="shared" si="39"/>
        <v/>
      </c>
    </row>
    <row r="1244" spans="16:146" x14ac:dyDescent="0.25">
      <c r="P1244" s="33" t="str" cm="1">
        <f t="array" ref="P1244">IFERROR(SUM(VALUE(_xlfn.TEXTSPLIT(O1244, ";"))), "")</f>
        <v/>
      </c>
      <c r="DO1244" t="str">
        <f t="shared" si="38"/>
        <v/>
      </c>
      <c r="EG1244" s="33" t="str">
        <f>IF(NOT(ISBLANK($B1244)),VLOOKUP($B1244,AssetCategories!$A:$E,5,0),"")</f>
        <v/>
      </c>
      <c r="EH1244" t="str">
        <f>IF(NOT(ISBLANK($B1244)),VLOOKUP($B1244,AssetCategories!$A:$E,4,0),"")</f>
        <v/>
      </c>
      <c r="EM1244" t="str">
        <f>IF(NOT(ISBLANK($B1244)),VLOOKUP($B1244,AssetCategories!$A:$E,2,0),"")</f>
        <v/>
      </c>
      <c r="EN1244" t="str">
        <f>IF(NOT(ISBLANK($B1244)),VLOOKUP($B1244,AssetCategories!$A:$E,3,0),"")</f>
        <v/>
      </c>
      <c r="EP1244" s="33" t="str">
        <f t="shared" si="39"/>
        <v/>
      </c>
    </row>
    <row r="1245" spans="16:146" x14ac:dyDescent="0.25">
      <c r="P1245" s="33" t="str" cm="1">
        <f t="array" ref="P1245">IFERROR(SUM(VALUE(_xlfn.TEXTSPLIT(O1245, ";"))), "")</f>
        <v/>
      </c>
      <c r="DO1245" t="str">
        <f t="shared" si="38"/>
        <v/>
      </c>
      <c r="EG1245" s="33" t="str">
        <f>IF(NOT(ISBLANK($B1245)),VLOOKUP($B1245,AssetCategories!$A:$E,5,0),"")</f>
        <v/>
      </c>
      <c r="EH1245" t="str">
        <f>IF(NOT(ISBLANK($B1245)),VLOOKUP($B1245,AssetCategories!$A:$E,4,0),"")</f>
        <v/>
      </c>
      <c r="EM1245" t="str">
        <f>IF(NOT(ISBLANK($B1245)),VLOOKUP($B1245,AssetCategories!$A:$E,2,0),"")</f>
        <v/>
      </c>
      <c r="EN1245" t="str">
        <f>IF(NOT(ISBLANK($B1245)),VLOOKUP($B1245,AssetCategories!$A:$E,3,0),"")</f>
        <v/>
      </c>
      <c r="EP1245" s="33" t="str">
        <f t="shared" si="39"/>
        <v/>
      </c>
    </row>
    <row r="1246" spans="16:146" x14ac:dyDescent="0.25">
      <c r="P1246" s="33" t="str" cm="1">
        <f t="array" ref="P1246">IFERROR(SUM(VALUE(_xlfn.TEXTSPLIT(O1246, ";"))), "")</f>
        <v/>
      </c>
      <c r="DO1246" t="str">
        <f t="shared" si="38"/>
        <v/>
      </c>
      <c r="EG1246" s="33" t="str">
        <f>IF(NOT(ISBLANK($B1246)),VLOOKUP($B1246,AssetCategories!$A:$E,5,0),"")</f>
        <v/>
      </c>
      <c r="EH1246" t="str">
        <f>IF(NOT(ISBLANK($B1246)),VLOOKUP($B1246,AssetCategories!$A:$E,4,0),"")</f>
        <v/>
      </c>
      <c r="EM1246" t="str">
        <f>IF(NOT(ISBLANK($B1246)),VLOOKUP($B1246,AssetCategories!$A:$E,2,0),"")</f>
        <v/>
      </c>
      <c r="EN1246" t="str">
        <f>IF(NOT(ISBLANK($B1246)),VLOOKUP($B1246,AssetCategories!$A:$E,3,0),"")</f>
        <v/>
      </c>
      <c r="EP1246" s="33" t="str">
        <f t="shared" si="39"/>
        <v/>
      </c>
    </row>
    <row r="1247" spans="16:146" x14ac:dyDescent="0.25">
      <c r="P1247" s="33" t="str" cm="1">
        <f t="array" ref="P1247">IFERROR(SUM(VALUE(_xlfn.TEXTSPLIT(O1247, ";"))), "")</f>
        <v/>
      </c>
      <c r="DO1247" t="str">
        <f t="shared" si="38"/>
        <v/>
      </c>
      <c r="EG1247" s="33" t="str">
        <f>IF(NOT(ISBLANK($B1247)),VLOOKUP($B1247,AssetCategories!$A:$E,5,0),"")</f>
        <v/>
      </c>
      <c r="EH1247" t="str">
        <f>IF(NOT(ISBLANK($B1247)),VLOOKUP($B1247,AssetCategories!$A:$E,4,0),"")</f>
        <v/>
      </c>
      <c r="EM1247" t="str">
        <f>IF(NOT(ISBLANK($B1247)),VLOOKUP($B1247,AssetCategories!$A:$E,2,0),"")</f>
        <v/>
      </c>
      <c r="EN1247" t="str">
        <f>IF(NOT(ISBLANK($B1247)),VLOOKUP($B1247,AssetCategories!$A:$E,3,0),"")</f>
        <v/>
      </c>
      <c r="EP1247" s="33" t="str">
        <f t="shared" si="39"/>
        <v/>
      </c>
    </row>
    <row r="1248" spans="16:146" x14ac:dyDescent="0.25">
      <c r="P1248" s="33" t="str" cm="1">
        <f t="array" ref="P1248">IFERROR(SUM(VALUE(_xlfn.TEXTSPLIT(O1248, ";"))), "")</f>
        <v/>
      </c>
      <c r="DO1248" t="str">
        <f t="shared" si="38"/>
        <v/>
      </c>
      <c r="EG1248" s="33" t="str">
        <f>IF(NOT(ISBLANK($B1248)),VLOOKUP($B1248,AssetCategories!$A:$E,5,0),"")</f>
        <v/>
      </c>
      <c r="EH1248" t="str">
        <f>IF(NOT(ISBLANK($B1248)),VLOOKUP($B1248,AssetCategories!$A:$E,4,0),"")</f>
        <v/>
      </c>
      <c r="EM1248" t="str">
        <f>IF(NOT(ISBLANK($B1248)),VLOOKUP($B1248,AssetCategories!$A:$E,2,0),"")</f>
        <v/>
      </c>
      <c r="EN1248" t="str">
        <f>IF(NOT(ISBLANK($B1248)),VLOOKUP($B1248,AssetCategories!$A:$E,3,0),"")</f>
        <v/>
      </c>
      <c r="EP1248" s="33" t="str">
        <f t="shared" si="39"/>
        <v/>
      </c>
    </row>
    <row r="1249" spans="16:146" x14ac:dyDescent="0.25">
      <c r="P1249" s="33" t="str" cm="1">
        <f t="array" ref="P1249">IFERROR(SUM(VALUE(_xlfn.TEXTSPLIT(O1249, ";"))), "")</f>
        <v/>
      </c>
      <c r="DO1249" t="str">
        <f t="shared" si="38"/>
        <v/>
      </c>
      <c r="EG1249" s="33" t="str">
        <f>IF(NOT(ISBLANK($B1249)),VLOOKUP($B1249,AssetCategories!$A:$E,5,0),"")</f>
        <v/>
      </c>
      <c r="EH1249" t="str">
        <f>IF(NOT(ISBLANK($B1249)),VLOOKUP($B1249,AssetCategories!$A:$E,4,0),"")</f>
        <v/>
      </c>
      <c r="EM1249" t="str">
        <f>IF(NOT(ISBLANK($B1249)),VLOOKUP($B1249,AssetCategories!$A:$E,2,0),"")</f>
        <v/>
      </c>
      <c r="EN1249" t="str">
        <f>IF(NOT(ISBLANK($B1249)),VLOOKUP($B1249,AssetCategories!$A:$E,3,0),"")</f>
        <v/>
      </c>
      <c r="EP1249" s="33" t="str">
        <f t="shared" si="39"/>
        <v/>
      </c>
    </row>
    <row r="1250" spans="16:146" x14ac:dyDescent="0.25">
      <c r="P1250" s="33" t="str" cm="1">
        <f t="array" ref="P1250">IFERROR(SUM(VALUE(_xlfn.TEXTSPLIT(O1250, ";"))), "")</f>
        <v/>
      </c>
      <c r="DO1250" t="str">
        <f t="shared" si="38"/>
        <v/>
      </c>
      <c r="EG1250" s="33" t="str">
        <f>IF(NOT(ISBLANK($B1250)),VLOOKUP($B1250,AssetCategories!$A:$E,5,0),"")</f>
        <v/>
      </c>
      <c r="EH1250" t="str">
        <f>IF(NOT(ISBLANK($B1250)),VLOOKUP($B1250,AssetCategories!$A:$E,4,0),"")</f>
        <v/>
      </c>
      <c r="EM1250" t="str">
        <f>IF(NOT(ISBLANK($B1250)),VLOOKUP($B1250,AssetCategories!$A:$E,2,0),"")</f>
        <v/>
      </c>
      <c r="EN1250" t="str">
        <f>IF(NOT(ISBLANK($B1250)),VLOOKUP($B1250,AssetCategories!$A:$E,3,0),"")</f>
        <v/>
      </c>
      <c r="EP1250" s="33" t="str">
        <f t="shared" si="39"/>
        <v/>
      </c>
    </row>
    <row r="1251" spans="16:146" x14ac:dyDescent="0.25">
      <c r="P1251" s="33" t="str" cm="1">
        <f t="array" ref="P1251">IFERROR(SUM(VALUE(_xlfn.TEXTSPLIT(O1251, ";"))), "")</f>
        <v/>
      </c>
      <c r="DO1251" t="str">
        <f t="shared" si="38"/>
        <v/>
      </c>
      <c r="EG1251" s="33" t="str">
        <f>IF(NOT(ISBLANK($B1251)),VLOOKUP($B1251,AssetCategories!$A:$E,5,0),"")</f>
        <v/>
      </c>
      <c r="EH1251" t="str">
        <f>IF(NOT(ISBLANK($B1251)),VLOOKUP($B1251,AssetCategories!$A:$E,4,0),"")</f>
        <v/>
      </c>
      <c r="EM1251" t="str">
        <f>IF(NOT(ISBLANK($B1251)),VLOOKUP($B1251,AssetCategories!$A:$E,2,0),"")</f>
        <v/>
      </c>
      <c r="EN1251" t="str">
        <f>IF(NOT(ISBLANK($B1251)),VLOOKUP($B1251,AssetCategories!$A:$E,3,0),"")</f>
        <v/>
      </c>
      <c r="EP1251" s="33" t="str">
        <f t="shared" si="39"/>
        <v/>
      </c>
    </row>
    <row r="1252" spans="16:146" x14ac:dyDescent="0.25">
      <c r="P1252" s="33" t="str" cm="1">
        <f t="array" ref="P1252">IFERROR(SUM(VALUE(_xlfn.TEXTSPLIT(O1252, ";"))), "")</f>
        <v/>
      </c>
      <c r="DO1252" t="str">
        <f t="shared" si="38"/>
        <v/>
      </c>
      <c r="EG1252" s="33" t="str">
        <f>IF(NOT(ISBLANK($B1252)),VLOOKUP($B1252,AssetCategories!$A:$E,5,0),"")</f>
        <v/>
      </c>
      <c r="EH1252" t="str">
        <f>IF(NOT(ISBLANK($B1252)),VLOOKUP($B1252,AssetCategories!$A:$E,4,0),"")</f>
        <v/>
      </c>
      <c r="EM1252" t="str">
        <f>IF(NOT(ISBLANK($B1252)),VLOOKUP($B1252,AssetCategories!$A:$E,2,0),"")</f>
        <v/>
      </c>
      <c r="EN1252" t="str">
        <f>IF(NOT(ISBLANK($B1252)),VLOOKUP($B1252,AssetCategories!$A:$E,3,0),"")</f>
        <v/>
      </c>
      <c r="EP1252" s="33" t="str">
        <f t="shared" si="39"/>
        <v/>
      </c>
    </row>
    <row r="1253" spans="16:146" x14ac:dyDescent="0.25">
      <c r="P1253" s="33" t="str" cm="1">
        <f t="array" ref="P1253">IFERROR(SUM(VALUE(_xlfn.TEXTSPLIT(O1253, ";"))), "")</f>
        <v/>
      </c>
      <c r="DO1253" t="str">
        <f t="shared" si="38"/>
        <v/>
      </c>
      <c r="EG1253" s="33" t="str">
        <f>IF(NOT(ISBLANK($B1253)),VLOOKUP($B1253,AssetCategories!$A:$E,5,0),"")</f>
        <v/>
      </c>
      <c r="EH1253" t="str">
        <f>IF(NOT(ISBLANK($B1253)),VLOOKUP($B1253,AssetCategories!$A:$E,4,0),"")</f>
        <v/>
      </c>
      <c r="EM1253" t="str">
        <f>IF(NOT(ISBLANK($B1253)),VLOOKUP($B1253,AssetCategories!$A:$E,2,0),"")</f>
        <v/>
      </c>
      <c r="EN1253" t="str">
        <f>IF(NOT(ISBLANK($B1253)),VLOOKUP($B1253,AssetCategories!$A:$E,3,0),"")</f>
        <v/>
      </c>
      <c r="EP1253" s="33" t="str">
        <f t="shared" si="39"/>
        <v/>
      </c>
    </row>
    <row r="1254" spans="16:146" x14ac:dyDescent="0.25">
      <c r="P1254" s="33" t="str" cm="1">
        <f t="array" ref="P1254">IFERROR(SUM(VALUE(_xlfn.TEXTSPLIT(O1254, ";"))), "")</f>
        <v/>
      </c>
      <c r="DO1254" t="str">
        <f t="shared" si="38"/>
        <v/>
      </c>
      <c r="EG1254" s="33" t="str">
        <f>IF(NOT(ISBLANK($B1254)),VLOOKUP($B1254,AssetCategories!$A:$E,5,0),"")</f>
        <v/>
      </c>
      <c r="EH1254" t="str">
        <f>IF(NOT(ISBLANK($B1254)),VLOOKUP($B1254,AssetCategories!$A:$E,4,0),"")</f>
        <v/>
      </c>
      <c r="EM1254" t="str">
        <f>IF(NOT(ISBLANK($B1254)),VLOOKUP($B1254,AssetCategories!$A:$E,2,0),"")</f>
        <v/>
      </c>
      <c r="EN1254" t="str">
        <f>IF(NOT(ISBLANK($B1254)),VLOOKUP($B1254,AssetCategories!$A:$E,3,0),"")</f>
        <v/>
      </c>
      <c r="EP1254" s="33" t="str">
        <f t="shared" si="39"/>
        <v/>
      </c>
    </row>
    <row r="1255" spans="16:146" x14ac:dyDescent="0.25">
      <c r="P1255" s="33" t="str" cm="1">
        <f t="array" ref="P1255">IFERROR(SUM(VALUE(_xlfn.TEXTSPLIT(O1255, ";"))), "")</f>
        <v/>
      </c>
      <c r="DO1255" t="str">
        <f t="shared" si="38"/>
        <v/>
      </c>
      <c r="EG1255" s="33" t="str">
        <f>IF(NOT(ISBLANK($B1255)),VLOOKUP($B1255,AssetCategories!$A:$E,5,0),"")</f>
        <v/>
      </c>
      <c r="EH1255" t="str">
        <f>IF(NOT(ISBLANK($B1255)),VLOOKUP($B1255,AssetCategories!$A:$E,4,0),"")</f>
        <v/>
      </c>
      <c r="EM1255" t="str">
        <f>IF(NOT(ISBLANK($B1255)),VLOOKUP($B1255,AssetCategories!$A:$E,2,0),"")</f>
        <v/>
      </c>
      <c r="EN1255" t="str">
        <f>IF(NOT(ISBLANK($B1255)),VLOOKUP($B1255,AssetCategories!$A:$E,3,0),"")</f>
        <v/>
      </c>
      <c r="EP1255" s="33" t="str">
        <f t="shared" si="39"/>
        <v/>
      </c>
    </row>
    <row r="1256" spans="16:146" x14ac:dyDescent="0.25">
      <c r="P1256" s="33" t="str" cm="1">
        <f t="array" ref="P1256">IFERROR(SUM(VALUE(_xlfn.TEXTSPLIT(O1256, ";"))), "")</f>
        <v/>
      </c>
      <c r="DO1256" t="str">
        <f t="shared" si="38"/>
        <v/>
      </c>
      <c r="EG1256" s="33" t="str">
        <f>IF(NOT(ISBLANK($B1256)),VLOOKUP($B1256,AssetCategories!$A:$E,5,0),"")</f>
        <v/>
      </c>
      <c r="EH1256" t="str">
        <f>IF(NOT(ISBLANK($B1256)),VLOOKUP($B1256,AssetCategories!$A:$E,4,0),"")</f>
        <v/>
      </c>
      <c r="EM1256" t="str">
        <f>IF(NOT(ISBLANK($B1256)),VLOOKUP($B1256,AssetCategories!$A:$E,2,0),"")</f>
        <v/>
      </c>
      <c r="EN1256" t="str">
        <f>IF(NOT(ISBLANK($B1256)),VLOOKUP($B1256,AssetCategories!$A:$E,3,0),"")</f>
        <v/>
      </c>
      <c r="EP1256" s="33" t="str">
        <f t="shared" si="39"/>
        <v/>
      </c>
    </row>
    <row r="1257" spans="16:146" x14ac:dyDescent="0.25">
      <c r="P1257" s="33" t="str" cm="1">
        <f t="array" ref="P1257">IFERROR(SUM(VALUE(_xlfn.TEXTSPLIT(O1257, ";"))), "")</f>
        <v/>
      </c>
      <c r="DO1257" t="str">
        <f t="shared" si="38"/>
        <v/>
      </c>
      <c r="EG1257" s="33" t="str">
        <f>IF(NOT(ISBLANK($B1257)),VLOOKUP($B1257,AssetCategories!$A:$E,5,0),"")</f>
        <v/>
      </c>
      <c r="EH1257" t="str">
        <f>IF(NOT(ISBLANK($B1257)),VLOOKUP($B1257,AssetCategories!$A:$E,4,0),"")</f>
        <v/>
      </c>
      <c r="EM1257" t="str">
        <f>IF(NOT(ISBLANK($B1257)),VLOOKUP($B1257,AssetCategories!$A:$E,2,0),"")</f>
        <v/>
      </c>
      <c r="EN1257" t="str">
        <f>IF(NOT(ISBLANK($B1257)),VLOOKUP($B1257,AssetCategories!$A:$E,3,0),"")</f>
        <v/>
      </c>
      <c r="EP1257" s="33" t="str">
        <f t="shared" si="39"/>
        <v/>
      </c>
    </row>
    <row r="1258" spans="16:146" x14ac:dyDescent="0.25">
      <c r="P1258" s="33" t="str" cm="1">
        <f t="array" ref="P1258">IFERROR(SUM(VALUE(_xlfn.TEXTSPLIT(O1258, ";"))), "")</f>
        <v/>
      </c>
      <c r="DO1258" t="str">
        <f t="shared" si="38"/>
        <v/>
      </c>
      <c r="EG1258" s="33" t="str">
        <f>IF(NOT(ISBLANK($B1258)),VLOOKUP($B1258,AssetCategories!$A:$E,5,0),"")</f>
        <v/>
      </c>
      <c r="EH1258" t="str">
        <f>IF(NOT(ISBLANK($B1258)),VLOOKUP($B1258,AssetCategories!$A:$E,4,0),"")</f>
        <v/>
      </c>
      <c r="EM1258" t="str">
        <f>IF(NOT(ISBLANK($B1258)),VLOOKUP($B1258,AssetCategories!$A:$E,2,0),"")</f>
        <v/>
      </c>
      <c r="EN1258" t="str">
        <f>IF(NOT(ISBLANK($B1258)),VLOOKUP($B1258,AssetCategories!$A:$E,3,0),"")</f>
        <v/>
      </c>
      <c r="EP1258" s="33" t="str">
        <f t="shared" si="39"/>
        <v/>
      </c>
    </row>
    <row r="1259" spans="16:146" x14ac:dyDescent="0.25">
      <c r="P1259" s="33" t="str" cm="1">
        <f t="array" ref="P1259">IFERROR(SUM(VALUE(_xlfn.TEXTSPLIT(O1259, ";"))), "")</f>
        <v/>
      </c>
      <c r="DO1259" t="str">
        <f t="shared" si="38"/>
        <v/>
      </c>
      <c r="EG1259" s="33" t="str">
        <f>IF(NOT(ISBLANK($B1259)),VLOOKUP($B1259,AssetCategories!$A:$E,5,0),"")</f>
        <v/>
      </c>
      <c r="EH1259" t="str">
        <f>IF(NOT(ISBLANK($B1259)),VLOOKUP($B1259,AssetCategories!$A:$E,4,0),"")</f>
        <v/>
      </c>
      <c r="EM1259" t="str">
        <f>IF(NOT(ISBLANK($B1259)),VLOOKUP($B1259,AssetCategories!$A:$E,2,0),"")</f>
        <v/>
      </c>
      <c r="EN1259" t="str">
        <f>IF(NOT(ISBLANK($B1259)),VLOOKUP($B1259,AssetCategories!$A:$E,3,0),"")</f>
        <v/>
      </c>
      <c r="EP1259" s="33" t="str">
        <f t="shared" si="39"/>
        <v/>
      </c>
    </row>
    <row r="1260" spans="16:146" x14ac:dyDescent="0.25">
      <c r="P1260" s="33" t="str" cm="1">
        <f t="array" ref="P1260">IFERROR(SUM(VALUE(_xlfn.TEXTSPLIT(O1260, ";"))), "")</f>
        <v/>
      </c>
      <c r="DO1260" t="str">
        <f t="shared" si="38"/>
        <v/>
      </c>
      <c r="EG1260" s="33" t="str">
        <f>IF(NOT(ISBLANK($B1260)),VLOOKUP($B1260,AssetCategories!$A:$E,5,0),"")</f>
        <v/>
      </c>
      <c r="EH1260" t="str">
        <f>IF(NOT(ISBLANK($B1260)),VLOOKUP($B1260,AssetCategories!$A:$E,4,0),"")</f>
        <v/>
      </c>
      <c r="EM1260" t="str">
        <f>IF(NOT(ISBLANK($B1260)),VLOOKUP($B1260,AssetCategories!$A:$E,2,0),"")</f>
        <v/>
      </c>
      <c r="EN1260" t="str">
        <f>IF(NOT(ISBLANK($B1260)),VLOOKUP($B1260,AssetCategories!$A:$E,3,0),"")</f>
        <v/>
      </c>
      <c r="EP1260" s="33" t="str">
        <f t="shared" si="39"/>
        <v/>
      </c>
    </row>
    <row r="1261" spans="16:146" x14ac:dyDescent="0.25">
      <c r="P1261" s="33" t="str" cm="1">
        <f t="array" ref="P1261">IFERROR(SUM(VALUE(_xlfn.TEXTSPLIT(O1261, ";"))), "")</f>
        <v/>
      </c>
      <c r="DO1261" t="str">
        <f t="shared" si="38"/>
        <v/>
      </c>
      <c r="EG1261" s="33" t="str">
        <f>IF(NOT(ISBLANK($B1261)),VLOOKUP($B1261,AssetCategories!$A:$E,5,0),"")</f>
        <v/>
      </c>
      <c r="EH1261" t="str">
        <f>IF(NOT(ISBLANK($B1261)),VLOOKUP($B1261,AssetCategories!$A:$E,4,0),"")</f>
        <v/>
      </c>
      <c r="EM1261" t="str">
        <f>IF(NOT(ISBLANK($B1261)),VLOOKUP($B1261,AssetCategories!$A:$E,2,0),"")</f>
        <v/>
      </c>
      <c r="EN1261" t="str">
        <f>IF(NOT(ISBLANK($B1261)),VLOOKUP($B1261,AssetCategories!$A:$E,3,0),"")</f>
        <v/>
      </c>
      <c r="EP1261" s="33" t="str">
        <f t="shared" si="39"/>
        <v/>
      </c>
    </row>
    <row r="1262" spans="16:146" x14ac:dyDescent="0.25">
      <c r="P1262" s="33" t="str" cm="1">
        <f t="array" ref="P1262">IFERROR(SUM(VALUE(_xlfn.TEXTSPLIT(O1262, ";"))), "")</f>
        <v/>
      </c>
      <c r="DO1262" t="str">
        <f t="shared" si="38"/>
        <v/>
      </c>
      <c r="EG1262" s="33" t="str">
        <f>IF(NOT(ISBLANK($B1262)),VLOOKUP($B1262,AssetCategories!$A:$E,5,0),"")</f>
        <v/>
      </c>
      <c r="EH1262" t="str">
        <f>IF(NOT(ISBLANK($B1262)),VLOOKUP($B1262,AssetCategories!$A:$E,4,0),"")</f>
        <v/>
      </c>
      <c r="EM1262" t="str">
        <f>IF(NOT(ISBLANK($B1262)),VLOOKUP($B1262,AssetCategories!$A:$E,2,0),"")</f>
        <v/>
      </c>
      <c r="EN1262" t="str">
        <f>IF(NOT(ISBLANK($B1262)),VLOOKUP($B1262,AssetCategories!$A:$E,3,0),"")</f>
        <v/>
      </c>
      <c r="EP1262" s="33" t="str">
        <f t="shared" si="39"/>
        <v/>
      </c>
    </row>
    <row r="1263" spans="16:146" x14ac:dyDescent="0.25">
      <c r="P1263" s="33" t="str" cm="1">
        <f t="array" ref="P1263">IFERROR(SUM(VALUE(_xlfn.TEXTSPLIT(O1263, ";"))), "")</f>
        <v/>
      </c>
      <c r="DO1263" t="str">
        <f t="shared" si="38"/>
        <v/>
      </c>
      <c r="EG1263" s="33" t="str">
        <f>IF(NOT(ISBLANK($B1263)),VLOOKUP($B1263,AssetCategories!$A:$E,5,0),"")</f>
        <v/>
      </c>
      <c r="EH1263" t="str">
        <f>IF(NOT(ISBLANK($B1263)),VLOOKUP($B1263,AssetCategories!$A:$E,4,0),"")</f>
        <v/>
      </c>
      <c r="EM1263" t="str">
        <f>IF(NOT(ISBLANK($B1263)),VLOOKUP($B1263,AssetCategories!$A:$E,2,0),"")</f>
        <v/>
      </c>
      <c r="EN1263" t="str">
        <f>IF(NOT(ISBLANK($B1263)),VLOOKUP($B1263,AssetCategories!$A:$E,3,0),"")</f>
        <v/>
      </c>
      <c r="EP1263" s="33" t="str">
        <f t="shared" si="39"/>
        <v/>
      </c>
    </row>
    <row r="1264" spans="16:146" x14ac:dyDescent="0.25">
      <c r="P1264" s="33" t="str" cm="1">
        <f t="array" ref="P1264">IFERROR(SUM(VALUE(_xlfn.TEXTSPLIT(O1264, ";"))), "")</f>
        <v/>
      </c>
      <c r="DO1264" t="str">
        <f t="shared" si="38"/>
        <v/>
      </c>
      <c r="EG1264" s="33" t="str">
        <f>IF(NOT(ISBLANK($B1264)),VLOOKUP($B1264,AssetCategories!$A:$E,5,0),"")</f>
        <v/>
      </c>
      <c r="EH1264" t="str">
        <f>IF(NOT(ISBLANK($B1264)),VLOOKUP($B1264,AssetCategories!$A:$E,4,0),"")</f>
        <v/>
      </c>
      <c r="EM1264" t="str">
        <f>IF(NOT(ISBLANK($B1264)),VLOOKUP($B1264,AssetCategories!$A:$E,2,0),"")</f>
        <v/>
      </c>
      <c r="EN1264" t="str">
        <f>IF(NOT(ISBLANK($B1264)),VLOOKUP($B1264,AssetCategories!$A:$E,3,0),"")</f>
        <v/>
      </c>
      <c r="EP1264" s="33" t="str">
        <f t="shared" si="39"/>
        <v/>
      </c>
    </row>
    <row r="1265" spans="16:146" x14ac:dyDescent="0.25">
      <c r="P1265" s="33" t="str" cm="1">
        <f t="array" ref="P1265">IFERROR(SUM(VALUE(_xlfn.TEXTSPLIT(O1265, ";"))), "")</f>
        <v/>
      </c>
      <c r="DO1265" t="str">
        <f t="shared" si="38"/>
        <v/>
      </c>
      <c r="EG1265" s="33" t="str">
        <f>IF(NOT(ISBLANK($B1265)),VLOOKUP($B1265,AssetCategories!$A:$E,5,0),"")</f>
        <v/>
      </c>
      <c r="EH1265" t="str">
        <f>IF(NOT(ISBLANK($B1265)),VLOOKUP($B1265,AssetCategories!$A:$E,4,0),"")</f>
        <v/>
      </c>
      <c r="EM1265" t="str">
        <f>IF(NOT(ISBLANK($B1265)),VLOOKUP($B1265,AssetCategories!$A:$E,2,0),"")</f>
        <v/>
      </c>
      <c r="EN1265" t="str">
        <f>IF(NOT(ISBLANK($B1265)),VLOOKUP($B1265,AssetCategories!$A:$E,3,0),"")</f>
        <v/>
      </c>
      <c r="EP1265" s="33" t="str">
        <f t="shared" si="39"/>
        <v/>
      </c>
    </row>
    <row r="1266" spans="16:146" x14ac:dyDescent="0.25">
      <c r="P1266" s="33" t="str" cm="1">
        <f t="array" ref="P1266">IFERROR(SUM(VALUE(_xlfn.TEXTSPLIT(O1266, ";"))), "")</f>
        <v/>
      </c>
      <c r="DO1266" t="str">
        <f t="shared" si="38"/>
        <v/>
      </c>
      <c r="EG1266" s="33" t="str">
        <f>IF(NOT(ISBLANK($B1266)),VLOOKUP($B1266,AssetCategories!$A:$E,5,0),"")</f>
        <v/>
      </c>
      <c r="EH1266" t="str">
        <f>IF(NOT(ISBLANK($B1266)),VLOOKUP($B1266,AssetCategories!$A:$E,4,0),"")</f>
        <v/>
      </c>
      <c r="EM1266" t="str">
        <f>IF(NOT(ISBLANK($B1266)),VLOOKUP($B1266,AssetCategories!$A:$E,2,0),"")</f>
        <v/>
      </c>
      <c r="EN1266" t="str">
        <f>IF(NOT(ISBLANK($B1266)),VLOOKUP($B1266,AssetCategories!$A:$E,3,0),"")</f>
        <v/>
      </c>
      <c r="EP1266" s="33" t="str">
        <f t="shared" si="39"/>
        <v/>
      </c>
    </row>
    <row r="1267" spans="16:146" x14ac:dyDescent="0.25">
      <c r="P1267" s="33" t="str" cm="1">
        <f t="array" ref="P1267">IFERROR(SUM(VALUE(_xlfn.TEXTSPLIT(O1267, ";"))), "")</f>
        <v/>
      </c>
      <c r="DO1267" t="str">
        <f t="shared" si="38"/>
        <v/>
      </c>
      <c r="EG1267" s="33" t="str">
        <f>IF(NOT(ISBLANK($B1267)),VLOOKUP($B1267,AssetCategories!$A:$E,5,0),"")</f>
        <v/>
      </c>
      <c r="EH1267" t="str">
        <f>IF(NOT(ISBLANK($B1267)),VLOOKUP($B1267,AssetCategories!$A:$E,4,0),"")</f>
        <v/>
      </c>
      <c r="EM1267" t="str">
        <f>IF(NOT(ISBLANK($B1267)),VLOOKUP($B1267,AssetCategories!$A:$E,2,0),"")</f>
        <v/>
      </c>
      <c r="EN1267" t="str">
        <f>IF(NOT(ISBLANK($B1267)),VLOOKUP($B1267,AssetCategories!$A:$E,3,0),"")</f>
        <v/>
      </c>
      <c r="EP1267" s="33" t="str">
        <f t="shared" si="39"/>
        <v/>
      </c>
    </row>
    <row r="1268" spans="16:146" x14ac:dyDescent="0.25">
      <c r="P1268" s="33" t="str" cm="1">
        <f t="array" ref="P1268">IFERROR(SUM(VALUE(_xlfn.TEXTSPLIT(O1268, ";"))), "")</f>
        <v/>
      </c>
      <c r="DO1268" t="str">
        <f t="shared" si="38"/>
        <v/>
      </c>
      <c r="EG1268" s="33" t="str">
        <f>IF(NOT(ISBLANK($B1268)),VLOOKUP($B1268,AssetCategories!$A:$E,5,0),"")</f>
        <v/>
      </c>
      <c r="EH1268" t="str">
        <f>IF(NOT(ISBLANK($B1268)),VLOOKUP($B1268,AssetCategories!$A:$E,4,0),"")</f>
        <v/>
      </c>
      <c r="EM1268" t="str">
        <f>IF(NOT(ISBLANK($B1268)),VLOOKUP($B1268,AssetCategories!$A:$E,2,0),"")</f>
        <v/>
      </c>
      <c r="EN1268" t="str">
        <f>IF(NOT(ISBLANK($B1268)),VLOOKUP($B1268,AssetCategories!$A:$E,3,0),"")</f>
        <v/>
      </c>
      <c r="EP1268" s="33" t="str">
        <f t="shared" si="39"/>
        <v/>
      </c>
    </row>
    <row r="1269" spans="16:146" x14ac:dyDescent="0.25">
      <c r="P1269" s="33" t="str" cm="1">
        <f t="array" ref="P1269">IFERROR(SUM(VALUE(_xlfn.TEXTSPLIT(O1269, ";"))), "")</f>
        <v/>
      </c>
      <c r="DO1269" t="str">
        <f t="shared" si="38"/>
        <v/>
      </c>
      <c r="EG1269" s="33" t="str">
        <f>IF(NOT(ISBLANK($B1269)),VLOOKUP($B1269,AssetCategories!$A:$E,5,0),"")</f>
        <v/>
      </c>
      <c r="EH1269" t="str">
        <f>IF(NOT(ISBLANK($B1269)),VLOOKUP($B1269,AssetCategories!$A:$E,4,0),"")</f>
        <v/>
      </c>
      <c r="EM1269" t="str">
        <f>IF(NOT(ISBLANK($B1269)),VLOOKUP($B1269,AssetCategories!$A:$E,2,0),"")</f>
        <v/>
      </c>
      <c r="EN1269" t="str">
        <f>IF(NOT(ISBLANK($B1269)),VLOOKUP($B1269,AssetCategories!$A:$E,3,0),"")</f>
        <v/>
      </c>
      <c r="EP1269" s="33" t="str">
        <f t="shared" si="39"/>
        <v/>
      </c>
    </row>
    <row r="1270" spans="16:146" x14ac:dyDescent="0.25">
      <c r="P1270" s="33" t="str" cm="1">
        <f t="array" ref="P1270">IFERROR(SUM(VALUE(_xlfn.TEXTSPLIT(O1270, ";"))), "")</f>
        <v/>
      </c>
      <c r="DO1270" t="str">
        <f t="shared" si="38"/>
        <v/>
      </c>
      <c r="EG1270" s="33" t="str">
        <f>IF(NOT(ISBLANK($B1270)),VLOOKUP($B1270,AssetCategories!$A:$E,5,0),"")</f>
        <v/>
      </c>
      <c r="EH1270" t="str">
        <f>IF(NOT(ISBLANK($B1270)),VLOOKUP($B1270,AssetCategories!$A:$E,4,0),"")</f>
        <v/>
      </c>
      <c r="EM1270" t="str">
        <f>IF(NOT(ISBLANK($B1270)),VLOOKUP($B1270,AssetCategories!$A:$E,2,0),"")</f>
        <v/>
      </c>
      <c r="EN1270" t="str">
        <f>IF(NOT(ISBLANK($B1270)),VLOOKUP($B1270,AssetCategories!$A:$E,3,0),"")</f>
        <v/>
      </c>
      <c r="EP1270" s="33" t="str">
        <f t="shared" si="39"/>
        <v/>
      </c>
    </row>
    <row r="1271" spans="16:146" x14ac:dyDescent="0.25">
      <c r="P1271" s="33" t="str" cm="1">
        <f t="array" ref="P1271">IFERROR(SUM(VALUE(_xlfn.TEXTSPLIT(O1271, ";"))), "")</f>
        <v/>
      </c>
      <c r="DO1271" t="str">
        <f t="shared" si="38"/>
        <v/>
      </c>
      <c r="EG1271" s="33" t="str">
        <f>IF(NOT(ISBLANK($B1271)),VLOOKUP($B1271,AssetCategories!$A:$E,5,0),"")</f>
        <v/>
      </c>
      <c r="EH1271" t="str">
        <f>IF(NOT(ISBLANK($B1271)),VLOOKUP($B1271,AssetCategories!$A:$E,4,0),"")</f>
        <v/>
      </c>
      <c r="EM1271" t="str">
        <f>IF(NOT(ISBLANK($B1271)),VLOOKUP($B1271,AssetCategories!$A:$E,2,0),"")</f>
        <v/>
      </c>
      <c r="EN1271" t="str">
        <f>IF(NOT(ISBLANK($B1271)),VLOOKUP($B1271,AssetCategories!$A:$E,3,0),"")</f>
        <v/>
      </c>
      <c r="EP1271" s="33" t="str">
        <f t="shared" si="39"/>
        <v/>
      </c>
    </row>
    <row r="1272" spans="16:146" x14ac:dyDescent="0.25">
      <c r="P1272" s="33" t="str" cm="1">
        <f t="array" ref="P1272">IFERROR(SUM(VALUE(_xlfn.TEXTSPLIT(O1272, ";"))), "")</f>
        <v/>
      </c>
      <c r="DO1272" t="str">
        <f t="shared" si="38"/>
        <v/>
      </c>
      <c r="EG1272" s="33" t="str">
        <f>IF(NOT(ISBLANK($B1272)),VLOOKUP($B1272,AssetCategories!$A:$E,5,0),"")</f>
        <v/>
      </c>
      <c r="EH1272" t="str">
        <f>IF(NOT(ISBLANK($B1272)),VLOOKUP($B1272,AssetCategories!$A:$E,4,0),"")</f>
        <v/>
      </c>
      <c r="EM1272" t="str">
        <f>IF(NOT(ISBLANK($B1272)),VLOOKUP($B1272,AssetCategories!$A:$E,2,0),"")</f>
        <v/>
      </c>
      <c r="EN1272" t="str">
        <f>IF(NOT(ISBLANK($B1272)),VLOOKUP($B1272,AssetCategories!$A:$E,3,0),"")</f>
        <v/>
      </c>
      <c r="EP1272" s="33" t="str">
        <f t="shared" si="39"/>
        <v/>
      </c>
    </row>
    <row r="1273" spans="16:146" x14ac:dyDescent="0.25">
      <c r="P1273" s="33" t="str" cm="1">
        <f t="array" ref="P1273">IFERROR(SUM(VALUE(_xlfn.TEXTSPLIT(O1273, ";"))), "")</f>
        <v/>
      </c>
      <c r="DO1273" t="str">
        <f t="shared" si="38"/>
        <v/>
      </c>
      <c r="EG1273" s="33" t="str">
        <f>IF(NOT(ISBLANK($B1273)),VLOOKUP($B1273,AssetCategories!$A:$E,5,0),"")</f>
        <v/>
      </c>
      <c r="EH1273" t="str">
        <f>IF(NOT(ISBLANK($B1273)),VLOOKUP($B1273,AssetCategories!$A:$E,4,0),"")</f>
        <v/>
      </c>
      <c r="EM1273" t="str">
        <f>IF(NOT(ISBLANK($B1273)),VLOOKUP($B1273,AssetCategories!$A:$E,2,0),"")</f>
        <v/>
      </c>
      <c r="EN1273" t="str">
        <f>IF(NOT(ISBLANK($B1273)),VLOOKUP($B1273,AssetCategories!$A:$E,3,0),"")</f>
        <v/>
      </c>
      <c r="EP1273" s="33" t="str">
        <f t="shared" si="39"/>
        <v/>
      </c>
    </row>
    <row r="1274" spans="16:146" x14ac:dyDescent="0.25">
      <c r="P1274" s="33" t="str" cm="1">
        <f t="array" ref="P1274">IFERROR(SUM(VALUE(_xlfn.TEXTSPLIT(O1274, ";"))), "")</f>
        <v/>
      </c>
      <c r="DO1274" t="str">
        <f t="shared" si="38"/>
        <v/>
      </c>
      <c r="EG1274" s="33" t="str">
        <f>IF(NOT(ISBLANK($B1274)),VLOOKUP($B1274,AssetCategories!$A:$E,5,0),"")</f>
        <v/>
      </c>
      <c r="EH1274" t="str">
        <f>IF(NOT(ISBLANK($B1274)),VLOOKUP($B1274,AssetCategories!$A:$E,4,0),"")</f>
        <v/>
      </c>
      <c r="EM1274" t="str">
        <f>IF(NOT(ISBLANK($B1274)),VLOOKUP($B1274,AssetCategories!$A:$E,2,0),"")</f>
        <v/>
      </c>
      <c r="EN1274" t="str">
        <f>IF(NOT(ISBLANK($B1274)),VLOOKUP($B1274,AssetCategories!$A:$E,3,0),"")</f>
        <v/>
      </c>
      <c r="EP1274" s="33" t="str">
        <f t="shared" si="39"/>
        <v/>
      </c>
    </row>
    <row r="1275" spans="16:146" x14ac:dyDescent="0.25">
      <c r="P1275" s="33" t="str" cm="1">
        <f t="array" ref="P1275">IFERROR(SUM(VALUE(_xlfn.TEXTSPLIT(O1275, ";"))), "")</f>
        <v/>
      </c>
      <c r="DO1275" t="str">
        <f t="shared" si="38"/>
        <v/>
      </c>
      <c r="EG1275" s="33" t="str">
        <f>IF(NOT(ISBLANK($B1275)),VLOOKUP($B1275,AssetCategories!$A:$E,5,0),"")</f>
        <v/>
      </c>
      <c r="EH1275" t="str">
        <f>IF(NOT(ISBLANK($B1275)),VLOOKUP($B1275,AssetCategories!$A:$E,4,0),"")</f>
        <v/>
      </c>
      <c r="EM1275" t="str">
        <f>IF(NOT(ISBLANK($B1275)),VLOOKUP($B1275,AssetCategories!$A:$E,2,0),"")</f>
        <v/>
      </c>
      <c r="EN1275" t="str">
        <f>IF(NOT(ISBLANK($B1275)),VLOOKUP($B1275,AssetCategories!$A:$E,3,0),"")</f>
        <v/>
      </c>
      <c r="EP1275" s="33" t="str">
        <f t="shared" si="39"/>
        <v/>
      </c>
    </row>
    <row r="1276" spans="16:146" x14ac:dyDescent="0.25">
      <c r="P1276" s="33" t="str" cm="1">
        <f t="array" ref="P1276">IFERROR(SUM(VALUE(_xlfn.TEXTSPLIT(O1276, ";"))), "")</f>
        <v/>
      </c>
      <c r="DO1276" t="str">
        <f t="shared" si="38"/>
        <v/>
      </c>
      <c r="EG1276" s="33" t="str">
        <f>IF(NOT(ISBLANK($B1276)),VLOOKUP($B1276,AssetCategories!$A:$E,5,0),"")</f>
        <v/>
      </c>
      <c r="EH1276" t="str">
        <f>IF(NOT(ISBLANK($B1276)),VLOOKUP($B1276,AssetCategories!$A:$E,4,0),"")</f>
        <v/>
      </c>
      <c r="EM1276" t="str">
        <f>IF(NOT(ISBLANK($B1276)),VLOOKUP($B1276,AssetCategories!$A:$E,2,0),"")</f>
        <v/>
      </c>
      <c r="EN1276" t="str">
        <f>IF(NOT(ISBLANK($B1276)),VLOOKUP($B1276,AssetCategories!$A:$E,3,0),"")</f>
        <v/>
      </c>
      <c r="EP1276" s="33" t="str">
        <f t="shared" si="39"/>
        <v/>
      </c>
    </row>
    <row r="1277" spans="16:146" x14ac:dyDescent="0.25">
      <c r="P1277" s="33" t="str" cm="1">
        <f t="array" ref="P1277">IFERROR(SUM(VALUE(_xlfn.TEXTSPLIT(O1277, ";"))), "")</f>
        <v/>
      </c>
      <c r="DO1277" t="str">
        <f t="shared" si="38"/>
        <v/>
      </c>
      <c r="EG1277" s="33" t="str">
        <f>IF(NOT(ISBLANK($B1277)),VLOOKUP($B1277,AssetCategories!$A:$E,5,0),"")</f>
        <v/>
      </c>
      <c r="EH1277" t="str">
        <f>IF(NOT(ISBLANK($B1277)),VLOOKUP($B1277,AssetCategories!$A:$E,4,0),"")</f>
        <v/>
      </c>
      <c r="EM1277" t="str">
        <f>IF(NOT(ISBLANK($B1277)),VLOOKUP($B1277,AssetCategories!$A:$E,2,0),"")</f>
        <v/>
      </c>
      <c r="EN1277" t="str">
        <f>IF(NOT(ISBLANK($B1277)),VLOOKUP($B1277,AssetCategories!$A:$E,3,0),"")</f>
        <v/>
      </c>
      <c r="EP1277" s="33" t="str">
        <f t="shared" si="39"/>
        <v/>
      </c>
    </row>
    <row r="1278" spans="16:146" x14ac:dyDescent="0.25">
      <c r="P1278" s="33" t="str" cm="1">
        <f t="array" ref="P1278">IFERROR(SUM(VALUE(_xlfn.TEXTSPLIT(O1278, ";"))), "")</f>
        <v/>
      </c>
      <c r="DO1278" t="str">
        <f t="shared" si="38"/>
        <v/>
      </c>
      <c r="EG1278" s="33" t="str">
        <f>IF(NOT(ISBLANK($B1278)),VLOOKUP($B1278,AssetCategories!$A:$E,5,0),"")</f>
        <v/>
      </c>
      <c r="EH1278" t="str">
        <f>IF(NOT(ISBLANK($B1278)),VLOOKUP($B1278,AssetCategories!$A:$E,4,0),"")</f>
        <v/>
      </c>
      <c r="EM1278" t="str">
        <f>IF(NOT(ISBLANK($B1278)),VLOOKUP($B1278,AssetCategories!$A:$E,2,0),"")</f>
        <v/>
      </c>
      <c r="EN1278" t="str">
        <f>IF(NOT(ISBLANK($B1278)),VLOOKUP($B1278,AssetCategories!$A:$E,3,0),"")</f>
        <v/>
      </c>
      <c r="EP1278" s="33" t="str">
        <f t="shared" si="39"/>
        <v/>
      </c>
    </row>
    <row r="1279" spans="16:146" x14ac:dyDescent="0.25">
      <c r="P1279" s="33" t="str" cm="1">
        <f t="array" ref="P1279">IFERROR(SUM(VALUE(_xlfn.TEXTSPLIT(O1279, ";"))), "")</f>
        <v/>
      </c>
      <c r="DO1279" t="str">
        <f t="shared" si="38"/>
        <v/>
      </c>
      <c r="EG1279" s="33" t="str">
        <f>IF(NOT(ISBLANK($B1279)),VLOOKUP($B1279,AssetCategories!$A:$E,5,0),"")</f>
        <v/>
      </c>
      <c r="EH1279" t="str">
        <f>IF(NOT(ISBLANK($B1279)),VLOOKUP($B1279,AssetCategories!$A:$E,4,0),"")</f>
        <v/>
      </c>
      <c r="EM1279" t="str">
        <f>IF(NOT(ISBLANK($B1279)),VLOOKUP($B1279,AssetCategories!$A:$E,2,0),"")</f>
        <v/>
      </c>
      <c r="EN1279" t="str">
        <f>IF(NOT(ISBLANK($B1279)),VLOOKUP($B1279,AssetCategories!$A:$E,3,0),"")</f>
        <v/>
      </c>
      <c r="EP1279" s="33" t="str">
        <f t="shared" si="39"/>
        <v/>
      </c>
    </row>
    <row r="1280" spans="16:146" x14ac:dyDescent="0.25">
      <c r="P1280" s="33" t="str" cm="1">
        <f t="array" ref="P1280">IFERROR(SUM(VALUE(_xlfn.TEXTSPLIT(O1280, ";"))), "")</f>
        <v/>
      </c>
      <c r="DO1280" t="str">
        <f t="shared" si="38"/>
        <v/>
      </c>
      <c r="EG1280" s="33" t="str">
        <f>IF(NOT(ISBLANK($B1280)),VLOOKUP($B1280,AssetCategories!$A:$E,5,0),"")</f>
        <v/>
      </c>
      <c r="EH1280" t="str">
        <f>IF(NOT(ISBLANK($B1280)),VLOOKUP($B1280,AssetCategories!$A:$E,4,0),"")</f>
        <v/>
      </c>
      <c r="EM1280" t="str">
        <f>IF(NOT(ISBLANK($B1280)),VLOOKUP($B1280,AssetCategories!$A:$E,2,0),"")</f>
        <v/>
      </c>
      <c r="EN1280" t="str">
        <f>IF(NOT(ISBLANK($B1280)),VLOOKUP($B1280,AssetCategories!$A:$E,3,0),"")</f>
        <v/>
      </c>
      <c r="EP1280" s="33" t="str">
        <f t="shared" si="39"/>
        <v/>
      </c>
    </row>
    <row r="1281" spans="16:146" x14ac:dyDescent="0.25">
      <c r="P1281" s="33" t="str" cm="1">
        <f t="array" ref="P1281">IFERROR(SUM(VALUE(_xlfn.TEXTSPLIT(O1281, ";"))), "")</f>
        <v/>
      </c>
      <c r="DO1281" t="str">
        <f t="shared" si="38"/>
        <v/>
      </c>
      <c r="EG1281" s="33" t="str">
        <f>IF(NOT(ISBLANK($B1281)),VLOOKUP($B1281,AssetCategories!$A:$E,5,0),"")</f>
        <v/>
      </c>
      <c r="EH1281" t="str">
        <f>IF(NOT(ISBLANK($B1281)),VLOOKUP($B1281,AssetCategories!$A:$E,4,0),"")</f>
        <v/>
      </c>
      <c r="EM1281" t="str">
        <f>IF(NOT(ISBLANK($B1281)),VLOOKUP($B1281,AssetCategories!$A:$E,2,0),"")</f>
        <v/>
      </c>
      <c r="EN1281" t="str">
        <f>IF(NOT(ISBLANK($B1281)),VLOOKUP($B1281,AssetCategories!$A:$E,3,0),"")</f>
        <v/>
      </c>
      <c r="EP1281" s="33" t="str">
        <f t="shared" si="39"/>
        <v/>
      </c>
    </row>
    <row r="1282" spans="16:146" x14ac:dyDescent="0.25">
      <c r="P1282" s="33" t="str" cm="1">
        <f t="array" ref="P1282">IFERROR(SUM(VALUE(_xlfn.TEXTSPLIT(O1282, ";"))), "")</f>
        <v/>
      </c>
      <c r="DO1282" t="str">
        <f t="shared" si="38"/>
        <v/>
      </c>
      <c r="EG1282" s="33" t="str">
        <f>IF(NOT(ISBLANK($B1282)),VLOOKUP($B1282,AssetCategories!$A:$E,5,0),"")</f>
        <v/>
      </c>
      <c r="EH1282" t="str">
        <f>IF(NOT(ISBLANK($B1282)),VLOOKUP($B1282,AssetCategories!$A:$E,4,0),"")</f>
        <v/>
      </c>
      <c r="EM1282" t="str">
        <f>IF(NOT(ISBLANK($B1282)),VLOOKUP($B1282,AssetCategories!$A:$E,2,0),"")</f>
        <v/>
      </c>
      <c r="EN1282" t="str">
        <f>IF(NOT(ISBLANK($B1282)),VLOOKUP($B1282,AssetCategories!$A:$E,3,0),"")</f>
        <v/>
      </c>
      <c r="EP1282" s="33" t="str">
        <f t="shared" si="39"/>
        <v/>
      </c>
    </row>
    <row r="1283" spans="16:146" x14ac:dyDescent="0.25">
      <c r="P1283" s="33" t="str" cm="1">
        <f t="array" ref="P1283">IFERROR(SUM(VALUE(_xlfn.TEXTSPLIT(O1283, ";"))), "")</f>
        <v/>
      </c>
      <c r="DO1283" t="str">
        <f t="shared" si="38"/>
        <v/>
      </c>
      <c r="EG1283" s="33" t="str">
        <f>IF(NOT(ISBLANK($B1283)),VLOOKUP($B1283,AssetCategories!$A:$E,5,0),"")</f>
        <v/>
      </c>
      <c r="EH1283" t="str">
        <f>IF(NOT(ISBLANK($B1283)),VLOOKUP($B1283,AssetCategories!$A:$E,4,0),"")</f>
        <v/>
      </c>
      <c r="EM1283" t="str">
        <f>IF(NOT(ISBLANK($B1283)),VLOOKUP($B1283,AssetCategories!$A:$E,2,0),"")</f>
        <v/>
      </c>
      <c r="EN1283" t="str">
        <f>IF(NOT(ISBLANK($B1283)),VLOOKUP($B1283,AssetCategories!$A:$E,3,0),"")</f>
        <v/>
      </c>
      <c r="EP1283" s="33" t="str">
        <f t="shared" si="39"/>
        <v/>
      </c>
    </row>
    <row r="1284" spans="16:146" x14ac:dyDescent="0.25">
      <c r="P1284" s="33" t="str" cm="1">
        <f t="array" ref="P1284">IFERROR(SUM(VALUE(_xlfn.TEXTSPLIT(O1284, ";"))), "")</f>
        <v/>
      </c>
      <c r="DO1284" t="str">
        <f t="shared" si="38"/>
        <v/>
      </c>
      <c r="EG1284" s="33" t="str">
        <f>IF(NOT(ISBLANK($B1284)),VLOOKUP($B1284,AssetCategories!$A:$E,5,0),"")</f>
        <v/>
      </c>
      <c r="EH1284" t="str">
        <f>IF(NOT(ISBLANK($B1284)),VLOOKUP($B1284,AssetCategories!$A:$E,4,0),"")</f>
        <v/>
      </c>
      <c r="EM1284" t="str">
        <f>IF(NOT(ISBLANK($B1284)),VLOOKUP($B1284,AssetCategories!$A:$E,2,0),"")</f>
        <v/>
      </c>
      <c r="EN1284" t="str">
        <f>IF(NOT(ISBLANK($B1284)),VLOOKUP($B1284,AssetCategories!$A:$E,3,0),"")</f>
        <v/>
      </c>
      <c r="EP1284" s="33" t="str">
        <f t="shared" si="39"/>
        <v/>
      </c>
    </row>
    <row r="1285" spans="16:146" x14ac:dyDescent="0.25">
      <c r="P1285" s="33" t="str" cm="1">
        <f t="array" ref="P1285">IFERROR(SUM(VALUE(_xlfn.TEXTSPLIT(O1285, ";"))), "")</f>
        <v/>
      </c>
      <c r="DO1285" t="str">
        <f t="shared" ref="DO1285:DO1348" si="40">IF(SUM(DE1285:DN1285)=0, "", SUM(DE1285:DN1285))</f>
        <v/>
      </c>
      <c r="EG1285" s="33" t="str">
        <f>IF(NOT(ISBLANK($B1285)),VLOOKUP($B1285,AssetCategories!$A:$E,5,0),"")</f>
        <v/>
      </c>
      <c r="EH1285" t="str">
        <f>IF(NOT(ISBLANK($B1285)),VLOOKUP($B1285,AssetCategories!$A:$E,4,0),"")</f>
        <v/>
      </c>
      <c r="EM1285" t="str">
        <f>IF(NOT(ISBLANK($B1285)),VLOOKUP($B1285,AssetCategories!$A:$E,2,0),"")</f>
        <v/>
      </c>
      <c r="EN1285" t="str">
        <f>IF(NOT(ISBLANK($B1285)),VLOOKUP($B1285,AssetCategories!$A:$E,3,0),"")</f>
        <v/>
      </c>
      <c r="EP1285" s="33" t="str">
        <f t="shared" ref="EP1285:EP1348" si="41">IFERROR(P1285-EO1285, "")</f>
        <v/>
      </c>
    </row>
    <row r="1286" spans="16:146" x14ac:dyDescent="0.25">
      <c r="P1286" s="33" t="str" cm="1">
        <f t="array" ref="P1286">IFERROR(SUM(VALUE(_xlfn.TEXTSPLIT(O1286, ";"))), "")</f>
        <v/>
      </c>
      <c r="DO1286" t="str">
        <f t="shared" si="40"/>
        <v/>
      </c>
      <c r="EG1286" s="33" t="str">
        <f>IF(NOT(ISBLANK($B1286)),VLOOKUP($B1286,AssetCategories!$A:$E,5,0),"")</f>
        <v/>
      </c>
      <c r="EH1286" t="str">
        <f>IF(NOT(ISBLANK($B1286)),VLOOKUP($B1286,AssetCategories!$A:$E,4,0),"")</f>
        <v/>
      </c>
      <c r="EM1286" t="str">
        <f>IF(NOT(ISBLANK($B1286)),VLOOKUP($B1286,AssetCategories!$A:$E,2,0),"")</f>
        <v/>
      </c>
      <c r="EN1286" t="str">
        <f>IF(NOT(ISBLANK($B1286)),VLOOKUP($B1286,AssetCategories!$A:$E,3,0),"")</f>
        <v/>
      </c>
      <c r="EP1286" s="33" t="str">
        <f t="shared" si="41"/>
        <v/>
      </c>
    </row>
    <row r="1287" spans="16:146" x14ac:dyDescent="0.25">
      <c r="P1287" s="33" t="str" cm="1">
        <f t="array" ref="P1287">IFERROR(SUM(VALUE(_xlfn.TEXTSPLIT(O1287, ";"))), "")</f>
        <v/>
      </c>
      <c r="DO1287" t="str">
        <f t="shared" si="40"/>
        <v/>
      </c>
      <c r="EG1287" s="33" t="str">
        <f>IF(NOT(ISBLANK($B1287)),VLOOKUP($B1287,AssetCategories!$A:$E,5,0),"")</f>
        <v/>
      </c>
      <c r="EH1287" t="str">
        <f>IF(NOT(ISBLANK($B1287)),VLOOKUP($B1287,AssetCategories!$A:$E,4,0),"")</f>
        <v/>
      </c>
      <c r="EM1287" t="str">
        <f>IF(NOT(ISBLANK($B1287)),VLOOKUP($B1287,AssetCategories!$A:$E,2,0),"")</f>
        <v/>
      </c>
      <c r="EN1287" t="str">
        <f>IF(NOT(ISBLANK($B1287)),VLOOKUP($B1287,AssetCategories!$A:$E,3,0),"")</f>
        <v/>
      </c>
      <c r="EP1287" s="33" t="str">
        <f t="shared" si="41"/>
        <v/>
      </c>
    </row>
    <row r="1288" spans="16:146" x14ac:dyDescent="0.25">
      <c r="P1288" s="33" t="str" cm="1">
        <f t="array" ref="P1288">IFERROR(SUM(VALUE(_xlfn.TEXTSPLIT(O1288, ";"))), "")</f>
        <v/>
      </c>
      <c r="DO1288" t="str">
        <f t="shared" si="40"/>
        <v/>
      </c>
      <c r="EG1288" s="33" t="str">
        <f>IF(NOT(ISBLANK($B1288)),VLOOKUP($B1288,AssetCategories!$A:$E,5,0),"")</f>
        <v/>
      </c>
      <c r="EH1288" t="str">
        <f>IF(NOT(ISBLANK($B1288)),VLOOKUP($B1288,AssetCategories!$A:$E,4,0),"")</f>
        <v/>
      </c>
      <c r="EM1288" t="str">
        <f>IF(NOT(ISBLANK($B1288)),VLOOKUP($B1288,AssetCategories!$A:$E,2,0),"")</f>
        <v/>
      </c>
      <c r="EN1288" t="str">
        <f>IF(NOT(ISBLANK($B1288)),VLOOKUP($B1288,AssetCategories!$A:$E,3,0),"")</f>
        <v/>
      </c>
      <c r="EP1288" s="33" t="str">
        <f t="shared" si="41"/>
        <v/>
      </c>
    </row>
    <row r="1289" spans="16:146" x14ac:dyDescent="0.25">
      <c r="P1289" s="33" t="str" cm="1">
        <f t="array" ref="P1289">IFERROR(SUM(VALUE(_xlfn.TEXTSPLIT(O1289, ";"))), "")</f>
        <v/>
      </c>
      <c r="DO1289" t="str">
        <f t="shared" si="40"/>
        <v/>
      </c>
      <c r="EG1289" s="33" t="str">
        <f>IF(NOT(ISBLANK($B1289)),VLOOKUP($B1289,AssetCategories!$A:$E,5,0),"")</f>
        <v/>
      </c>
      <c r="EH1289" t="str">
        <f>IF(NOT(ISBLANK($B1289)),VLOOKUP($B1289,AssetCategories!$A:$E,4,0),"")</f>
        <v/>
      </c>
      <c r="EM1289" t="str">
        <f>IF(NOT(ISBLANK($B1289)),VLOOKUP($B1289,AssetCategories!$A:$E,2,0),"")</f>
        <v/>
      </c>
      <c r="EN1289" t="str">
        <f>IF(NOT(ISBLANK($B1289)),VLOOKUP($B1289,AssetCategories!$A:$E,3,0),"")</f>
        <v/>
      </c>
      <c r="EP1289" s="33" t="str">
        <f t="shared" si="41"/>
        <v/>
      </c>
    </row>
    <row r="1290" spans="16:146" x14ac:dyDescent="0.25">
      <c r="P1290" s="33" t="str" cm="1">
        <f t="array" ref="P1290">IFERROR(SUM(VALUE(_xlfn.TEXTSPLIT(O1290, ";"))), "")</f>
        <v/>
      </c>
      <c r="DO1290" t="str">
        <f t="shared" si="40"/>
        <v/>
      </c>
      <c r="EG1290" s="33" t="str">
        <f>IF(NOT(ISBLANK($B1290)),VLOOKUP($B1290,AssetCategories!$A:$E,5,0),"")</f>
        <v/>
      </c>
      <c r="EH1290" t="str">
        <f>IF(NOT(ISBLANK($B1290)),VLOOKUP($B1290,AssetCategories!$A:$E,4,0),"")</f>
        <v/>
      </c>
      <c r="EM1290" t="str">
        <f>IF(NOT(ISBLANK($B1290)),VLOOKUP($B1290,AssetCategories!$A:$E,2,0),"")</f>
        <v/>
      </c>
      <c r="EN1290" t="str">
        <f>IF(NOT(ISBLANK($B1290)),VLOOKUP($B1290,AssetCategories!$A:$E,3,0),"")</f>
        <v/>
      </c>
      <c r="EP1290" s="33" t="str">
        <f t="shared" si="41"/>
        <v/>
      </c>
    </row>
    <row r="1291" spans="16:146" x14ac:dyDescent="0.25">
      <c r="P1291" s="33" t="str" cm="1">
        <f t="array" ref="P1291">IFERROR(SUM(VALUE(_xlfn.TEXTSPLIT(O1291, ";"))), "")</f>
        <v/>
      </c>
      <c r="DO1291" t="str">
        <f t="shared" si="40"/>
        <v/>
      </c>
      <c r="EG1291" s="33" t="str">
        <f>IF(NOT(ISBLANK($B1291)),VLOOKUP($B1291,AssetCategories!$A:$E,5,0),"")</f>
        <v/>
      </c>
      <c r="EH1291" t="str">
        <f>IF(NOT(ISBLANK($B1291)),VLOOKUP($B1291,AssetCategories!$A:$E,4,0),"")</f>
        <v/>
      </c>
      <c r="EM1291" t="str">
        <f>IF(NOT(ISBLANK($B1291)),VLOOKUP($B1291,AssetCategories!$A:$E,2,0),"")</f>
        <v/>
      </c>
      <c r="EN1291" t="str">
        <f>IF(NOT(ISBLANK($B1291)),VLOOKUP($B1291,AssetCategories!$A:$E,3,0),"")</f>
        <v/>
      </c>
      <c r="EP1291" s="33" t="str">
        <f t="shared" si="41"/>
        <v/>
      </c>
    </row>
    <row r="1292" spans="16:146" x14ac:dyDescent="0.25">
      <c r="P1292" s="33" t="str" cm="1">
        <f t="array" ref="P1292">IFERROR(SUM(VALUE(_xlfn.TEXTSPLIT(O1292, ";"))), "")</f>
        <v/>
      </c>
      <c r="DO1292" t="str">
        <f t="shared" si="40"/>
        <v/>
      </c>
      <c r="EG1292" s="33" t="str">
        <f>IF(NOT(ISBLANK($B1292)),VLOOKUP($B1292,AssetCategories!$A:$E,5,0),"")</f>
        <v/>
      </c>
      <c r="EH1292" t="str">
        <f>IF(NOT(ISBLANK($B1292)),VLOOKUP($B1292,AssetCategories!$A:$E,4,0),"")</f>
        <v/>
      </c>
      <c r="EM1292" t="str">
        <f>IF(NOT(ISBLANK($B1292)),VLOOKUP($B1292,AssetCategories!$A:$E,2,0),"")</f>
        <v/>
      </c>
      <c r="EN1292" t="str">
        <f>IF(NOT(ISBLANK($B1292)),VLOOKUP($B1292,AssetCategories!$A:$E,3,0),"")</f>
        <v/>
      </c>
      <c r="EP1292" s="33" t="str">
        <f t="shared" si="41"/>
        <v/>
      </c>
    </row>
    <row r="1293" spans="16:146" x14ac:dyDescent="0.25">
      <c r="P1293" s="33" t="str" cm="1">
        <f t="array" ref="P1293">IFERROR(SUM(VALUE(_xlfn.TEXTSPLIT(O1293, ";"))), "")</f>
        <v/>
      </c>
      <c r="DO1293" t="str">
        <f t="shared" si="40"/>
        <v/>
      </c>
      <c r="EG1293" s="33" t="str">
        <f>IF(NOT(ISBLANK($B1293)),VLOOKUP($B1293,AssetCategories!$A:$E,5,0),"")</f>
        <v/>
      </c>
      <c r="EH1293" t="str">
        <f>IF(NOT(ISBLANK($B1293)),VLOOKUP($B1293,AssetCategories!$A:$E,4,0),"")</f>
        <v/>
      </c>
      <c r="EM1293" t="str">
        <f>IF(NOT(ISBLANK($B1293)),VLOOKUP($B1293,AssetCategories!$A:$E,2,0),"")</f>
        <v/>
      </c>
      <c r="EN1293" t="str">
        <f>IF(NOT(ISBLANK($B1293)),VLOOKUP($B1293,AssetCategories!$A:$E,3,0),"")</f>
        <v/>
      </c>
      <c r="EP1293" s="33" t="str">
        <f t="shared" si="41"/>
        <v/>
      </c>
    </row>
    <row r="1294" spans="16:146" x14ac:dyDescent="0.25">
      <c r="P1294" s="33" t="str" cm="1">
        <f t="array" ref="P1294">IFERROR(SUM(VALUE(_xlfn.TEXTSPLIT(O1294, ";"))), "")</f>
        <v/>
      </c>
      <c r="DO1294" t="str">
        <f t="shared" si="40"/>
        <v/>
      </c>
      <c r="EG1294" s="33" t="str">
        <f>IF(NOT(ISBLANK($B1294)),VLOOKUP($B1294,AssetCategories!$A:$E,5,0),"")</f>
        <v/>
      </c>
      <c r="EH1294" t="str">
        <f>IF(NOT(ISBLANK($B1294)),VLOOKUP($B1294,AssetCategories!$A:$E,4,0),"")</f>
        <v/>
      </c>
      <c r="EM1294" t="str">
        <f>IF(NOT(ISBLANK($B1294)),VLOOKUP($B1294,AssetCategories!$A:$E,2,0),"")</f>
        <v/>
      </c>
      <c r="EN1294" t="str">
        <f>IF(NOT(ISBLANK($B1294)),VLOOKUP($B1294,AssetCategories!$A:$E,3,0),"")</f>
        <v/>
      </c>
      <c r="EP1294" s="33" t="str">
        <f t="shared" si="41"/>
        <v/>
      </c>
    </row>
    <row r="1295" spans="16:146" x14ac:dyDescent="0.25">
      <c r="P1295" s="33" t="str" cm="1">
        <f t="array" ref="P1295">IFERROR(SUM(VALUE(_xlfn.TEXTSPLIT(O1295, ";"))), "")</f>
        <v/>
      </c>
      <c r="DO1295" t="str">
        <f t="shared" si="40"/>
        <v/>
      </c>
      <c r="EG1295" s="33" t="str">
        <f>IF(NOT(ISBLANK($B1295)),VLOOKUP($B1295,AssetCategories!$A:$E,5,0),"")</f>
        <v/>
      </c>
      <c r="EH1295" t="str">
        <f>IF(NOT(ISBLANK($B1295)),VLOOKUP($B1295,AssetCategories!$A:$E,4,0),"")</f>
        <v/>
      </c>
      <c r="EM1295" t="str">
        <f>IF(NOT(ISBLANK($B1295)),VLOOKUP($B1295,AssetCategories!$A:$E,2,0),"")</f>
        <v/>
      </c>
      <c r="EN1295" t="str">
        <f>IF(NOT(ISBLANK($B1295)),VLOOKUP($B1295,AssetCategories!$A:$E,3,0),"")</f>
        <v/>
      </c>
      <c r="EP1295" s="33" t="str">
        <f t="shared" si="41"/>
        <v/>
      </c>
    </row>
    <row r="1296" spans="16:146" x14ac:dyDescent="0.25">
      <c r="P1296" s="33" t="str" cm="1">
        <f t="array" ref="P1296">IFERROR(SUM(VALUE(_xlfn.TEXTSPLIT(O1296, ";"))), "")</f>
        <v/>
      </c>
      <c r="DO1296" t="str">
        <f t="shared" si="40"/>
        <v/>
      </c>
      <c r="EG1296" s="33" t="str">
        <f>IF(NOT(ISBLANK($B1296)),VLOOKUP($B1296,AssetCategories!$A:$E,5,0),"")</f>
        <v/>
      </c>
      <c r="EH1296" t="str">
        <f>IF(NOT(ISBLANK($B1296)),VLOOKUP($B1296,AssetCategories!$A:$E,4,0),"")</f>
        <v/>
      </c>
      <c r="EM1296" t="str">
        <f>IF(NOT(ISBLANK($B1296)),VLOOKUP($B1296,AssetCategories!$A:$E,2,0),"")</f>
        <v/>
      </c>
      <c r="EN1296" t="str">
        <f>IF(NOT(ISBLANK($B1296)),VLOOKUP($B1296,AssetCategories!$A:$E,3,0),"")</f>
        <v/>
      </c>
      <c r="EP1296" s="33" t="str">
        <f t="shared" si="41"/>
        <v/>
      </c>
    </row>
    <row r="1297" spans="16:146" x14ac:dyDescent="0.25">
      <c r="P1297" s="33" t="str" cm="1">
        <f t="array" ref="P1297">IFERROR(SUM(VALUE(_xlfn.TEXTSPLIT(O1297, ";"))), "")</f>
        <v/>
      </c>
      <c r="DO1297" t="str">
        <f t="shared" si="40"/>
        <v/>
      </c>
      <c r="EG1297" s="33" t="str">
        <f>IF(NOT(ISBLANK($B1297)),VLOOKUP($B1297,AssetCategories!$A:$E,5,0),"")</f>
        <v/>
      </c>
      <c r="EH1297" t="str">
        <f>IF(NOT(ISBLANK($B1297)),VLOOKUP($B1297,AssetCategories!$A:$E,4,0),"")</f>
        <v/>
      </c>
      <c r="EM1297" t="str">
        <f>IF(NOT(ISBLANK($B1297)),VLOOKUP($B1297,AssetCategories!$A:$E,2,0),"")</f>
        <v/>
      </c>
      <c r="EN1297" t="str">
        <f>IF(NOT(ISBLANK($B1297)),VLOOKUP($B1297,AssetCategories!$A:$E,3,0),"")</f>
        <v/>
      </c>
      <c r="EP1297" s="33" t="str">
        <f t="shared" si="41"/>
        <v/>
      </c>
    </row>
    <row r="1298" spans="16:146" x14ac:dyDescent="0.25">
      <c r="P1298" s="33" t="str" cm="1">
        <f t="array" ref="P1298">IFERROR(SUM(VALUE(_xlfn.TEXTSPLIT(O1298, ";"))), "")</f>
        <v/>
      </c>
      <c r="DO1298" t="str">
        <f t="shared" si="40"/>
        <v/>
      </c>
      <c r="EG1298" s="33" t="str">
        <f>IF(NOT(ISBLANK($B1298)),VLOOKUP($B1298,AssetCategories!$A:$E,5,0),"")</f>
        <v/>
      </c>
      <c r="EH1298" t="str">
        <f>IF(NOT(ISBLANK($B1298)),VLOOKUP($B1298,AssetCategories!$A:$E,4,0),"")</f>
        <v/>
      </c>
      <c r="EM1298" t="str">
        <f>IF(NOT(ISBLANK($B1298)),VLOOKUP($B1298,AssetCategories!$A:$E,2,0),"")</f>
        <v/>
      </c>
      <c r="EN1298" t="str">
        <f>IF(NOT(ISBLANK($B1298)),VLOOKUP($B1298,AssetCategories!$A:$E,3,0),"")</f>
        <v/>
      </c>
      <c r="EP1298" s="33" t="str">
        <f t="shared" si="41"/>
        <v/>
      </c>
    </row>
    <row r="1299" spans="16:146" x14ac:dyDescent="0.25">
      <c r="P1299" s="33" t="str" cm="1">
        <f t="array" ref="P1299">IFERROR(SUM(VALUE(_xlfn.TEXTSPLIT(O1299, ";"))), "")</f>
        <v/>
      </c>
      <c r="DO1299" t="str">
        <f t="shared" si="40"/>
        <v/>
      </c>
      <c r="EG1299" s="33" t="str">
        <f>IF(NOT(ISBLANK($B1299)),VLOOKUP($B1299,AssetCategories!$A:$E,5,0),"")</f>
        <v/>
      </c>
      <c r="EH1299" t="str">
        <f>IF(NOT(ISBLANK($B1299)),VLOOKUP($B1299,AssetCategories!$A:$E,4,0),"")</f>
        <v/>
      </c>
      <c r="EM1299" t="str">
        <f>IF(NOT(ISBLANK($B1299)),VLOOKUP($B1299,AssetCategories!$A:$E,2,0),"")</f>
        <v/>
      </c>
      <c r="EN1299" t="str">
        <f>IF(NOT(ISBLANK($B1299)),VLOOKUP($B1299,AssetCategories!$A:$E,3,0),"")</f>
        <v/>
      </c>
      <c r="EP1299" s="33" t="str">
        <f t="shared" si="41"/>
        <v/>
      </c>
    </row>
    <row r="1300" spans="16:146" x14ac:dyDescent="0.25">
      <c r="P1300" s="33" t="str" cm="1">
        <f t="array" ref="P1300">IFERROR(SUM(VALUE(_xlfn.TEXTSPLIT(O1300, ";"))), "")</f>
        <v/>
      </c>
      <c r="DO1300" t="str">
        <f t="shared" si="40"/>
        <v/>
      </c>
      <c r="EG1300" s="33" t="str">
        <f>IF(NOT(ISBLANK($B1300)),VLOOKUP($B1300,AssetCategories!$A:$E,5,0),"")</f>
        <v/>
      </c>
      <c r="EH1300" t="str">
        <f>IF(NOT(ISBLANK($B1300)),VLOOKUP($B1300,AssetCategories!$A:$E,4,0),"")</f>
        <v/>
      </c>
      <c r="EM1300" t="str">
        <f>IF(NOT(ISBLANK($B1300)),VLOOKUP($B1300,AssetCategories!$A:$E,2,0),"")</f>
        <v/>
      </c>
      <c r="EN1300" t="str">
        <f>IF(NOT(ISBLANK($B1300)),VLOOKUP($B1300,AssetCategories!$A:$E,3,0),"")</f>
        <v/>
      </c>
      <c r="EP1300" s="33" t="str">
        <f t="shared" si="41"/>
        <v/>
      </c>
    </row>
    <row r="1301" spans="16:146" x14ac:dyDescent="0.25">
      <c r="P1301" s="33" t="str" cm="1">
        <f t="array" ref="P1301">IFERROR(SUM(VALUE(_xlfn.TEXTSPLIT(O1301, ";"))), "")</f>
        <v/>
      </c>
      <c r="DO1301" t="str">
        <f t="shared" si="40"/>
        <v/>
      </c>
      <c r="EG1301" s="33" t="str">
        <f>IF(NOT(ISBLANK($B1301)),VLOOKUP($B1301,AssetCategories!$A:$E,5,0),"")</f>
        <v/>
      </c>
      <c r="EH1301" t="str">
        <f>IF(NOT(ISBLANK($B1301)),VLOOKUP($B1301,AssetCategories!$A:$E,4,0),"")</f>
        <v/>
      </c>
      <c r="EM1301" t="str">
        <f>IF(NOT(ISBLANK($B1301)),VLOOKUP($B1301,AssetCategories!$A:$E,2,0),"")</f>
        <v/>
      </c>
      <c r="EN1301" t="str">
        <f>IF(NOT(ISBLANK($B1301)),VLOOKUP($B1301,AssetCategories!$A:$E,3,0),"")</f>
        <v/>
      </c>
      <c r="EP1301" s="33" t="str">
        <f t="shared" si="41"/>
        <v/>
      </c>
    </row>
    <row r="1302" spans="16:146" x14ac:dyDescent="0.25">
      <c r="P1302" s="33" t="str" cm="1">
        <f t="array" ref="P1302">IFERROR(SUM(VALUE(_xlfn.TEXTSPLIT(O1302, ";"))), "")</f>
        <v/>
      </c>
      <c r="DO1302" t="str">
        <f t="shared" si="40"/>
        <v/>
      </c>
      <c r="EG1302" s="33" t="str">
        <f>IF(NOT(ISBLANK($B1302)),VLOOKUP($B1302,AssetCategories!$A:$E,5,0),"")</f>
        <v/>
      </c>
      <c r="EH1302" t="str">
        <f>IF(NOT(ISBLANK($B1302)),VLOOKUP($B1302,AssetCategories!$A:$E,4,0),"")</f>
        <v/>
      </c>
      <c r="EM1302" t="str">
        <f>IF(NOT(ISBLANK($B1302)),VLOOKUP($B1302,AssetCategories!$A:$E,2,0),"")</f>
        <v/>
      </c>
      <c r="EN1302" t="str">
        <f>IF(NOT(ISBLANK($B1302)),VLOOKUP($B1302,AssetCategories!$A:$E,3,0),"")</f>
        <v/>
      </c>
      <c r="EP1302" s="33" t="str">
        <f t="shared" si="41"/>
        <v/>
      </c>
    </row>
    <row r="1303" spans="16:146" x14ac:dyDescent="0.25">
      <c r="P1303" s="33" t="str" cm="1">
        <f t="array" ref="P1303">IFERROR(SUM(VALUE(_xlfn.TEXTSPLIT(O1303, ";"))), "")</f>
        <v/>
      </c>
      <c r="DO1303" t="str">
        <f t="shared" si="40"/>
        <v/>
      </c>
      <c r="EG1303" s="33" t="str">
        <f>IF(NOT(ISBLANK($B1303)),VLOOKUP($B1303,AssetCategories!$A:$E,5,0),"")</f>
        <v/>
      </c>
      <c r="EH1303" t="str">
        <f>IF(NOT(ISBLANK($B1303)),VLOOKUP($B1303,AssetCategories!$A:$E,4,0),"")</f>
        <v/>
      </c>
      <c r="EM1303" t="str">
        <f>IF(NOT(ISBLANK($B1303)),VLOOKUP($B1303,AssetCategories!$A:$E,2,0),"")</f>
        <v/>
      </c>
      <c r="EN1303" t="str">
        <f>IF(NOT(ISBLANK($B1303)),VLOOKUP($B1303,AssetCategories!$A:$E,3,0),"")</f>
        <v/>
      </c>
      <c r="EP1303" s="33" t="str">
        <f t="shared" si="41"/>
        <v/>
      </c>
    </row>
    <row r="1304" spans="16:146" x14ac:dyDescent="0.25">
      <c r="P1304" s="33" t="str" cm="1">
        <f t="array" ref="P1304">IFERROR(SUM(VALUE(_xlfn.TEXTSPLIT(O1304, ";"))), "")</f>
        <v/>
      </c>
      <c r="DO1304" t="str">
        <f t="shared" si="40"/>
        <v/>
      </c>
      <c r="EG1304" s="33" t="str">
        <f>IF(NOT(ISBLANK($B1304)),VLOOKUP($B1304,AssetCategories!$A:$E,5,0),"")</f>
        <v/>
      </c>
      <c r="EH1304" t="str">
        <f>IF(NOT(ISBLANK($B1304)),VLOOKUP($B1304,AssetCategories!$A:$E,4,0),"")</f>
        <v/>
      </c>
      <c r="EM1304" t="str">
        <f>IF(NOT(ISBLANK($B1304)),VLOOKUP($B1304,AssetCategories!$A:$E,2,0),"")</f>
        <v/>
      </c>
      <c r="EN1304" t="str">
        <f>IF(NOT(ISBLANK($B1304)),VLOOKUP($B1304,AssetCategories!$A:$E,3,0),"")</f>
        <v/>
      </c>
      <c r="EP1304" s="33" t="str">
        <f t="shared" si="41"/>
        <v/>
      </c>
    </row>
    <row r="1305" spans="16:146" x14ac:dyDescent="0.25">
      <c r="P1305" s="33" t="str" cm="1">
        <f t="array" ref="P1305">IFERROR(SUM(VALUE(_xlfn.TEXTSPLIT(O1305, ";"))), "")</f>
        <v/>
      </c>
      <c r="DO1305" t="str">
        <f t="shared" si="40"/>
        <v/>
      </c>
      <c r="EG1305" s="33" t="str">
        <f>IF(NOT(ISBLANK($B1305)),VLOOKUP($B1305,AssetCategories!$A:$E,5,0),"")</f>
        <v/>
      </c>
      <c r="EH1305" t="str">
        <f>IF(NOT(ISBLANK($B1305)),VLOOKUP($B1305,AssetCategories!$A:$E,4,0),"")</f>
        <v/>
      </c>
      <c r="EM1305" t="str">
        <f>IF(NOT(ISBLANK($B1305)),VLOOKUP($B1305,AssetCategories!$A:$E,2,0),"")</f>
        <v/>
      </c>
      <c r="EN1305" t="str">
        <f>IF(NOT(ISBLANK($B1305)),VLOOKUP($B1305,AssetCategories!$A:$E,3,0),"")</f>
        <v/>
      </c>
      <c r="EP1305" s="33" t="str">
        <f t="shared" si="41"/>
        <v/>
      </c>
    </row>
    <row r="1306" spans="16:146" x14ac:dyDescent="0.25">
      <c r="P1306" s="33" t="str" cm="1">
        <f t="array" ref="P1306">IFERROR(SUM(VALUE(_xlfn.TEXTSPLIT(O1306, ";"))), "")</f>
        <v/>
      </c>
      <c r="DO1306" t="str">
        <f t="shared" si="40"/>
        <v/>
      </c>
      <c r="EG1306" s="33" t="str">
        <f>IF(NOT(ISBLANK($B1306)),VLOOKUP($B1306,AssetCategories!$A:$E,5,0),"")</f>
        <v/>
      </c>
      <c r="EH1306" t="str">
        <f>IF(NOT(ISBLANK($B1306)),VLOOKUP($B1306,AssetCategories!$A:$E,4,0),"")</f>
        <v/>
      </c>
      <c r="EM1306" t="str">
        <f>IF(NOT(ISBLANK($B1306)),VLOOKUP($B1306,AssetCategories!$A:$E,2,0),"")</f>
        <v/>
      </c>
      <c r="EN1306" t="str">
        <f>IF(NOT(ISBLANK($B1306)),VLOOKUP($B1306,AssetCategories!$A:$E,3,0),"")</f>
        <v/>
      </c>
      <c r="EP1306" s="33" t="str">
        <f t="shared" si="41"/>
        <v/>
      </c>
    </row>
    <row r="1307" spans="16:146" x14ac:dyDescent="0.25">
      <c r="P1307" s="33" t="str" cm="1">
        <f t="array" ref="P1307">IFERROR(SUM(VALUE(_xlfn.TEXTSPLIT(O1307, ";"))), "")</f>
        <v/>
      </c>
      <c r="DO1307" t="str">
        <f t="shared" si="40"/>
        <v/>
      </c>
      <c r="EG1307" s="33" t="str">
        <f>IF(NOT(ISBLANK($B1307)),VLOOKUP($B1307,AssetCategories!$A:$E,5,0),"")</f>
        <v/>
      </c>
      <c r="EH1307" t="str">
        <f>IF(NOT(ISBLANK($B1307)),VLOOKUP($B1307,AssetCategories!$A:$E,4,0),"")</f>
        <v/>
      </c>
      <c r="EM1307" t="str">
        <f>IF(NOT(ISBLANK($B1307)),VLOOKUP($B1307,AssetCategories!$A:$E,2,0),"")</f>
        <v/>
      </c>
      <c r="EN1307" t="str">
        <f>IF(NOT(ISBLANK($B1307)),VLOOKUP($B1307,AssetCategories!$A:$E,3,0),"")</f>
        <v/>
      </c>
      <c r="EP1307" s="33" t="str">
        <f t="shared" si="41"/>
        <v/>
      </c>
    </row>
    <row r="1308" spans="16:146" x14ac:dyDescent="0.25">
      <c r="P1308" s="33" t="str" cm="1">
        <f t="array" ref="P1308">IFERROR(SUM(VALUE(_xlfn.TEXTSPLIT(O1308, ";"))), "")</f>
        <v/>
      </c>
      <c r="DO1308" t="str">
        <f t="shared" si="40"/>
        <v/>
      </c>
      <c r="EG1308" s="33" t="str">
        <f>IF(NOT(ISBLANK($B1308)),VLOOKUP($B1308,AssetCategories!$A:$E,5,0),"")</f>
        <v/>
      </c>
      <c r="EH1308" t="str">
        <f>IF(NOT(ISBLANK($B1308)),VLOOKUP($B1308,AssetCategories!$A:$E,4,0),"")</f>
        <v/>
      </c>
      <c r="EM1308" t="str">
        <f>IF(NOT(ISBLANK($B1308)),VLOOKUP($B1308,AssetCategories!$A:$E,2,0),"")</f>
        <v/>
      </c>
      <c r="EN1308" t="str">
        <f>IF(NOT(ISBLANK($B1308)),VLOOKUP($B1308,AssetCategories!$A:$E,3,0),"")</f>
        <v/>
      </c>
      <c r="EP1308" s="33" t="str">
        <f t="shared" si="41"/>
        <v/>
      </c>
    </row>
    <row r="1309" spans="16:146" x14ac:dyDescent="0.25">
      <c r="P1309" s="33" t="str" cm="1">
        <f t="array" ref="P1309">IFERROR(SUM(VALUE(_xlfn.TEXTSPLIT(O1309, ";"))), "")</f>
        <v/>
      </c>
      <c r="DO1309" t="str">
        <f t="shared" si="40"/>
        <v/>
      </c>
      <c r="EG1309" s="33" t="str">
        <f>IF(NOT(ISBLANK($B1309)),VLOOKUP($B1309,AssetCategories!$A:$E,5,0),"")</f>
        <v/>
      </c>
      <c r="EH1309" t="str">
        <f>IF(NOT(ISBLANK($B1309)),VLOOKUP($B1309,AssetCategories!$A:$E,4,0),"")</f>
        <v/>
      </c>
      <c r="EM1309" t="str">
        <f>IF(NOT(ISBLANK($B1309)),VLOOKUP($B1309,AssetCategories!$A:$E,2,0),"")</f>
        <v/>
      </c>
      <c r="EN1309" t="str">
        <f>IF(NOT(ISBLANK($B1309)),VLOOKUP($B1309,AssetCategories!$A:$E,3,0),"")</f>
        <v/>
      </c>
      <c r="EP1309" s="33" t="str">
        <f t="shared" si="41"/>
        <v/>
      </c>
    </row>
    <row r="1310" spans="16:146" x14ac:dyDescent="0.25">
      <c r="P1310" s="33" t="str" cm="1">
        <f t="array" ref="P1310">IFERROR(SUM(VALUE(_xlfn.TEXTSPLIT(O1310, ";"))), "")</f>
        <v/>
      </c>
      <c r="DO1310" t="str">
        <f t="shared" si="40"/>
        <v/>
      </c>
      <c r="EG1310" s="33" t="str">
        <f>IF(NOT(ISBLANK($B1310)),VLOOKUP($B1310,AssetCategories!$A:$E,5,0),"")</f>
        <v/>
      </c>
      <c r="EH1310" t="str">
        <f>IF(NOT(ISBLANK($B1310)),VLOOKUP($B1310,AssetCategories!$A:$E,4,0),"")</f>
        <v/>
      </c>
      <c r="EM1310" t="str">
        <f>IF(NOT(ISBLANK($B1310)),VLOOKUP($B1310,AssetCategories!$A:$E,2,0),"")</f>
        <v/>
      </c>
      <c r="EN1310" t="str">
        <f>IF(NOT(ISBLANK($B1310)),VLOOKUP($B1310,AssetCategories!$A:$E,3,0),"")</f>
        <v/>
      </c>
      <c r="EP1310" s="33" t="str">
        <f t="shared" si="41"/>
        <v/>
      </c>
    </row>
    <row r="1311" spans="16:146" x14ac:dyDescent="0.25">
      <c r="P1311" s="33" t="str" cm="1">
        <f t="array" ref="P1311">IFERROR(SUM(VALUE(_xlfn.TEXTSPLIT(O1311, ";"))), "")</f>
        <v/>
      </c>
      <c r="DO1311" t="str">
        <f t="shared" si="40"/>
        <v/>
      </c>
      <c r="EG1311" s="33" t="str">
        <f>IF(NOT(ISBLANK($B1311)),VLOOKUP($B1311,AssetCategories!$A:$E,5,0),"")</f>
        <v/>
      </c>
      <c r="EH1311" t="str">
        <f>IF(NOT(ISBLANK($B1311)),VLOOKUP($B1311,AssetCategories!$A:$E,4,0),"")</f>
        <v/>
      </c>
      <c r="EM1311" t="str">
        <f>IF(NOT(ISBLANK($B1311)),VLOOKUP($B1311,AssetCategories!$A:$E,2,0),"")</f>
        <v/>
      </c>
      <c r="EN1311" t="str">
        <f>IF(NOT(ISBLANK($B1311)),VLOOKUP($B1311,AssetCategories!$A:$E,3,0),"")</f>
        <v/>
      </c>
      <c r="EP1311" s="33" t="str">
        <f t="shared" si="41"/>
        <v/>
      </c>
    </row>
    <row r="1312" spans="16:146" x14ac:dyDescent="0.25">
      <c r="P1312" s="33" t="str" cm="1">
        <f t="array" ref="P1312">IFERROR(SUM(VALUE(_xlfn.TEXTSPLIT(O1312, ";"))), "")</f>
        <v/>
      </c>
      <c r="DO1312" t="str">
        <f t="shared" si="40"/>
        <v/>
      </c>
      <c r="EG1312" s="33" t="str">
        <f>IF(NOT(ISBLANK($B1312)),VLOOKUP($B1312,AssetCategories!$A:$E,5,0),"")</f>
        <v/>
      </c>
      <c r="EH1312" t="str">
        <f>IF(NOT(ISBLANK($B1312)),VLOOKUP($B1312,AssetCategories!$A:$E,4,0),"")</f>
        <v/>
      </c>
      <c r="EM1312" t="str">
        <f>IF(NOT(ISBLANK($B1312)),VLOOKUP($B1312,AssetCategories!$A:$E,2,0),"")</f>
        <v/>
      </c>
      <c r="EN1312" t="str">
        <f>IF(NOT(ISBLANK($B1312)),VLOOKUP($B1312,AssetCategories!$A:$E,3,0),"")</f>
        <v/>
      </c>
      <c r="EP1312" s="33" t="str">
        <f t="shared" si="41"/>
        <v/>
      </c>
    </row>
    <row r="1313" spans="16:146" x14ac:dyDescent="0.25">
      <c r="P1313" s="33" t="str" cm="1">
        <f t="array" ref="P1313">IFERROR(SUM(VALUE(_xlfn.TEXTSPLIT(O1313, ";"))), "")</f>
        <v/>
      </c>
      <c r="DO1313" t="str">
        <f t="shared" si="40"/>
        <v/>
      </c>
      <c r="EG1313" s="33" t="str">
        <f>IF(NOT(ISBLANK($B1313)),VLOOKUP($B1313,AssetCategories!$A:$E,5,0),"")</f>
        <v/>
      </c>
      <c r="EH1313" t="str">
        <f>IF(NOT(ISBLANK($B1313)),VLOOKUP($B1313,AssetCategories!$A:$E,4,0),"")</f>
        <v/>
      </c>
      <c r="EM1313" t="str">
        <f>IF(NOT(ISBLANK($B1313)),VLOOKUP($B1313,AssetCategories!$A:$E,2,0),"")</f>
        <v/>
      </c>
      <c r="EN1313" t="str">
        <f>IF(NOT(ISBLANK($B1313)),VLOOKUP($B1313,AssetCategories!$A:$E,3,0),"")</f>
        <v/>
      </c>
      <c r="EP1313" s="33" t="str">
        <f t="shared" si="41"/>
        <v/>
      </c>
    </row>
    <row r="1314" spans="16:146" x14ac:dyDescent="0.25">
      <c r="P1314" s="33" t="str" cm="1">
        <f t="array" ref="P1314">IFERROR(SUM(VALUE(_xlfn.TEXTSPLIT(O1314, ";"))), "")</f>
        <v/>
      </c>
      <c r="DO1314" t="str">
        <f t="shared" si="40"/>
        <v/>
      </c>
      <c r="EG1314" s="33" t="str">
        <f>IF(NOT(ISBLANK($B1314)),VLOOKUP($B1314,AssetCategories!$A:$E,5,0),"")</f>
        <v/>
      </c>
      <c r="EH1314" t="str">
        <f>IF(NOT(ISBLANK($B1314)),VLOOKUP($B1314,AssetCategories!$A:$E,4,0),"")</f>
        <v/>
      </c>
      <c r="EM1314" t="str">
        <f>IF(NOT(ISBLANK($B1314)),VLOOKUP($B1314,AssetCategories!$A:$E,2,0),"")</f>
        <v/>
      </c>
      <c r="EN1314" t="str">
        <f>IF(NOT(ISBLANK($B1314)),VLOOKUP($B1314,AssetCategories!$A:$E,3,0),"")</f>
        <v/>
      </c>
      <c r="EP1314" s="33" t="str">
        <f t="shared" si="41"/>
        <v/>
      </c>
    </row>
    <row r="1315" spans="16:146" x14ac:dyDescent="0.25">
      <c r="P1315" s="33" t="str" cm="1">
        <f t="array" ref="P1315">IFERROR(SUM(VALUE(_xlfn.TEXTSPLIT(O1315, ";"))), "")</f>
        <v/>
      </c>
      <c r="DO1315" t="str">
        <f t="shared" si="40"/>
        <v/>
      </c>
      <c r="EG1315" s="33" t="str">
        <f>IF(NOT(ISBLANK($B1315)),VLOOKUP($B1315,AssetCategories!$A:$E,5,0),"")</f>
        <v/>
      </c>
      <c r="EH1315" t="str">
        <f>IF(NOT(ISBLANK($B1315)),VLOOKUP($B1315,AssetCategories!$A:$E,4,0),"")</f>
        <v/>
      </c>
      <c r="EM1315" t="str">
        <f>IF(NOT(ISBLANK($B1315)),VLOOKUP($B1315,AssetCategories!$A:$E,2,0),"")</f>
        <v/>
      </c>
      <c r="EN1315" t="str">
        <f>IF(NOT(ISBLANK($B1315)),VLOOKUP($B1315,AssetCategories!$A:$E,3,0),"")</f>
        <v/>
      </c>
      <c r="EP1315" s="33" t="str">
        <f t="shared" si="41"/>
        <v/>
      </c>
    </row>
    <row r="1316" spans="16:146" x14ac:dyDescent="0.25">
      <c r="P1316" s="33" t="str" cm="1">
        <f t="array" ref="P1316">IFERROR(SUM(VALUE(_xlfn.TEXTSPLIT(O1316, ";"))), "")</f>
        <v/>
      </c>
      <c r="DO1316" t="str">
        <f t="shared" si="40"/>
        <v/>
      </c>
      <c r="EG1316" s="33" t="str">
        <f>IF(NOT(ISBLANK($B1316)),VLOOKUP($B1316,AssetCategories!$A:$E,5,0),"")</f>
        <v/>
      </c>
      <c r="EH1316" t="str">
        <f>IF(NOT(ISBLANK($B1316)),VLOOKUP($B1316,AssetCategories!$A:$E,4,0),"")</f>
        <v/>
      </c>
      <c r="EM1316" t="str">
        <f>IF(NOT(ISBLANK($B1316)),VLOOKUP($B1316,AssetCategories!$A:$E,2,0),"")</f>
        <v/>
      </c>
      <c r="EN1316" t="str">
        <f>IF(NOT(ISBLANK($B1316)),VLOOKUP($B1316,AssetCategories!$A:$E,3,0),"")</f>
        <v/>
      </c>
      <c r="EP1316" s="33" t="str">
        <f t="shared" si="41"/>
        <v/>
      </c>
    </row>
    <row r="1317" spans="16:146" x14ac:dyDescent="0.25">
      <c r="P1317" s="33" t="str" cm="1">
        <f t="array" ref="P1317">IFERROR(SUM(VALUE(_xlfn.TEXTSPLIT(O1317, ";"))), "")</f>
        <v/>
      </c>
      <c r="DO1317" t="str">
        <f t="shared" si="40"/>
        <v/>
      </c>
      <c r="EG1317" s="33" t="str">
        <f>IF(NOT(ISBLANK($B1317)),VLOOKUP($B1317,AssetCategories!$A:$E,5,0),"")</f>
        <v/>
      </c>
      <c r="EH1317" t="str">
        <f>IF(NOT(ISBLANK($B1317)),VLOOKUP($B1317,AssetCategories!$A:$E,4,0),"")</f>
        <v/>
      </c>
      <c r="EM1317" t="str">
        <f>IF(NOT(ISBLANK($B1317)),VLOOKUP($B1317,AssetCategories!$A:$E,2,0),"")</f>
        <v/>
      </c>
      <c r="EN1317" t="str">
        <f>IF(NOT(ISBLANK($B1317)),VLOOKUP($B1317,AssetCategories!$A:$E,3,0),"")</f>
        <v/>
      </c>
      <c r="EP1317" s="33" t="str">
        <f t="shared" si="41"/>
        <v/>
      </c>
    </row>
    <row r="1318" spans="16:146" x14ac:dyDescent="0.25">
      <c r="P1318" s="33" t="str" cm="1">
        <f t="array" ref="P1318">IFERROR(SUM(VALUE(_xlfn.TEXTSPLIT(O1318, ";"))), "")</f>
        <v/>
      </c>
      <c r="DO1318" t="str">
        <f t="shared" si="40"/>
        <v/>
      </c>
      <c r="EG1318" s="33" t="str">
        <f>IF(NOT(ISBLANK($B1318)),VLOOKUP($B1318,AssetCategories!$A:$E,5,0),"")</f>
        <v/>
      </c>
      <c r="EH1318" t="str">
        <f>IF(NOT(ISBLANK($B1318)),VLOOKUP($B1318,AssetCategories!$A:$E,4,0),"")</f>
        <v/>
      </c>
      <c r="EM1318" t="str">
        <f>IF(NOT(ISBLANK($B1318)),VLOOKUP($B1318,AssetCategories!$A:$E,2,0),"")</f>
        <v/>
      </c>
      <c r="EN1318" t="str">
        <f>IF(NOT(ISBLANK($B1318)),VLOOKUP($B1318,AssetCategories!$A:$E,3,0),"")</f>
        <v/>
      </c>
      <c r="EP1318" s="33" t="str">
        <f t="shared" si="41"/>
        <v/>
      </c>
    </row>
    <row r="1319" spans="16:146" x14ac:dyDescent="0.25">
      <c r="P1319" s="33" t="str" cm="1">
        <f t="array" ref="P1319">IFERROR(SUM(VALUE(_xlfn.TEXTSPLIT(O1319, ";"))), "")</f>
        <v/>
      </c>
      <c r="DO1319" t="str">
        <f t="shared" si="40"/>
        <v/>
      </c>
      <c r="EG1319" s="33" t="str">
        <f>IF(NOT(ISBLANK($B1319)),VLOOKUP($B1319,AssetCategories!$A:$E,5,0),"")</f>
        <v/>
      </c>
      <c r="EH1319" t="str">
        <f>IF(NOT(ISBLANK($B1319)),VLOOKUP($B1319,AssetCategories!$A:$E,4,0),"")</f>
        <v/>
      </c>
      <c r="EM1319" t="str">
        <f>IF(NOT(ISBLANK($B1319)),VLOOKUP($B1319,AssetCategories!$A:$E,2,0),"")</f>
        <v/>
      </c>
      <c r="EN1319" t="str">
        <f>IF(NOT(ISBLANK($B1319)),VLOOKUP($B1319,AssetCategories!$A:$E,3,0),"")</f>
        <v/>
      </c>
      <c r="EP1319" s="33" t="str">
        <f t="shared" si="41"/>
        <v/>
      </c>
    </row>
    <row r="1320" spans="16:146" x14ac:dyDescent="0.25">
      <c r="P1320" s="33" t="str" cm="1">
        <f t="array" ref="P1320">IFERROR(SUM(VALUE(_xlfn.TEXTSPLIT(O1320, ";"))), "")</f>
        <v/>
      </c>
      <c r="DO1320" t="str">
        <f t="shared" si="40"/>
        <v/>
      </c>
      <c r="EG1320" s="33" t="str">
        <f>IF(NOT(ISBLANK($B1320)),VLOOKUP($B1320,AssetCategories!$A:$E,5,0),"")</f>
        <v/>
      </c>
      <c r="EH1320" t="str">
        <f>IF(NOT(ISBLANK($B1320)),VLOOKUP($B1320,AssetCategories!$A:$E,4,0),"")</f>
        <v/>
      </c>
      <c r="EM1320" t="str">
        <f>IF(NOT(ISBLANK($B1320)),VLOOKUP($B1320,AssetCategories!$A:$E,2,0),"")</f>
        <v/>
      </c>
      <c r="EN1320" t="str">
        <f>IF(NOT(ISBLANK($B1320)),VLOOKUP($B1320,AssetCategories!$A:$E,3,0),"")</f>
        <v/>
      </c>
      <c r="EP1320" s="33" t="str">
        <f t="shared" si="41"/>
        <v/>
      </c>
    </row>
    <row r="1321" spans="16:146" x14ac:dyDescent="0.25">
      <c r="P1321" s="33" t="str" cm="1">
        <f t="array" ref="P1321">IFERROR(SUM(VALUE(_xlfn.TEXTSPLIT(O1321, ";"))), "")</f>
        <v/>
      </c>
      <c r="DO1321" t="str">
        <f t="shared" si="40"/>
        <v/>
      </c>
      <c r="EG1321" s="33" t="str">
        <f>IF(NOT(ISBLANK($B1321)),VLOOKUP($B1321,AssetCategories!$A:$E,5,0),"")</f>
        <v/>
      </c>
      <c r="EH1321" t="str">
        <f>IF(NOT(ISBLANK($B1321)),VLOOKUP($B1321,AssetCategories!$A:$E,4,0),"")</f>
        <v/>
      </c>
      <c r="EM1321" t="str">
        <f>IF(NOT(ISBLANK($B1321)),VLOOKUP($B1321,AssetCategories!$A:$E,2,0),"")</f>
        <v/>
      </c>
      <c r="EN1321" t="str">
        <f>IF(NOT(ISBLANK($B1321)),VLOOKUP($B1321,AssetCategories!$A:$E,3,0),"")</f>
        <v/>
      </c>
      <c r="EP1321" s="33" t="str">
        <f t="shared" si="41"/>
        <v/>
      </c>
    </row>
    <row r="1322" spans="16:146" x14ac:dyDescent="0.25">
      <c r="P1322" s="33" t="str" cm="1">
        <f t="array" ref="P1322">IFERROR(SUM(VALUE(_xlfn.TEXTSPLIT(O1322, ";"))), "")</f>
        <v/>
      </c>
      <c r="DO1322" t="str">
        <f t="shared" si="40"/>
        <v/>
      </c>
      <c r="EG1322" s="33" t="str">
        <f>IF(NOT(ISBLANK($B1322)),VLOOKUP($B1322,AssetCategories!$A:$E,5,0),"")</f>
        <v/>
      </c>
      <c r="EH1322" t="str">
        <f>IF(NOT(ISBLANK($B1322)),VLOOKUP($B1322,AssetCategories!$A:$E,4,0),"")</f>
        <v/>
      </c>
      <c r="EM1322" t="str">
        <f>IF(NOT(ISBLANK($B1322)),VLOOKUP($B1322,AssetCategories!$A:$E,2,0),"")</f>
        <v/>
      </c>
      <c r="EN1322" t="str">
        <f>IF(NOT(ISBLANK($B1322)),VLOOKUP($B1322,AssetCategories!$A:$E,3,0),"")</f>
        <v/>
      </c>
      <c r="EP1322" s="33" t="str">
        <f t="shared" si="41"/>
        <v/>
      </c>
    </row>
    <row r="1323" spans="16:146" x14ac:dyDescent="0.25">
      <c r="P1323" s="33" t="str" cm="1">
        <f t="array" ref="P1323">IFERROR(SUM(VALUE(_xlfn.TEXTSPLIT(O1323, ";"))), "")</f>
        <v/>
      </c>
      <c r="DO1323" t="str">
        <f t="shared" si="40"/>
        <v/>
      </c>
      <c r="EG1323" s="33" t="str">
        <f>IF(NOT(ISBLANK($B1323)),VLOOKUP($B1323,AssetCategories!$A:$E,5,0),"")</f>
        <v/>
      </c>
      <c r="EH1323" t="str">
        <f>IF(NOT(ISBLANK($B1323)),VLOOKUP($B1323,AssetCategories!$A:$E,4,0),"")</f>
        <v/>
      </c>
      <c r="EM1323" t="str">
        <f>IF(NOT(ISBLANK($B1323)),VLOOKUP($B1323,AssetCategories!$A:$E,2,0),"")</f>
        <v/>
      </c>
      <c r="EN1323" t="str">
        <f>IF(NOT(ISBLANK($B1323)),VLOOKUP($B1323,AssetCategories!$A:$E,3,0),"")</f>
        <v/>
      </c>
      <c r="EP1323" s="33" t="str">
        <f t="shared" si="41"/>
        <v/>
      </c>
    </row>
    <row r="1324" spans="16:146" x14ac:dyDescent="0.25">
      <c r="P1324" s="33" t="str" cm="1">
        <f t="array" ref="P1324">IFERROR(SUM(VALUE(_xlfn.TEXTSPLIT(O1324, ";"))), "")</f>
        <v/>
      </c>
      <c r="DO1324" t="str">
        <f t="shared" si="40"/>
        <v/>
      </c>
      <c r="EG1324" s="33" t="str">
        <f>IF(NOT(ISBLANK($B1324)),VLOOKUP($B1324,AssetCategories!$A:$E,5,0),"")</f>
        <v/>
      </c>
      <c r="EH1324" t="str">
        <f>IF(NOT(ISBLANK($B1324)),VLOOKUP($B1324,AssetCategories!$A:$E,4,0),"")</f>
        <v/>
      </c>
      <c r="EM1324" t="str">
        <f>IF(NOT(ISBLANK($B1324)),VLOOKUP($B1324,AssetCategories!$A:$E,2,0),"")</f>
        <v/>
      </c>
      <c r="EN1324" t="str">
        <f>IF(NOT(ISBLANK($B1324)),VLOOKUP($B1324,AssetCategories!$A:$E,3,0),"")</f>
        <v/>
      </c>
      <c r="EP1324" s="33" t="str">
        <f t="shared" si="41"/>
        <v/>
      </c>
    </row>
    <row r="1325" spans="16:146" x14ac:dyDescent="0.25">
      <c r="P1325" s="33" t="str" cm="1">
        <f t="array" ref="P1325">IFERROR(SUM(VALUE(_xlfn.TEXTSPLIT(O1325, ";"))), "")</f>
        <v/>
      </c>
      <c r="DO1325" t="str">
        <f t="shared" si="40"/>
        <v/>
      </c>
      <c r="EG1325" s="33" t="str">
        <f>IF(NOT(ISBLANK($B1325)),VLOOKUP($B1325,AssetCategories!$A:$E,5,0),"")</f>
        <v/>
      </c>
      <c r="EH1325" t="str">
        <f>IF(NOT(ISBLANK($B1325)),VLOOKUP($B1325,AssetCategories!$A:$E,4,0),"")</f>
        <v/>
      </c>
      <c r="EM1325" t="str">
        <f>IF(NOT(ISBLANK($B1325)),VLOOKUP($B1325,AssetCategories!$A:$E,2,0),"")</f>
        <v/>
      </c>
      <c r="EN1325" t="str">
        <f>IF(NOT(ISBLANK($B1325)),VLOOKUP($B1325,AssetCategories!$A:$E,3,0),"")</f>
        <v/>
      </c>
      <c r="EP1325" s="33" t="str">
        <f t="shared" si="41"/>
        <v/>
      </c>
    </row>
    <row r="1326" spans="16:146" x14ac:dyDescent="0.25">
      <c r="P1326" s="33" t="str" cm="1">
        <f t="array" ref="P1326">IFERROR(SUM(VALUE(_xlfn.TEXTSPLIT(O1326, ";"))), "")</f>
        <v/>
      </c>
      <c r="DO1326" t="str">
        <f t="shared" si="40"/>
        <v/>
      </c>
      <c r="EG1326" s="33" t="str">
        <f>IF(NOT(ISBLANK($B1326)),VLOOKUP($B1326,AssetCategories!$A:$E,5,0),"")</f>
        <v/>
      </c>
      <c r="EH1326" t="str">
        <f>IF(NOT(ISBLANK($B1326)),VLOOKUP($B1326,AssetCategories!$A:$E,4,0),"")</f>
        <v/>
      </c>
      <c r="EM1326" t="str">
        <f>IF(NOT(ISBLANK($B1326)),VLOOKUP($B1326,AssetCategories!$A:$E,2,0),"")</f>
        <v/>
      </c>
      <c r="EN1326" t="str">
        <f>IF(NOT(ISBLANK($B1326)),VLOOKUP($B1326,AssetCategories!$A:$E,3,0),"")</f>
        <v/>
      </c>
      <c r="EP1326" s="33" t="str">
        <f t="shared" si="41"/>
        <v/>
      </c>
    </row>
    <row r="1327" spans="16:146" x14ac:dyDescent="0.25">
      <c r="P1327" s="33" t="str" cm="1">
        <f t="array" ref="P1327">IFERROR(SUM(VALUE(_xlfn.TEXTSPLIT(O1327, ";"))), "")</f>
        <v/>
      </c>
      <c r="DO1327" t="str">
        <f t="shared" si="40"/>
        <v/>
      </c>
      <c r="EG1327" s="33" t="str">
        <f>IF(NOT(ISBLANK($B1327)),VLOOKUP($B1327,AssetCategories!$A:$E,5,0),"")</f>
        <v/>
      </c>
      <c r="EH1327" t="str">
        <f>IF(NOT(ISBLANK($B1327)),VLOOKUP($B1327,AssetCategories!$A:$E,4,0),"")</f>
        <v/>
      </c>
      <c r="EM1327" t="str">
        <f>IF(NOT(ISBLANK($B1327)),VLOOKUP($B1327,AssetCategories!$A:$E,2,0),"")</f>
        <v/>
      </c>
      <c r="EN1327" t="str">
        <f>IF(NOT(ISBLANK($B1327)),VLOOKUP($B1327,AssetCategories!$A:$E,3,0),"")</f>
        <v/>
      </c>
      <c r="EP1327" s="33" t="str">
        <f t="shared" si="41"/>
        <v/>
      </c>
    </row>
    <row r="1328" spans="16:146" x14ac:dyDescent="0.25">
      <c r="P1328" s="33" t="str" cm="1">
        <f t="array" ref="P1328">IFERROR(SUM(VALUE(_xlfn.TEXTSPLIT(O1328, ";"))), "")</f>
        <v/>
      </c>
      <c r="DO1328" t="str">
        <f t="shared" si="40"/>
        <v/>
      </c>
      <c r="EG1328" s="33" t="str">
        <f>IF(NOT(ISBLANK($B1328)),VLOOKUP($B1328,AssetCategories!$A:$E,5,0),"")</f>
        <v/>
      </c>
      <c r="EH1328" t="str">
        <f>IF(NOT(ISBLANK($B1328)),VLOOKUP($B1328,AssetCategories!$A:$E,4,0),"")</f>
        <v/>
      </c>
      <c r="EM1328" t="str">
        <f>IF(NOT(ISBLANK($B1328)),VLOOKUP($B1328,AssetCategories!$A:$E,2,0),"")</f>
        <v/>
      </c>
      <c r="EN1328" t="str">
        <f>IF(NOT(ISBLANK($B1328)),VLOOKUP($B1328,AssetCategories!$A:$E,3,0),"")</f>
        <v/>
      </c>
      <c r="EP1328" s="33" t="str">
        <f t="shared" si="41"/>
        <v/>
      </c>
    </row>
    <row r="1329" spans="16:146" x14ac:dyDescent="0.25">
      <c r="P1329" s="33" t="str" cm="1">
        <f t="array" ref="P1329">IFERROR(SUM(VALUE(_xlfn.TEXTSPLIT(O1329, ";"))), "")</f>
        <v/>
      </c>
      <c r="DO1329" t="str">
        <f t="shared" si="40"/>
        <v/>
      </c>
      <c r="EG1329" s="33" t="str">
        <f>IF(NOT(ISBLANK($B1329)),VLOOKUP($B1329,AssetCategories!$A:$E,5,0),"")</f>
        <v/>
      </c>
      <c r="EH1329" t="str">
        <f>IF(NOT(ISBLANK($B1329)),VLOOKUP($B1329,AssetCategories!$A:$E,4,0),"")</f>
        <v/>
      </c>
      <c r="EM1329" t="str">
        <f>IF(NOT(ISBLANK($B1329)),VLOOKUP($B1329,AssetCategories!$A:$E,2,0),"")</f>
        <v/>
      </c>
      <c r="EN1329" t="str">
        <f>IF(NOT(ISBLANK($B1329)),VLOOKUP($B1329,AssetCategories!$A:$E,3,0),"")</f>
        <v/>
      </c>
      <c r="EP1329" s="33" t="str">
        <f t="shared" si="41"/>
        <v/>
      </c>
    </row>
    <row r="1330" spans="16:146" x14ac:dyDescent="0.25">
      <c r="P1330" s="33" t="str" cm="1">
        <f t="array" ref="P1330">IFERROR(SUM(VALUE(_xlfn.TEXTSPLIT(O1330, ";"))), "")</f>
        <v/>
      </c>
      <c r="DO1330" t="str">
        <f t="shared" si="40"/>
        <v/>
      </c>
      <c r="EG1330" s="33" t="str">
        <f>IF(NOT(ISBLANK($B1330)),VLOOKUP($B1330,AssetCategories!$A:$E,5,0),"")</f>
        <v/>
      </c>
      <c r="EH1330" t="str">
        <f>IF(NOT(ISBLANK($B1330)),VLOOKUP($B1330,AssetCategories!$A:$E,4,0),"")</f>
        <v/>
      </c>
      <c r="EM1330" t="str">
        <f>IF(NOT(ISBLANK($B1330)),VLOOKUP($B1330,AssetCategories!$A:$E,2,0),"")</f>
        <v/>
      </c>
      <c r="EN1330" t="str">
        <f>IF(NOT(ISBLANK($B1330)),VLOOKUP($B1330,AssetCategories!$A:$E,3,0),"")</f>
        <v/>
      </c>
      <c r="EP1330" s="33" t="str">
        <f t="shared" si="41"/>
        <v/>
      </c>
    </row>
    <row r="1331" spans="16:146" x14ac:dyDescent="0.25">
      <c r="P1331" s="33" t="str" cm="1">
        <f t="array" ref="P1331">IFERROR(SUM(VALUE(_xlfn.TEXTSPLIT(O1331, ";"))), "")</f>
        <v/>
      </c>
      <c r="DO1331" t="str">
        <f t="shared" si="40"/>
        <v/>
      </c>
      <c r="EG1331" s="33" t="str">
        <f>IF(NOT(ISBLANK($B1331)),VLOOKUP($B1331,AssetCategories!$A:$E,5,0),"")</f>
        <v/>
      </c>
      <c r="EH1331" t="str">
        <f>IF(NOT(ISBLANK($B1331)),VLOOKUP($B1331,AssetCategories!$A:$E,4,0),"")</f>
        <v/>
      </c>
      <c r="EM1331" t="str">
        <f>IF(NOT(ISBLANK($B1331)),VLOOKUP($B1331,AssetCategories!$A:$E,2,0),"")</f>
        <v/>
      </c>
      <c r="EN1331" t="str">
        <f>IF(NOT(ISBLANK($B1331)),VLOOKUP($B1331,AssetCategories!$A:$E,3,0),"")</f>
        <v/>
      </c>
      <c r="EP1331" s="33" t="str">
        <f t="shared" si="41"/>
        <v/>
      </c>
    </row>
    <row r="1332" spans="16:146" x14ac:dyDescent="0.25">
      <c r="P1332" s="33" t="str" cm="1">
        <f t="array" ref="P1332">IFERROR(SUM(VALUE(_xlfn.TEXTSPLIT(O1332, ";"))), "")</f>
        <v/>
      </c>
      <c r="DO1332" t="str">
        <f t="shared" si="40"/>
        <v/>
      </c>
      <c r="EG1332" s="33" t="str">
        <f>IF(NOT(ISBLANK($B1332)),VLOOKUP($B1332,AssetCategories!$A:$E,5,0),"")</f>
        <v/>
      </c>
      <c r="EH1332" t="str">
        <f>IF(NOT(ISBLANK($B1332)),VLOOKUP($B1332,AssetCategories!$A:$E,4,0),"")</f>
        <v/>
      </c>
      <c r="EM1332" t="str">
        <f>IF(NOT(ISBLANK($B1332)),VLOOKUP($B1332,AssetCategories!$A:$E,2,0),"")</f>
        <v/>
      </c>
      <c r="EN1332" t="str">
        <f>IF(NOT(ISBLANK($B1332)),VLOOKUP($B1332,AssetCategories!$A:$E,3,0),"")</f>
        <v/>
      </c>
      <c r="EP1332" s="33" t="str">
        <f t="shared" si="41"/>
        <v/>
      </c>
    </row>
    <row r="1333" spans="16:146" x14ac:dyDescent="0.25">
      <c r="P1333" s="33" t="str" cm="1">
        <f t="array" ref="P1333">IFERROR(SUM(VALUE(_xlfn.TEXTSPLIT(O1333, ";"))), "")</f>
        <v/>
      </c>
      <c r="DO1333" t="str">
        <f t="shared" si="40"/>
        <v/>
      </c>
      <c r="EG1333" s="33" t="str">
        <f>IF(NOT(ISBLANK($B1333)),VLOOKUP($B1333,AssetCategories!$A:$E,5,0),"")</f>
        <v/>
      </c>
      <c r="EH1333" t="str">
        <f>IF(NOT(ISBLANK($B1333)),VLOOKUP($B1333,AssetCategories!$A:$E,4,0),"")</f>
        <v/>
      </c>
      <c r="EM1333" t="str">
        <f>IF(NOT(ISBLANK($B1333)),VLOOKUP($B1333,AssetCategories!$A:$E,2,0),"")</f>
        <v/>
      </c>
      <c r="EN1333" t="str">
        <f>IF(NOT(ISBLANK($B1333)),VLOOKUP($B1333,AssetCategories!$A:$E,3,0),"")</f>
        <v/>
      </c>
      <c r="EP1333" s="33" t="str">
        <f t="shared" si="41"/>
        <v/>
      </c>
    </row>
    <row r="1334" spans="16:146" x14ac:dyDescent="0.25">
      <c r="P1334" s="33" t="str" cm="1">
        <f t="array" ref="P1334">IFERROR(SUM(VALUE(_xlfn.TEXTSPLIT(O1334, ";"))), "")</f>
        <v/>
      </c>
      <c r="DO1334" t="str">
        <f t="shared" si="40"/>
        <v/>
      </c>
      <c r="EG1334" s="33" t="str">
        <f>IF(NOT(ISBLANK($B1334)),VLOOKUP($B1334,AssetCategories!$A:$E,5,0),"")</f>
        <v/>
      </c>
      <c r="EH1334" t="str">
        <f>IF(NOT(ISBLANK($B1334)),VLOOKUP($B1334,AssetCategories!$A:$E,4,0),"")</f>
        <v/>
      </c>
      <c r="EM1334" t="str">
        <f>IF(NOT(ISBLANK($B1334)),VLOOKUP($B1334,AssetCategories!$A:$E,2,0),"")</f>
        <v/>
      </c>
      <c r="EN1334" t="str">
        <f>IF(NOT(ISBLANK($B1334)),VLOOKUP($B1334,AssetCategories!$A:$E,3,0),"")</f>
        <v/>
      </c>
      <c r="EP1334" s="33" t="str">
        <f t="shared" si="41"/>
        <v/>
      </c>
    </row>
    <row r="1335" spans="16:146" x14ac:dyDescent="0.25">
      <c r="P1335" s="33" t="str" cm="1">
        <f t="array" ref="P1335">IFERROR(SUM(VALUE(_xlfn.TEXTSPLIT(O1335, ";"))), "")</f>
        <v/>
      </c>
      <c r="DO1335" t="str">
        <f t="shared" si="40"/>
        <v/>
      </c>
      <c r="EG1335" s="33" t="str">
        <f>IF(NOT(ISBLANK($B1335)),VLOOKUP($B1335,AssetCategories!$A:$E,5,0),"")</f>
        <v/>
      </c>
      <c r="EH1335" t="str">
        <f>IF(NOT(ISBLANK($B1335)),VLOOKUP($B1335,AssetCategories!$A:$E,4,0),"")</f>
        <v/>
      </c>
      <c r="EM1335" t="str">
        <f>IF(NOT(ISBLANK($B1335)),VLOOKUP($B1335,AssetCategories!$A:$E,2,0),"")</f>
        <v/>
      </c>
      <c r="EN1335" t="str">
        <f>IF(NOT(ISBLANK($B1335)),VLOOKUP($B1335,AssetCategories!$A:$E,3,0),"")</f>
        <v/>
      </c>
      <c r="EP1335" s="33" t="str">
        <f t="shared" si="41"/>
        <v/>
      </c>
    </row>
    <row r="1336" spans="16:146" x14ac:dyDescent="0.25">
      <c r="P1336" s="33" t="str" cm="1">
        <f t="array" ref="P1336">IFERROR(SUM(VALUE(_xlfn.TEXTSPLIT(O1336, ";"))), "")</f>
        <v/>
      </c>
      <c r="DO1336" t="str">
        <f t="shared" si="40"/>
        <v/>
      </c>
      <c r="EG1336" s="33" t="str">
        <f>IF(NOT(ISBLANK($B1336)),VLOOKUP($B1336,AssetCategories!$A:$E,5,0),"")</f>
        <v/>
      </c>
      <c r="EH1336" t="str">
        <f>IF(NOT(ISBLANK($B1336)),VLOOKUP($B1336,AssetCategories!$A:$E,4,0),"")</f>
        <v/>
      </c>
      <c r="EM1336" t="str">
        <f>IF(NOT(ISBLANK($B1336)),VLOOKUP($B1336,AssetCategories!$A:$E,2,0),"")</f>
        <v/>
      </c>
      <c r="EN1336" t="str">
        <f>IF(NOT(ISBLANK($B1336)),VLOOKUP($B1336,AssetCategories!$A:$E,3,0),"")</f>
        <v/>
      </c>
      <c r="EP1336" s="33" t="str">
        <f t="shared" si="41"/>
        <v/>
      </c>
    </row>
    <row r="1337" spans="16:146" x14ac:dyDescent="0.25">
      <c r="P1337" s="33" t="str" cm="1">
        <f t="array" ref="P1337">IFERROR(SUM(VALUE(_xlfn.TEXTSPLIT(O1337, ";"))), "")</f>
        <v/>
      </c>
      <c r="DO1337" t="str">
        <f t="shared" si="40"/>
        <v/>
      </c>
      <c r="EG1337" s="33" t="str">
        <f>IF(NOT(ISBLANK($B1337)),VLOOKUP($B1337,AssetCategories!$A:$E,5,0),"")</f>
        <v/>
      </c>
      <c r="EH1337" t="str">
        <f>IF(NOT(ISBLANK($B1337)),VLOOKUP($B1337,AssetCategories!$A:$E,4,0),"")</f>
        <v/>
      </c>
      <c r="EM1337" t="str">
        <f>IF(NOT(ISBLANK($B1337)),VLOOKUP($B1337,AssetCategories!$A:$E,2,0),"")</f>
        <v/>
      </c>
      <c r="EN1337" t="str">
        <f>IF(NOT(ISBLANK($B1337)),VLOOKUP($B1337,AssetCategories!$A:$E,3,0),"")</f>
        <v/>
      </c>
      <c r="EP1337" s="33" t="str">
        <f t="shared" si="41"/>
        <v/>
      </c>
    </row>
    <row r="1338" spans="16:146" x14ac:dyDescent="0.25">
      <c r="P1338" s="33" t="str" cm="1">
        <f t="array" ref="P1338">IFERROR(SUM(VALUE(_xlfn.TEXTSPLIT(O1338, ";"))), "")</f>
        <v/>
      </c>
      <c r="DO1338" t="str">
        <f t="shared" si="40"/>
        <v/>
      </c>
      <c r="EG1338" s="33" t="str">
        <f>IF(NOT(ISBLANK($B1338)),VLOOKUP($B1338,AssetCategories!$A:$E,5,0),"")</f>
        <v/>
      </c>
      <c r="EH1338" t="str">
        <f>IF(NOT(ISBLANK($B1338)),VLOOKUP($B1338,AssetCategories!$A:$E,4,0),"")</f>
        <v/>
      </c>
      <c r="EM1338" t="str">
        <f>IF(NOT(ISBLANK($B1338)),VLOOKUP($B1338,AssetCategories!$A:$E,2,0),"")</f>
        <v/>
      </c>
      <c r="EN1338" t="str">
        <f>IF(NOT(ISBLANK($B1338)),VLOOKUP($B1338,AssetCategories!$A:$E,3,0),"")</f>
        <v/>
      </c>
      <c r="EP1338" s="33" t="str">
        <f t="shared" si="41"/>
        <v/>
      </c>
    </row>
    <row r="1339" spans="16:146" x14ac:dyDescent="0.25">
      <c r="P1339" s="33" t="str" cm="1">
        <f t="array" ref="P1339">IFERROR(SUM(VALUE(_xlfn.TEXTSPLIT(O1339, ";"))), "")</f>
        <v/>
      </c>
      <c r="DO1339" t="str">
        <f t="shared" si="40"/>
        <v/>
      </c>
      <c r="EG1339" s="33" t="str">
        <f>IF(NOT(ISBLANK($B1339)),VLOOKUP($B1339,AssetCategories!$A:$E,5,0),"")</f>
        <v/>
      </c>
      <c r="EH1339" t="str">
        <f>IF(NOT(ISBLANK($B1339)),VLOOKUP($B1339,AssetCategories!$A:$E,4,0),"")</f>
        <v/>
      </c>
      <c r="EM1339" t="str">
        <f>IF(NOT(ISBLANK($B1339)),VLOOKUP($B1339,AssetCategories!$A:$E,2,0),"")</f>
        <v/>
      </c>
      <c r="EN1339" t="str">
        <f>IF(NOT(ISBLANK($B1339)),VLOOKUP($B1339,AssetCategories!$A:$E,3,0),"")</f>
        <v/>
      </c>
      <c r="EP1339" s="33" t="str">
        <f t="shared" si="41"/>
        <v/>
      </c>
    </row>
    <row r="1340" spans="16:146" x14ac:dyDescent="0.25">
      <c r="P1340" s="33" t="str" cm="1">
        <f t="array" ref="P1340">IFERROR(SUM(VALUE(_xlfn.TEXTSPLIT(O1340, ";"))), "")</f>
        <v/>
      </c>
      <c r="DO1340" t="str">
        <f t="shared" si="40"/>
        <v/>
      </c>
      <c r="EG1340" s="33" t="str">
        <f>IF(NOT(ISBLANK($B1340)),VLOOKUP($B1340,AssetCategories!$A:$E,5,0),"")</f>
        <v/>
      </c>
      <c r="EH1340" t="str">
        <f>IF(NOT(ISBLANK($B1340)),VLOOKUP($B1340,AssetCategories!$A:$E,4,0),"")</f>
        <v/>
      </c>
      <c r="EM1340" t="str">
        <f>IF(NOT(ISBLANK($B1340)),VLOOKUP($B1340,AssetCategories!$A:$E,2,0),"")</f>
        <v/>
      </c>
      <c r="EN1340" t="str">
        <f>IF(NOT(ISBLANK($B1340)),VLOOKUP($B1340,AssetCategories!$A:$E,3,0),"")</f>
        <v/>
      </c>
      <c r="EP1340" s="33" t="str">
        <f t="shared" si="41"/>
        <v/>
      </c>
    </row>
    <row r="1341" spans="16:146" x14ac:dyDescent="0.25">
      <c r="P1341" s="33" t="str" cm="1">
        <f t="array" ref="P1341">IFERROR(SUM(VALUE(_xlfn.TEXTSPLIT(O1341, ";"))), "")</f>
        <v/>
      </c>
      <c r="DO1341" t="str">
        <f t="shared" si="40"/>
        <v/>
      </c>
      <c r="EG1341" s="33" t="str">
        <f>IF(NOT(ISBLANK($B1341)),VLOOKUP($B1341,AssetCategories!$A:$E,5,0),"")</f>
        <v/>
      </c>
      <c r="EH1341" t="str">
        <f>IF(NOT(ISBLANK($B1341)),VLOOKUP($B1341,AssetCategories!$A:$E,4,0),"")</f>
        <v/>
      </c>
      <c r="EM1341" t="str">
        <f>IF(NOT(ISBLANK($B1341)),VLOOKUP($B1341,AssetCategories!$A:$E,2,0),"")</f>
        <v/>
      </c>
      <c r="EN1341" t="str">
        <f>IF(NOT(ISBLANK($B1341)),VLOOKUP($B1341,AssetCategories!$A:$E,3,0),"")</f>
        <v/>
      </c>
      <c r="EP1341" s="33" t="str">
        <f t="shared" si="41"/>
        <v/>
      </c>
    </row>
    <row r="1342" spans="16:146" x14ac:dyDescent="0.25">
      <c r="P1342" s="33" t="str" cm="1">
        <f t="array" ref="P1342">IFERROR(SUM(VALUE(_xlfn.TEXTSPLIT(O1342, ";"))), "")</f>
        <v/>
      </c>
      <c r="DO1342" t="str">
        <f t="shared" si="40"/>
        <v/>
      </c>
      <c r="EG1342" s="33" t="str">
        <f>IF(NOT(ISBLANK($B1342)),VLOOKUP($B1342,AssetCategories!$A:$E,5,0),"")</f>
        <v/>
      </c>
      <c r="EH1342" t="str">
        <f>IF(NOT(ISBLANK($B1342)),VLOOKUP($B1342,AssetCategories!$A:$E,4,0),"")</f>
        <v/>
      </c>
      <c r="EM1342" t="str">
        <f>IF(NOT(ISBLANK($B1342)),VLOOKUP($B1342,AssetCategories!$A:$E,2,0),"")</f>
        <v/>
      </c>
      <c r="EN1342" t="str">
        <f>IF(NOT(ISBLANK($B1342)),VLOOKUP($B1342,AssetCategories!$A:$E,3,0),"")</f>
        <v/>
      </c>
      <c r="EP1342" s="33" t="str">
        <f t="shared" si="41"/>
        <v/>
      </c>
    </row>
    <row r="1343" spans="16:146" x14ac:dyDescent="0.25">
      <c r="P1343" s="33" t="str" cm="1">
        <f t="array" ref="P1343">IFERROR(SUM(VALUE(_xlfn.TEXTSPLIT(O1343, ";"))), "")</f>
        <v/>
      </c>
      <c r="DO1343" t="str">
        <f t="shared" si="40"/>
        <v/>
      </c>
      <c r="EG1343" s="33" t="str">
        <f>IF(NOT(ISBLANK($B1343)),VLOOKUP($B1343,AssetCategories!$A:$E,5,0),"")</f>
        <v/>
      </c>
      <c r="EH1343" t="str">
        <f>IF(NOT(ISBLANK($B1343)),VLOOKUP($B1343,AssetCategories!$A:$E,4,0),"")</f>
        <v/>
      </c>
      <c r="EM1343" t="str">
        <f>IF(NOT(ISBLANK($B1343)),VLOOKUP($B1343,AssetCategories!$A:$E,2,0),"")</f>
        <v/>
      </c>
      <c r="EN1343" t="str">
        <f>IF(NOT(ISBLANK($B1343)),VLOOKUP($B1343,AssetCategories!$A:$E,3,0),"")</f>
        <v/>
      </c>
      <c r="EP1343" s="33" t="str">
        <f t="shared" si="41"/>
        <v/>
      </c>
    </row>
    <row r="1344" spans="16:146" x14ac:dyDescent="0.25">
      <c r="P1344" s="33" t="str" cm="1">
        <f t="array" ref="P1344">IFERROR(SUM(VALUE(_xlfn.TEXTSPLIT(O1344, ";"))), "")</f>
        <v/>
      </c>
      <c r="DO1344" t="str">
        <f t="shared" si="40"/>
        <v/>
      </c>
      <c r="EG1344" s="33" t="str">
        <f>IF(NOT(ISBLANK($B1344)),VLOOKUP($B1344,AssetCategories!$A:$E,5,0),"")</f>
        <v/>
      </c>
      <c r="EH1344" t="str">
        <f>IF(NOT(ISBLANK($B1344)),VLOOKUP($B1344,AssetCategories!$A:$E,4,0),"")</f>
        <v/>
      </c>
      <c r="EM1344" t="str">
        <f>IF(NOT(ISBLANK($B1344)),VLOOKUP($B1344,AssetCategories!$A:$E,2,0),"")</f>
        <v/>
      </c>
      <c r="EN1344" t="str">
        <f>IF(NOT(ISBLANK($B1344)),VLOOKUP($B1344,AssetCategories!$A:$E,3,0),"")</f>
        <v/>
      </c>
      <c r="EP1344" s="33" t="str">
        <f t="shared" si="41"/>
        <v/>
      </c>
    </row>
    <row r="1345" spans="16:146" x14ac:dyDescent="0.25">
      <c r="P1345" s="33" t="str" cm="1">
        <f t="array" ref="P1345">IFERROR(SUM(VALUE(_xlfn.TEXTSPLIT(O1345, ";"))), "")</f>
        <v/>
      </c>
      <c r="DO1345" t="str">
        <f t="shared" si="40"/>
        <v/>
      </c>
      <c r="EG1345" s="33" t="str">
        <f>IF(NOT(ISBLANK($B1345)),VLOOKUP($B1345,AssetCategories!$A:$E,5,0),"")</f>
        <v/>
      </c>
      <c r="EH1345" t="str">
        <f>IF(NOT(ISBLANK($B1345)),VLOOKUP($B1345,AssetCategories!$A:$E,4,0),"")</f>
        <v/>
      </c>
      <c r="EM1345" t="str">
        <f>IF(NOT(ISBLANK($B1345)),VLOOKUP($B1345,AssetCategories!$A:$E,2,0),"")</f>
        <v/>
      </c>
      <c r="EN1345" t="str">
        <f>IF(NOT(ISBLANK($B1345)),VLOOKUP($B1345,AssetCategories!$A:$E,3,0),"")</f>
        <v/>
      </c>
      <c r="EP1345" s="33" t="str">
        <f t="shared" si="41"/>
        <v/>
      </c>
    </row>
    <row r="1346" spans="16:146" x14ac:dyDescent="0.25">
      <c r="P1346" s="33" t="str" cm="1">
        <f t="array" ref="P1346">IFERROR(SUM(VALUE(_xlfn.TEXTSPLIT(O1346, ";"))), "")</f>
        <v/>
      </c>
      <c r="DO1346" t="str">
        <f t="shared" si="40"/>
        <v/>
      </c>
      <c r="EG1346" s="33" t="str">
        <f>IF(NOT(ISBLANK($B1346)),VLOOKUP($B1346,AssetCategories!$A:$E,5,0),"")</f>
        <v/>
      </c>
      <c r="EH1346" t="str">
        <f>IF(NOT(ISBLANK($B1346)),VLOOKUP($B1346,AssetCategories!$A:$E,4,0),"")</f>
        <v/>
      </c>
      <c r="EM1346" t="str">
        <f>IF(NOT(ISBLANK($B1346)),VLOOKUP($B1346,AssetCategories!$A:$E,2,0),"")</f>
        <v/>
      </c>
      <c r="EN1346" t="str">
        <f>IF(NOT(ISBLANK($B1346)),VLOOKUP($B1346,AssetCategories!$A:$E,3,0),"")</f>
        <v/>
      </c>
      <c r="EP1346" s="33" t="str">
        <f t="shared" si="41"/>
        <v/>
      </c>
    </row>
    <row r="1347" spans="16:146" x14ac:dyDescent="0.25">
      <c r="P1347" s="33" t="str" cm="1">
        <f t="array" ref="P1347">IFERROR(SUM(VALUE(_xlfn.TEXTSPLIT(O1347, ";"))), "")</f>
        <v/>
      </c>
      <c r="DO1347" t="str">
        <f t="shared" si="40"/>
        <v/>
      </c>
      <c r="EG1347" s="33" t="str">
        <f>IF(NOT(ISBLANK($B1347)),VLOOKUP($B1347,AssetCategories!$A:$E,5,0),"")</f>
        <v/>
      </c>
      <c r="EH1347" t="str">
        <f>IF(NOT(ISBLANK($B1347)),VLOOKUP($B1347,AssetCategories!$A:$E,4,0),"")</f>
        <v/>
      </c>
      <c r="EM1347" t="str">
        <f>IF(NOT(ISBLANK($B1347)),VLOOKUP($B1347,AssetCategories!$A:$E,2,0),"")</f>
        <v/>
      </c>
      <c r="EN1347" t="str">
        <f>IF(NOT(ISBLANK($B1347)),VLOOKUP($B1347,AssetCategories!$A:$E,3,0),"")</f>
        <v/>
      </c>
      <c r="EP1347" s="33" t="str">
        <f t="shared" si="41"/>
        <v/>
      </c>
    </row>
    <row r="1348" spans="16:146" x14ac:dyDescent="0.25">
      <c r="P1348" s="33" t="str" cm="1">
        <f t="array" ref="P1348">IFERROR(SUM(VALUE(_xlfn.TEXTSPLIT(O1348, ";"))), "")</f>
        <v/>
      </c>
      <c r="DO1348" t="str">
        <f t="shared" si="40"/>
        <v/>
      </c>
      <c r="EG1348" s="33" t="str">
        <f>IF(NOT(ISBLANK($B1348)),VLOOKUP($B1348,AssetCategories!$A:$E,5,0),"")</f>
        <v/>
      </c>
      <c r="EH1348" t="str">
        <f>IF(NOT(ISBLANK($B1348)),VLOOKUP($B1348,AssetCategories!$A:$E,4,0),"")</f>
        <v/>
      </c>
      <c r="EM1348" t="str">
        <f>IF(NOT(ISBLANK($B1348)),VLOOKUP($B1348,AssetCategories!$A:$E,2,0),"")</f>
        <v/>
      </c>
      <c r="EN1348" t="str">
        <f>IF(NOT(ISBLANK($B1348)),VLOOKUP($B1348,AssetCategories!$A:$E,3,0),"")</f>
        <v/>
      </c>
      <c r="EP1348" s="33" t="str">
        <f t="shared" si="41"/>
        <v/>
      </c>
    </row>
    <row r="1349" spans="16:146" x14ac:dyDescent="0.25">
      <c r="P1349" s="33" t="str" cm="1">
        <f t="array" ref="P1349">IFERROR(SUM(VALUE(_xlfn.TEXTSPLIT(O1349, ";"))), "")</f>
        <v/>
      </c>
      <c r="DO1349" t="str">
        <f t="shared" ref="DO1349:DO1412" si="42">IF(SUM(DE1349:DN1349)=0, "", SUM(DE1349:DN1349))</f>
        <v/>
      </c>
      <c r="EG1349" s="33" t="str">
        <f>IF(NOT(ISBLANK($B1349)),VLOOKUP($B1349,AssetCategories!$A:$E,5,0),"")</f>
        <v/>
      </c>
      <c r="EH1349" t="str">
        <f>IF(NOT(ISBLANK($B1349)),VLOOKUP($B1349,AssetCategories!$A:$E,4,0),"")</f>
        <v/>
      </c>
      <c r="EM1349" t="str">
        <f>IF(NOT(ISBLANK($B1349)),VLOOKUP($B1349,AssetCategories!$A:$E,2,0),"")</f>
        <v/>
      </c>
      <c r="EN1349" t="str">
        <f>IF(NOT(ISBLANK($B1349)),VLOOKUP($B1349,AssetCategories!$A:$E,3,0),"")</f>
        <v/>
      </c>
      <c r="EP1349" s="33" t="str">
        <f t="shared" ref="EP1349:EP1412" si="43">IFERROR(P1349-EO1349, "")</f>
        <v/>
      </c>
    </row>
    <row r="1350" spans="16:146" x14ac:dyDescent="0.25">
      <c r="P1350" s="33" t="str" cm="1">
        <f t="array" ref="P1350">IFERROR(SUM(VALUE(_xlfn.TEXTSPLIT(O1350, ";"))), "")</f>
        <v/>
      </c>
      <c r="DO1350" t="str">
        <f t="shared" si="42"/>
        <v/>
      </c>
      <c r="EG1350" s="33" t="str">
        <f>IF(NOT(ISBLANK($B1350)),VLOOKUP($B1350,AssetCategories!$A:$E,5,0),"")</f>
        <v/>
      </c>
      <c r="EH1350" t="str">
        <f>IF(NOT(ISBLANK($B1350)),VLOOKUP($B1350,AssetCategories!$A:$E,4,0),"")</f>
        <v/>
      </c>
      <c r="EM1350" t="str">
        <f>IF(NOT(ISBLANK($B1350)),VLOOKUP($B1350,AssetCategories!$A:$E,2,0),"")</f>
        <v/>
      </c>
      <c r="EN1350" t="str">
        <f>IF(NOT(ISBLANK($B1350)),VLOOKUP($B1350,AssetCategories!$A:$E,3,0),"")</f>
        <v/>
      </c>
      <c r="EP1350" s="33" t="str">
        <f t="shared" si="43"/>
        <v/>
      </c>
    </row>
    <row r="1351" spans="16:146" x14ac:dyDescent="0.25">
      <c r="P1351" s="33" t="str" cm="1">
        <f t="array" ref="P1351">IFERROR(SUM(VALUE(_xlfn.TEXTSPLIT(O1351, ";"))), "")</f>
        <v/>
      </c>
      <c r="DO1351" t="str">
        <f t="shared" si="42"/>
        <v/>
      </c>
      <c r="EG1351" s="33" t="str">
        <f>IF(NOT(ISBLANK($B1351)),VLOOKUP($B1351,AssetCategories!$A:$E,5,0),"")</f>
        <v/>
      </c>
      <c r="EH1351" t="str">
        <f>IF(NOT(ISBLANK($B1351)),VLOOKUP($B1351,AssetCategories!$A:$E,4,0),"")</f>
        <v/>
      </c>
      <c r="EM1351" t="str">
        <f>IF(NOT(ISBLANK($B1351)),VLOOKUP($B1351,AssetCategories!$A:$E,2,0),"")</f>
        <v/>
      </c>
      <c r="EN1351" t="str">
        <f>IF(NOT(ISBLANK($B1351)),VLOOKUP($B1351,AssetCategories!$A:$E,3,0),"")</f>
        <v/>
      </c>
      <c r="EP1351" s="33" t="str">
        <f t="shared" si="43"/>
        <v/>
      </c>
    </row>
    <row r="1352" spans="16:146" x14ac:dyDescent="0.25">
      <c r="P1352" s="33" t="str" cm="1">
        <f t="array" ref="P1352">IFERROR(SUM(VALUE(_xlfn.TEXTSPLIT(O1352, ";"))), "")</f>
        <v/>
      </c>
      <c r="DO1352" t="str">
        <f t="shared" si="42"/>
        <v/>
      </c>
      <c r="EG1352" s="33" t="str">
        <f>IF(NOT(ISBLANK($B1352)),VLOOKUP($B1352,AssetCategories!$A:$E,5,0),"")</f>
        <v/>
      </c>
      <c r="EH1352" t="str">
        <f>IF(NOT(ISBLANK($B1352)),VLOOKUP($B1352,AssetCategories!$A:$E,4,0),"")</f>
        <v/>
      </c>
      <c r="EM1352" t="str">
        <f>IF(NOT(ISBLANK($B1352)),VLOOKUP($B1352,AssetCategories!$A:$E,2,0),"")</f>
        <v/>
      </c>
      <c r="EN1352" t="str">
        <f>IF(NOT(ISBLANK($B1352)),VLOOKUP($B1352,AssetCategories!$A:$E,3,0),"")</f>
        <v/>
      </c>
      <c r="EP1352" s="33" t="str">
        <f t="shared" si="43"/>
        <v/>
      </c>
    </row>
    <row r="1353" spans="16:146" x14ac:dyDescent="0.25">
      <c r="P1353" s="33" t="str" cm="1">
        <f t="array" ref="P1353">IFERROR(SUM(VALUE(_xlfn.TEXTSPLIT(O1353, ";"))), "")</f>
        <v/>
      </c>
      <c r="DO1353" t="str">
        <f t="shared" si="42"/>
        <v/>
      </c>
      <c r="EG1353" s="33" t="str">
        <f>IF(NOT(ISBLANK($B1353)),VLOOKUP($B1353,AssetCategories!$A:$E,5,0),"")</f>
        <v/>
      </c>
      <c r="EH1353" t="str">
        <f>IF(NOT(ISBLANK($B1353)),VLOOKUP($B1353,AssetCategories!$A:$E,4,0),"")</f>
        <v/>
      </c>
      <c r="EM1353" t="str">
        <f>IF(NOT(ISBLANK($B1353)),VLOOKUP($B1353,AssetCategories!$A:$E,2,0),"")</f>
        <v/>
      </c>
      <c r="EN1353" t="str">
        <f>IF(NOT(ISBLANK($B1353)),VLOOKUP($B1353,AssetCategories!$A:$E,3,0),"")</f>
        <v/>
      </c>
      <c r="EP1353" s="33" t="str">
        <f t="shared" si="43"/>
        <v/>
      </c>
    </row>
    <row r="1354" spans="16:146" x14ac:dyDescent="0.25">
      <c r="P1354" s="33" t="str" cm="1">
        <f t="array" ref="P1354">IFERROR(SUM(VALUE(_xlfn.TEXTSPLIT(O1354, ";"))), "")</f>
        <v/>
      </c>
      <c r="DO1354" t="str">
        <f t="shared" si="42"/>
        <v/>
      </c>
      <c r="EG1354" s="33" t="str">
        <f>IF(NOT(ISBLANK($B1354)),VLOOKUP($B1354,AssetCategories!$A:$E,5,0),"")</f>
        <v/>
      </c>
      <c r="EH1354" t="str">
        <f>IF(NOT(ISBLANK($B1354)),VLOOKUP($B1354,AssetCategories!$A:$E,4,0),"")</f>
        <v/>
      </c>
      <c r="EM1354" t="str">
        <f>IF(NOT(ISBLANK($B1354)),VLOOKUP($B1354,AssetCategories!$A:$E,2,0),"")</f>
        <v/>
      </c>
      <c r="EN1354" t="str">
        <f>IF(NOT(ISBLANK($B1354)),VLOOKUP($B1354,AssetCategories!$A:$E,3,0),"")</f>
        <v/>
      </c>
      <c r="EP1354" s="33" t="str">
        <f t="shared" si="43"/>
        <v/>
      </c>
    </row>
    <row r="1355" spans="16:146" x14ac:dyDescent="0.25">
      <c r="P1355" s="33" t="str" cm="1">
        <f t="array" ref="P1355">IFERROR(SUM(VALUE(_xlfn.TEXTSPLIT(O1355, ";"))), "")</f>
        <v/>
      </c>
      <c r="DO1355" t="str">
        <f t="shared" si="42"/>
        <v/>
      </c>
      <c r="EG1355" s="33" t="str">
        <f>IF(NOT(ISBLANK($B1355)),VLOOKUP($B1355,AssetCategories!$A:$E,5,0),"")</f>
        <v/>
      </c>
      <c r="EH1355" t="str">
        <f>IF(NOT(ISBLANK($B1355)),VLOOKUP($B1355,AssetCategories!$A:$E,4,0),"")</f>
        <v/>
      </c>
      <c r="EM1355" t="str">
        <f>IF(NOT(ISBLANK($B1355)),VLOOKUP($B1355,AssetCategories!$A:$E,2,0),"")</f>
        <v/>
      </c>
      <c r="EN1355" t="str">
        <f>IF(NOT(ISBLANK($B1355)),VLOOKUP($B1355,AssetCategories!$A:$E,3,0),"")</f>
        <v/>
      </c>
      <c r="EP1355" s="33" t="str">
        <f t="shared" si="43"/>
        <v/>
      </c>
    </row>
    <row r="1356" spans="16:146" x14ac:dyDescent="0.25">
      <c r="P1356" s="33" t="str" cm="1">
        <f t="array" ref="P1356">IFERROR(SUM(VALUE(_xlfn.TEXTSPLIT(O1356, ";"))), "")</f>
        <v/>
      </c>
      <c r="DO1356" t="str">
        <f t="shared" si="42"/>
        <v/>
      </c>
      <c r="EG1356" s="33" t="str">
        <f>IF(NOT(ISBLANK($B1356)),VLOOKUP($B1356,AssetCategories!$A:$E,5,0),"")</f>
        <v/>
      </c>
      <c r="EH1356" t="str">
        <f>IF(NOT(ISBLANK($B1356)),VLOOKUP($B1356,AssetCategories!$A:$E,4,0),"")</f>
        <v/>
      </c>
      <c r="EM1356" t="str">
        <f>IF(NOT(ISBLANK($B1356)),VLOOKUP($B1356,AssetCategories!$A:$E,2,0),"")</f>
        <v/>
      </c>
      <c r="EN1356" t="str">
        <f>IF(NOT(ISBLANK($B1356)),VLOOKUP($B1356,AssetCategories!$A:$E,3,0),"")</f>
        <v/>
      </c>
      <c r="EP1356" s="33" t="str">
        <f t="shared" si="43"/>
        <v/>
      </c>
    </row>
    <row r="1357" spans="16:146" x14ac:dyDescent="0.25">
      <c r="P1357" s="33" t="str" cm="1">
        <f t="array" ref="P1357">IFERROR(SUM(VALUE(_xlfn.TEXTSPLIT(O1357, ";"))), "")</f>
        <v/>
      </c>
      <c r="DO1357" t="str">
        <f t="shared" si="42"/>
        <v/>
      </c>
      <c r="EG1357" s="33" t="str">
        <f>IF(NOT(ISBLANK($B1357)),VLOOKUP($B1357,AssetCategories!$A:$E,5,0),"")</f>
        <v/>
      </c>
      <c r="EH1357" t="str">
        <f>IF(NOT(ISBLANK($B1357)),VLOOKUP($B1357,AssetCategories!$A:$E,4,0),"")</f>
        <v/>
      </c>
      <c r="EM1357" t="str">
        <f>IF(NOT(ISBLANK($B1357)),VLOOKUP($B1357,AssetCategories!$A:$E,2,0),"")</f>
        <v/>
      </c>
      <c r="EN1357" t="str">
        <f>IF(NOT(ISBLANK($B1357)),VLOOKUP($B1357,AssetCategories!$A:$E,3,0),"")</f>
        <v/>
      </c>
      <c r="EP1357" s="33" t="str">
        <f t="shared" si="43"/>
        <v/>
      </c>
    </row>
    <row r="1358" spans="16:146" x14ac:dyDescent="0.25">
      <c r="P1358" s="33" t="str" cm="1">
        <f t="array" ref="P1358">IFERROR(SUM(VALUE(_xlfn.TEXTSPLIT(O1358, ";"))), "")</f>
        <v/>
      </c>
      <c r="DO1358" t="str">
        <f t="shared" si="42"/>
        <v/>
      </c>
      <c r="EG1358" s="33" t="str">
        <f>IF(NOT(ISBLANK($B1358)),VLOOKUP($B1358,AssetCategories!$A:$E,5,0),"")</f>
        <v/>
      </c>
      <c r="EH1358" t="str">
        <f>IF(NOT(ISBLANK($B1358)),VLOOKUP($B1358,AssetCategories!$A:$E,4,0),"")</f>
        <v/>
      </c>
      <c r="EM1358" t="str">
        <f>IF(NOT(ISBLANK($B1358)),VLOOKUP($B1358,AssetCategories!$A:$E,2,0),"")</f>
        <v/>
      </c>
      <c r="EN1358" t="str">
        <f>IF(NOT(ISBLANK($B1358)),VLOOKUP($B1358,AssetCategories!$A:$E,3,0),"")</f>
        <v/>
      </c>
      <c r="EP1358" s="33" t="str">
        <f t="shared" si="43"/>
        <v/>
      </c>
    </row>
    <row r="1359" spans="16:146" x14ac:dyDescent="0.25">
      <c r="P1359" s="33" t="str" cm="1">
        <f t="array" ref="P1359">IFERROR(SUM(VALUE(_xlfn.TEXTSPLIT(O1359, ";"))), "")</f>
        <v/>
      </c>
      <c r="DO1359" t="str">
        <f t="shared" si="42"/>
        <v/>
      </c>
      <c r="EG1359" s="33" t="str">
        <f>IF(NOT(ISBLANK($B1359)),VLOOKUP($B1359,AssetCategories!$A:$E,5,0),"")</f>
        <v/>
      </c>
      <c r="EH1359" t="str">
        <f>IF(NOT(ISBLANK($B1359)),VLOOKUP($B1359,AssetCategories!$A:$E,4,0),"")</f>
        <v/>
      </c>
      <c r="EM1359" t="str">
        <f>IF(NOT(ISBLANK($B1359)),VLOOKUP($B1359,AssetCategories!$A:$E,2,0),"")</f>
        <v/>
      </c>
      <c r="EN1359" t="str">
        <f>IF(NOT(ISBLANK($B1359)),VLOOKUP($B1359,AssetCategories!$A:$E,3,0),"")</f>
        <v/>
      </c>
      <c r="EP1359" s="33" t="str">
        <f t="shared" si="43"/>
        <v/>
      </c>
    </row>
    <row r="1360" spans="16:146" x14ac:dyDescent="0.25">
      <c r="P1360" s="33" t="str" cm="1">
        <f t="array" ref="P1360">IFERROR(SUM(VALUE(_xlfn.TEXTSPLIT(O1360, ";"))), "")</f>
        <v/>
      </c>
      <c r="DO1360" t="str">
        <f t="shared" si="42"/>
        <v/>
      </c>
      <c r="EG1360" s="33" t="str">
        <f>IF(NOT(ISBLANK($B1360)),VLOOKUP($B1360,AssetCategories!$A:$E,5,0),"")</f>
        <v/>
      </c>
      <c r="EH1360" t="str">
        <f>IF(NOT(ISBLANK($B1360)),VLOOKUP($B1360,AssetCategories!$A:$E,4,0),"")</f>
        <v/>
      </c>
      <c r="EM1360" t="str">
        <f>IF(NOT(ISBLANK($B1360)),VLOOKUP($B1360,AssetCategories!$A:$E,2,0),"")</f>
        <v/>
      </c>
      <c r="EN1360" t="str">
        <f>IF(NOT(ISBLANK($B1360)),VLOOKUP($B1360,AssetCategories!$A:$E,3,0),"")</f>
        <v/>
      </c>
      <c r="EP1360" s="33" t="str">
        <f t="shared" si="43"/>
        <v/>
      </c>
    </row>
    <row r="1361" spans="16:146" x14ac:dyDescent="0.25">
      <c r="P1361" s="33" t="str" cm="1">
        <f t="array" ref="P1361">IFERROR(SUM(VALUE(_xlfn.TEXTSPLIT(O1361, ";"))), "")</f>
        <v/>
      </c>
      <c r="DO1361" t="str">
        <f t="shared" si="42"/>
        <v/>
      </c>
      <c r="EG1361" s="33" t="str">
        <f>IF(NOT(ISBLANK($B1361)),VLOOKUP($B1361,AssetCategories!$A:$E,5,0),"")</f>
        <v/>
      </c>
      <c r="EH1361" t="str">
        <f>IF(NOT(ISBLANK($B1361)),VLOOKUP($B1361,AssetCategories!$A:$E,4,0),"")</f>
        <v/>
      </c>
      <c r="EM1361" t="str">
        <f>IF(NOT(ISBLANK($B1361)),VLOOKUP($B1361,AssetCategories!$A:$E,2,0),"")</f>
        <v/>
      </c>
      <c r="EN1361" t="str">
        <f>IF(NOT(ISBLANK($B1361)),VLOOKUP($B1361,AssetCategories!$A:$E,3,0),"")</f>
        <v/>
      </c>
      <c r="EP1361" s="33" t="str">
        <f t="shared" si="43"/>
        <v/>
      </c>
    </row>
    <row r="1362" spans="16:146" x14ac:dyDescent="0.25">
      <c r="P1362" s="33" t="str" cm="1">
        <f t="array" ref="P1362">IFERROR(SUM(VALUE(_xlfn.TEXTSPLIT(O1362, ";"))), "")</f>
        <v/>
      </c>
      <c r="DO1362" t="str">
        <f t="shared" si="42"/>
        <v/>
      </c>
      <c r="EG1362" s="33" t="str">
        <f>IF(NOT(ISBLANK($B1362)),VLOOKUP($B1362,AssetCategories!$A:$E,5,0),"")</f>
        <v/>
      </c>
      <c r="EH1362" t="str">
        <f>IF(NOT(ISBLANK($B1362)),VLOOKUP($B1362,AssetCategories!$A:$E,4,0),"")</f>
        <v/>
      </c>
      <c r="EM1362" t="str">
        <f>IF(NOT(ISBLANK($B1362)),VLOOKUP($B1362,AssetCategories!$A:$E,2,0),"")</f>
        <v/>
      </c>
      <c r="EN1362" t="str">
        <f>IF(NOT(ISBLANK($B1362)),VLOOKUP($B1362,AssetCategories!$A:$E,3,0),"")</f>
        <v/>
      </c>
      <c r="EP1362" s="33" t="str">
        <f t="shared" si="43"/>
        <v/>
      </c>
    </row>
    <row r="1363" spans="16:146" x14ac:dyDescent="0.25">
      <c r="P1363" s="33" t="str" cm="1">
        <f t="array" ref="P1363">IFERROR(SUM(VALUE(_xlfn.TEXTSPLIT(O1363, ";"))), "")</f>
        <v/>
      </c>
      <c r="DO1363" t="str">
        <f t="shared" si="42"/>
        <v/>
      </c>
      <c r="EG1363" s="33" t="str">
        <f>IF(NOT(ISBLANK($B1363)),VLOOKUP($B1363,AssetCategories!$A:$E,5,0),"")</f>
        <v/>
      </c>
      <c r="EH1363" t="str">
        <f>IF(NOT(ISBLANK($B1363)),VLOOKUP($B1363,AssetCategories!$A:$E,4,0),"")</f>
        <v/>
      </c>
      <c r="EM1363" t="str">
        <f>IF(NOT(ISBLANK($B1363)),VLOOKUP($B1363,AssetCategories!$A:$E,2,0),"")</f>
        <v/>
      </c>
      <c r="EN1363" t="str">
        <f>IF(NOT(ISBLANK($B1363)),VLOOKUP($B1363,AssetCategories!$A:$E,3,0),"")</f>
        <v/>
      </c>
      <c r="EP1363" s="33" t="str">
        <f t="shared" si="43"/>
        <v/>
      </c>
    </row>
    <row r="1364" spans="16:146" x14ac:dyDescent="0.25">
      <c r="P1364" s="33" t="str" cm="1">
        <f t="array" ref="P1364">IFERROR(SUM(VALUE(_xlfn.TEXTSPLIT(O1364, ";"))), "")</f>
        <v/>
      </c>
      <c r="DO1364" t="str">
        <f t="shared" si="42"/>
        <v/>
      </c>
      <c r="EG1364" s="33" t="str">
        <f>IF(NOT(ISBLANK($B1364)),VLOOKUP($B1364,AssetCategories!$A:$E,5,0),"")</f>
        <v/>
      </c>
      <c r="EH1364" t="str">
        <f>IF(NOT(ISBLANK($B1364)),VLOOKUP($B1364,AssetCategories!$A:$E,4,0),"")</f>
        <v/>
      </c>
      <c r="EM1364" t="str">
        <f>IF(NOT(ISBLANK($B1364)),VLOOKUP($B1364,AssetCategories!$A:$E,2,0),"")</f>
        <v/>
      </c>
      <c r="EN1364" t="str">
        <f>IF(NOT(ISBLANK($B1364)),VLOOKUP($B1364,AssetCategories!$A:$E,3,0),"")</f>
        <v/>
      </c>
      <c r="EP1364" s="33" t="str">
        <f t="shared" si="43"/>
        <v/>
      </c>
    </row>
    <row r="1365" spans="16:146" x14ac:dyDescent="0.25">
      <c r="P1365" s="33" t="str" cm="1">
        <f t="array" ref="P1365">IFERROR(SUM(VALUE(_xlfn.TEXTSPLIT(O1365, ";"))), "")</f>
        <v/>
      </c>
      <c r="DO1365" t="str">
        <f t="shared" si="42"/>
        <v/>
      </c>
      <c r="EG1365" s="33" t="str">
        <f>IF(NOT(ISBLANK($B1365)),VLOOKUP($B1365,AssetCategories!$A:$E,5,0),"")</f>
        <v/>
      </c>
      <c r="EH1365" t="str">
        <f>IF(NOT(ISBLANK($B1365)),VLOOKUP($B1365,AssetCategories!$A:$E,4,0),"")</f>
        <v/>
      </c>
      <c r="EM1365" t="str">
        <f>IF(NOT(ISBLANK($B1365)),VLOOKUP($B1365,AssetCategories!$A:$E,2,0),"")</f>
        <v/>
      </c>
      <c r="EN1365" t="str">
        <f>IF(NOT(ISBLANK($B1365)),VLOOKUP($B1365,AssetCategories!$A:$E,3,0),"")</f>
        <v/>
      </c>
      <c r="EP1365" s="33" t="str">
        <f t="shared" si="43"/>
        <v/>
      </c>
    </row>
    <row r="1366" spans="16:146" x14ac:dyDescent="0.25">
      <c r="P1366" s="33" t="str" cm="1">
        <f t="array" ref="P1366">IFERROR(SUM(VALUE(_xlfn.TEXTSPLIT(O1366, ";"))), "")</f>
        <v/>
      </c>
      <c r="DO1366" t="str">
        <f t="shared" si="42"/>
        <v/>
      </c>
      <c r="EG1366" s="33" t="str">
        <f>IF(NOT(ISBLANK($B1366)),VLOOKUP($B1366,AssetCategories!$A:$E,5,0),"")</f>
        <v/>
      </c>
      <c r="EH1366" t="str">
        <f>IF(NOT(ISBLANK($B1366)),VLOOKUP($B1366,AssetCategories!$A:$E,4,0),"")</f>
        <v/>
      </c>
      <c r="EM1366" t="str">
        <f>IF(NOT(ISBLANK($B1366)),VLOOKUP($B1366,AssetCategories!$A:$E,2,0),"")</f>
        <v/>
      </c>
      <c r="EN1366" t="str">
        <f>IF(NOT(ISBLANK($B1366)),VLOOKUP($B1366,AssetCategories!$A:$E,3,0),"")</f>
        <v/>
      </c>
      <c r="EP1366" s="33" t="str">
        <f t="shared" si="43"/>
        <v/>
      </c>
    </row>
    <row r="1367" spans="16:146" x14ac:dyDescent="0.25">
      <c r="P1367" s="33" t="str" cm="1">
        <f t="array" ref="P1367">IFERROR(SUM(VALUE(_xlfn.TEXTSPLIT(O1367, ";"))), "")</f>
        <v/>
      </c>
      <c r="DO1367" t="str">
        <f t="shared" si="42"/>
        <v/>
      </c>
      <c r="EG1367" s="33" t="str">
        <f>IF(NOT(ISBLANK($B1367)),VLOOKUP($B1367,AssetCategories!$A:$E,5,0),"")</f>
        <v/>
      </c>
      <c r="EH1367" t="str">
        <f>IF(NOT(ISBLANK($B1367)),VLOOKUP($B1367,AssetCategories!$A:$E,4,0),"")</f>
        <v/>
      </c>
      <c r="EM1367" t="str">
        <f>IF(NOT(ISBLANK($B1367)),VLOOKUP($B1367,AssetCategories!$A:$E,2,0),"")</f>
        <v/>
      </c>
      <c r="EN1367" t="str">
        <f>IF(NOT(ISBLANK($B1367)),VLOOKUP($B1367,AssetCategories!$A:$E,3,0),"")</f>
        <v/>
      </c>
      <c r="EP1367" s="33" t="str">
        <f t="shared" si="43"/>
        <v/>
      </c>
    </row>
    <row r="1368" spans="16:146" x14ac:dyDescent="0.25">
      <c r="P1368" s="33" t="str" cm="1">
        <f t="array" ref="P1368">IFERROR(SUM(VALUE(_xlfn.TEXTSPLIT(O1368, ";"))), "")</f>
        <v/>
      </c>
      <c r="DO1368" t="str">
        <f t="shared" si="42"/>
        <v/>
      </c>
      <c r="EG1368" s="33" t="str">
        <f>IF(NOT(ISBLANK($B1368)),VLOOKUP($B1368,AssetCategories!$A:$E,5,0),"")</f>
        <v/>
      </c>
      <c r="EH1368" t="str">
        <f>IF(NOT(ISBLANK($B1368)),VLOOKUP($B1368,AssetCategories!$A:$E,4,0),"")</f>
        <v/>
      </c>
      <c r="EM1368" t="str">
        <f>IF(NOT(ISBLANK($B1368)),VLOOKUP($B1368,AssetCategories!$A:$E,2,0),"")</f>
        <v/>
      </c>
      <c r="EN1368" t="str">
        <f>IF(NOT(ISBLANK($B1368)),VLOOKUP($B1368,AssetCategories!$A:$E,3,0),"")</f>
        <v/>
      </c>
      <c r="EP1368" s="33" t="str">
        <f t="shared" si="43"/>
        <v/>
      </c>
    </row>
    <row r="1369" spans="16:146" x14ac:dyDescent="0.25">
      <c r="P1369" s="33" t="str" cm="1">
        <f t="array" ref="P1369">IFERROR(SUM(VALUE(_xlfn.TEXTSPLIT(O1369, ";"))), "")</f>
        <v/>
      </c>
      <c r="DO1369" t="str">
        <f t="shared" si="42"/>
        <v/>
      </c>
      <c r="EG1369" s="33" t="str">
        <f>IF(NOT(ISBLANK($B1369)),VLOOKUP($B1369,AssetCategories!$A:$E,5,0),"")</f>
        <v/>
      </c>
      <c r="EH1369" t="str">
        <f>IF(NOT(ISBLANK($B1369)),VLOOKUP($B1369,AssetCategories!$A:$E,4,0),"")</f>
        <v/>
      </c>
      <c r="EM1369" t="str">
        <f>IF(NOT(ISBLANK($B1369)),VLOOKUP($B1369,AssetCategories!$A:$E,2,0),"")</f>
        <v/>
      </c>
      <c r="EN1369" t="str">
        <f>IF(NOT(ISBLANK($B1369)),VLOOKUP($B1369,AssetCategories!$A:$E,3,0),"")</f>
        <v/>
      </c>
      <c r="EP1369" s="33" t="str">
        <f t="shared" si="43"/>
        <v/>
      </c>
    </row>
    <row r="1370" spans="16:146" x14ac:dyDescent="0.25">
      <c r="P1370" s="33" t="str" cm="1">
        <f t="array" ref="P1370">IFERROR(SUM(VALUE(_xlfn.TEXTSPLIT(O1370, ";"))), "")</f>
        <v/>
      </c>
      <c r="DO1370" t="str">
        <f t="shared" si="42"/>
        <v/>
      </c>
      <c r="EG1370" s="33" t="str">
        <f>IF(NOT(ISBLANK($B1370)),VLOOKUP($B1370,AssetCategories!$A:$E,5,0),"")</f>
        <v/>
      </c>
      <c r="EH1370" t="str">
        <f>IF(NOT(ISBLANK($B1370)),VLOOKUP($B1370,AssetCategories!$A:$E,4,0),"")</f>
        <v/>
      </c>
      <c r="EM1370" t="str">
        <f>IF(NOT(ISBLANK($B1370)),VLOOKUP($B1370,AssetCategories!$A:$E,2,0),"")</f>
        <v/>
      </c>
      <c r="EN1370" t="str">
        <f>IF(NOT(ISBLANK($B1370)),VLOOKUP($B1370,AssetCategories!$A:$E,3,0),"")</f>
        <v/>
      </c>
      <c r="EP1370" s="33" t="str">
        <f t="shared" si="43"/>
        <v/>
      </c>
    </row>
    <row r="1371" spans="16:146" x14ac:dyDescent="0.25">
      <c r="P1371" s="33" t="str" cm="1">
        <f t="array" ref="P1371">IFERROR(SUM(VALUE(_xlfn.TEXTSPLIT(O1371, ";"))), "")</f>
        <v/>
      </c>
      <c r="DO1371" t="str">
        <f t="shared" si="42"/>
        <v/>
      </c>
      <c r="EG1371" s="33" t="str">
        <f>IF(NOT(ISBLANK($B1371)),VLOOKUP($B1371,AssetCategories!$A:$E,5,0),"")</f>
        <v/>
      </c>
      <c r="EH1371" t="str">
        <f>IF(NOT(ISBLANK($B1371)),VLOOKUP($B1371,AssetCategories!$A:$E,4,0),"")</f>
        <v/>
      </c>
      <c r="EM1371" t="str">
        <f>IF(NOT(ISBLANK($B1371)),VLOOKUP($B1371,AssetCategories!$A:$E,2,0),"")</f>
        <v/>
      </c>
      <c r="EN1371" t="str">
        <f>IF(NOT(ISBLANK($B1371)),VLOOKUP($B1371,AssetCategories!$A:$E,3,0),"")</f>
        <v/>
      </c>
      <c r="EP1371" s="33" t="str">
        <f t="shared" si="43"/>
        <v/>
      </c>
    </row>
    <row r="1372" spans="16:146" x14ac:dyDescent="0.25">
      <c r="P1372" s="33" t="str" cm="1">
        <f t="array" ref="P1372">IFERROR(SUM(VALUE(_xlfn.TEXTSPLIT(O1372, ";"))), "")</f>
        <v/>
      </c>
      <c r="DO1372" t="str">
        <f t="shared" si="42"/>
        <v/>
      </c>
      <c r="EG1372" s="33" t="str">
        <f>IF(NOT(ISBLANK($B1372)),VLOOKUP($B1372,AssetCategories!$A:$E,5,0),"")</f>
        <v/>
      </c>
      <c r="EH1372" t="str">
        <f>IF(NOT(ISBLANK($B1372)),VLOOKUP($B1372,AssetCategories!$A:$E,4,0),"")</f>
        <v/>
      </c>
      <c r="EM1372" t="str">
        <f>IF(NOT(ISBLANK($B1372)),VLOOKUP($B1372,AssetCategories!$A:$E,2,0),"")</f>
        <v/>
      </c>
      <c r="EN1372" t="str">
        <f>IF(NOT(ISBLANK($B1372)),VLOOKUP($B1372,AssetCategories!$A:$E,3,0),"")</f>
        <v/>
      </c>
      <c r="EP1372" s="33" t="str">
        <f t="shared" si="43"/>
        <v/>
      </c>
    </row>
    <row r="1373" spans="16:146" x14ac:dyDescent="0.25">
      <c r="P1373" s="33" t="str" cm="1">
        <f t="array" ref="P1373">IFERROR(SUM(VALUE(_xlfn.TEXTSPLIT(O1373, ";"))), "")</f>
        <v/>
      </c>
      <c r="DO1373" t="str">
        <f t="shared" si="42"/>
        <v/>
      </c>
      <c r="EG1373" s="33" t="str">
        <f>IF(NOT(ISBLANK($B1373)),VLOOKUP($B1373,AssetCategories!$A:$E,5,0),"")</f>
        <v/>
      </c>
      <c r="EH1373" t="str">
        <f>IF(NOT(ISBLANK($B1373)),VLOOKUP($B1373,AssetCategories!$A:$E,4,0),"")</f>
        <v/>
      </c>
      <c r="EM1373" t="str">
        <f>IF(NOT(ISBLANK($B1373)),VLOOKUP($B1373,AssetCategories!$A:$E,2,0),"")</f>
        <v/>
      </c>
      <c r="EN1373" t="str">
        <f>IF(NOT(ISBLANK($B1373)),VLOOKUP($B1373,AssetCategories!$A:$E,3,0),"")</f>
        <v/>
      </c>
      <c r="EP1373" s="33" t="str">
        <f t="shared" si="43"/>
        <v/>
      </c>
    </row>
    <row r="1374" spans="16:146" x14ac:dyDescent="0.25">
      <c r="P1374" s="33" t="str" cm="1">
        <f t="array" ref="P1374">IFERROR(SUM(VALUE(_xlfn.TEXTSPLIT(O1374, ";"))), "")</f>
        <v/>
      </c>
      <c r="DO1374" t="str">
        <f t="shared" si="42"/>
        <v/>
      </c>
      <c r="EG1374" s="33" t="str">
        <f>IF(NOT(ISBLANK($B1374)),VLOOKUP($B1374,AssetCategories!$A:$E,5,0),"")</f>
        <v/>
      </c>
      <c r="EH1374" t="str">
        <f>IF(NOT(ISBLANK($B1374)),VLOOKUP($B1374,AssetCategories!$A:$E,4,0),"")</f>
        <v/>
      </c>
      <c r="EM1374" t="str">
        <f>IF(NOT(ISBLANK($B1374)),VLOOKUP($B1374,AssetCategories!$A:$E,2,0),"")</f>
        <v/>
      </c>
      <c r="EN1374" t="str">
        <f>IF(NOT(ISBLANK($B1374)),VLOOKUP($B1374,AssetCategories!$A:$E,3,0),"")</f>
        <v/>
      </c>
      <c r="EP1374" s="33" t="str">
        <f t="shared" si="43"/>
        <v/>
      </c>
    </row>
    <row r="1375" spans="16:146" x14ac:dyDescent="0.25">
      <c r="P1375" s="33" t="str" cm="1">
        <f t="array" ref="P1375">IFERROR(SUM(VALUE(_xlfn.TEXTSPLIT(O1375, ";"))), "")</f>
        <v/>
      </c>
      <c r="DO1375" t="str">
        <f t="shared" si="42"/>
        <v/>
      </c>
      <c r="EG1375" s="33" t="str">
        <f>IF(NOT(ISBLANK($B1375)),VLOOKUP($B1375,AssetCategories!$A:$E,5,0),"")</f>
        <v/>
      </c>
      <c r="EH1375" t="str">
        <f>IF(NOT(ISBLANK($B1375)),VLOOKUP($B1375,AssetCategories!$A:$E,4,0),"")</f>
        <v/>
      </c>
      <c r="EM1375" t="str">
        <f>IF(NOT(ISBLANK($B1375)),VLOOKUP($B1375,AssetCategories!$A:$E,2,0),"")</f>
        <v/>
      </c>
      <c r="EN1375" t="str">
        <f>IF(NOT(ISBLANK($B1375)),VLOOKUP($B1375,AssetCategories!$A:$E,3,0),"")</f>
        <v/>
      </c>
      <c r="EP1375" s="33" t="str">
        <f t="shared" si="43"/>
        <v/>
      </c>
    </row>
    <row r="1376" spans="16:146" x14ac:dyDescent="0.25">
      <c r="P1376" s="33" t="str" cm="1">
        <f t="array" ref="P1376">IFERROR(SUM(VALUE(_xlfn.TEXTSPLIT(O1376, ";"))), "")</f>
        <v/>
      </c>
      <c r="DO1376" t="str">
        <f t="shared" si="42"/>
        <v/>
      </c>
      <c r="EG1376" s="33" t="str">
        <f>IF(NOT(ISBLANK($B1376)),VLOOKUP($B1376,AssetCategories!$A:$E,5,0),"")</f>
        <v/>
      </c>
      <c r="EH1376" t="str">
        <f>IF(NOT(ISBLANK($B1376)),VLOOKUP($B1376,AssetCategories!$A:$E,4,0),"")</f>
        <v/>
      </c>
      <c r="EM1376" t="str">
        <f>IF(NOT(ISBLANK($B1376)),VLOOKUP($B1376,AssetCategories!$A:$E,2,0),"")</f>
        <v/>
      </c>
      <c r="EN1376" t="str">
        <f>IF(NOT(ISBLANK($B1376)),VLOOKUP($B1376,AssetCategories!$A:$E,3,0),"")</f>
        <v/>
      </c>
      <c r="EP1376" s="33" t="str">
        <f t="shared" si="43"/>
        <v/>
      </c>
    </row>
    <row r="1377" spans="16:146" x14ac:dyDescent="0.25">
      <c r="P1377" s="33" t="str" cm="1">
        <f t="array" ref="P1377">IFERROR(SUM(VALUE(_xlfn.TEXTSPLIT(O1377, ";"))), "")</f>
        <v/>
      </c>
      <c r="DO1377" t="str">
        <f t="shared" si="42"/>
        <v/>
      </c>
      <c r="EG1377" s="33" t="str">
        <f>IF(NOT(ISBLANK($B1377)),VLOOKUP($B1377,AssetCategories!$A:$E,5,0),"")</f>
        <v/>
      </c>
      <c r="EH1377" t="str">
        <f>IF(NOT(ISBLANK($B1377)),VLOOKUP($B1377,AssetCategories!$A:$E,4,0),"")</f>
        <v/>
      </c>
      <c r="EM1377" t="str">
        <f>IF(NOT(ISBLANK($B1377)),VLOOKUP($B1377,AssetCategories!$A:$E,2,0),"")</f>
        <v/>
      </c>
      <c r="EN1377" t="str">
        <f>IF(NOT(ISBLANK($B1377)),VLOOKUP($B1377,AssetCategories!$A:$E,3,0),"")</f>
        <v/>
      </c>
      <c r="EP1377" s="33" t="str">
        <f t="shared" si="43"/>
        <v/>
      </c>
    </row>
    <row r="1378" spans="16:146" x14ac:dyDescent="0.25">
      <c r="P1378" s="33" t="str" cm="1">
        <f t="array" ref="P1378">IFERROR(SUM(VALUE(_xlfn.TEXTSPLIT(O1378, ";"))), "")</f>
        <v/>
      </c>
      <c r="DO1378" t="str">
        <f t="shared" si="42"/>
        <v/>
      </c>
      <c r="EG1378" s="33" t="str">
        <f>IF(NOT(ISBLANK($B1378)),VLOOKUP($B1378,AssetCategories!$A:$E,5,0),"")</f>
        <v/>
      </c>
      <c r="EH1378" t="str">
        <f>IF(NOT(ISBLANK($B1378)),VLOOKUP($B1378,AssetCategories!$A:$E,4,0),"")</f>
        <v/>
      </c>
      <c r="EM1378" t="str">
        <f>IF(NOT(ISBLANK($B1378)),VLOOKUP($B1378,AssetCategories!$A:$E,2,0),"")</f>
        <v/>
      </c>
      <c r="EN1378" t="str">
        <f>IF(NOT(ISBLANK($B1378)),VLOOKUP($B1378,AssetCategories!$A:$E,3,0),"")</f>
        <v/>
      </c>
      <c r="EP1378" s="33" t="str">
        <f t="shared" si="43"/>
        <v/>
      </c>
    </row>
    <row r="1379" spans="16:146" x14ac:dyDescent="0.25">
      <c r="P1379" s="33" t="str" cm="1">
        <f t="array" ref="P1379">IFERROR(SUM(VALUE(_xlfn.TEXTSPLIT(O1379, ";"))), "")</f>
        <v/>
      </c>
      <c r="DO1379" t="str">
        <f t="shared" si="42"/>
        <v/>
      </c>
      <c r="EG1379" s="33" t="str">
        <f>IF(NOT(ISBLANK($B1379)),VLOOKUP($B1379,AssetCategories!$A:$E,5,0),"")</f>
        <v/>
      </c>
      <c r="EH1379" t="str">
        <f>IF(NOT(ISBLANK($B1379)),VLOOKUP($B1379,AssetCategories!$A:$E,4,0),"")</f>
        <v/>
      </c>
      <c r="EM1379" t="str">
        <f>IF(NOT(ISBLANK($B1379)),VLOOKUP($B1379,AssetCategories!$A:$E,2,0),"")</f>
        <v/>
      </c>
      <c r="EN1379" t="str">
        <f>IF(NOT(ISBLANK($B1379)),VLOOKUP($B1379,AssetCategories!$A:$E,3,0),"")</f>
        <v/>
      </c>
      <c r="EP1379" s="33" t="str">
        <f t="shared" si="43"/>
        <v/>
      </c>
    </row>
    <row r="1380" spans="16:146" x14ac:dyDescent="0.25">
      <c r="P1380" s="33" t="str" cm="1">
        <f t="array" ref="P1380">IFERROR(SUM(VALUE(_xlfn.TEXTSPLIT(O1380, ";"))), "")</f>
        <v/>
      </c>
      <c r="DO1380" t="str">
        <f t="shared" si="42"/>
        <v/>
      </c>
      <c r="EG1380" s="33" t="str">
        <f>IF(NOT(ISBLANK($B1380)),VLOOKUP($B1380,AssetCategories!$A:$E,5,0),"")</f>
        <v/>
      </c>
      <c r="EH1380" t="str">
        <f>IF(NOT(ISBLANK($B1380)),VLOOKUP($B1380,AssetCategories!$A:$E,4,0),"")</f>
        <v/>
      </c>
      <c r="EM1380" t="str">
        <f>IF(NOT(ISBLANK($B1380)),VLOOKUP($B1380,AssetCategories!$A:$E,2,0),"")</f>
        <v/>
      </c>
      <c r="EN1380" t="str">
        <f>IF(NOT(ISBLANK($B1380)),VLOOKUP($B1380,AssetCategories!$A:$E,3,0),"")</f>
        <v/>
      </c>
      <c r="EP1380" s="33" t="str">
        <f t="shared" si="43"/>
        <v/>
      </c>
    </row>
    <row r="1381" spans="16:146" x14ac:dyDescent="0.25">
      <c r="P1381" s="33" t="str" cm="1">
        <f t="array" ref="P1381">IFERROR(SUM(VALUE(_xlfn.TEXTSPLIT(O1381, ";"))), "")</f>
        <v/>
      </c>
      <c r="DO1381" t="str">
        <f t="shared" si="42"/>
        <v/>
      </c>
      <c r="EG1381" s="33" t="str">
        <f>IF(NOT(ISBLANK($B1381)),VLOOKUP($B1381,AssetCategories!$A:$E,5,0),"")</f>
        <v/>
      </c>
      <c r="EH1381" t="str">
        <f>IF(NOT(ISBLANK($B1381)),VLOOKUP($B1381,AssetCategories!$A:$E,4,0),"")</f>
        <v/>
      </c>
      <c r="EM1381" t="str">
        <f>IF(NOT(ISBLANK($B1381)),VLOOKUP($B1381,AssetCategories!$A:$E,2,0),"")</f>
        <v/>
      </c>
      <c r="EN1381" t="str">
        <f>IF(NOT(ISBLANK($B1381)),VLOOKUP($B1381,AssetCategories!$A:$E,3,0),"")</f>
        <v/>
      </c>
      <c r="EP1381" s="33" t="str">
        <f t="shared" si="43"/>
        <v/>
      </c>
    </row>
    <row r="1382" spans="16:146" x14ac:dyDescent="0.25">
      <c r="P1382" s="33" t="str" cm="1">
        <f t="array" ref="P1382">IFERROR(SUM(VALUE(_xlfn.TEXTSPLIT(O1382, ";"))), "")</f>
        <v/>
      </c>
      <c r="DO1382" t="str">
        <f t="shared" si="42"/>
        <v/>
      </c>
      <c r="EG1382" s="33" t="str">
        <f>IF(NOT(ISBLANK($B1382)),VLOOKUP($B1382,AssetCategories!$A:$E,5,0),"")</f>
        <v/>
      </c>
      <c r="EH1382" t="str">
        <f>IF(NOT(ISBLANK($B1382)),VLOOKUP($B1382,AssetCategories!$A:$E,4,0),"")</f>
        <v/>
      </c>
      <c r="EM1382" t="str">
        <f>IF(NOT(ISBLANK($B1382)),VLOOKUP($B1382,AssetCategories!$A:$E,2,0),"")</f>
        <v/>
      </c>
      <c r="EN1382" t="str">
        <f>IF(NOT(ISBLANK($B1382)),VLOOKUP($B1382,AssetCategories!$A:$E,3,0),"")</f>
        <v/>
      </c>
      <c r="EP1382" s="33" t="str">
        <f t="shared" si="43"/>
        <v/>
      </c>
    </row>
    <row r="1383" spans="16:146" x14ac:dyDescent="0.25">
      <c r="P1383" s="33" t="str" cm="1">
        <f t="array" ref="P1383">IFERROR(SUM(VALUE(_xlfn.TEXTSPLIT(O1383, ";"))), "")</f>
        <v/>
      </c>
      <c r="DO1383" t="str">
        <f t="shared" si="42"/>
        <v/>
      </c>
      <c r="EG1383" s="33" t="str">
        <f>IF(NOT(ISBLANK($B1383)),VLOOKUP($B1383,AssetCategories!$A:$E,5,0),"")</f>
        <v/>
      </c>
      <c r="EH1383" t="str">
        <f>IF(NOT(ISBLANK($B1383)),VLOOKUP($B1383,AssetCategories!$A:$E,4,0),"")</f>
        <v/>
      </c>
      <c r="EM1383" t="str">
        <f>IF(NOT(ISBLANK($B1383)),VLOOKUP($B1383,AssetCategories!$A:$E,2,0),"")</f>
        <v/>
      </c>
      <c r="EN1383" t="str">
        <f>IF(NOT(ISBLANK($B1383)),VLOOKUP($B1383,AssetCategories!$A:$E,3,0),"")</f>
        <v/>
      </c>
      <c r="EP1383" s="33" t="str">
        <f t="shared" si="43"/>
        <v/>
      </c>
    </row>
    <row r="1384" spans="16:146" x14ac:dyDescent="0.25">
      <c r="P1384" s="33" t="str" cm="1">
        <f t="array" ref="P1384">IFERROR(SUM(VALUE(_xlfn.TEXTSPLIT(O1384, ";"))), "")</f>
        <v/>
      </c>
      <c r="DO1384" t="str">
        <f t="shared" si="42"/>
        <v/>
      </c>
      <c r="EG1384" s="33" t="str">
        <f>IF(NOT(ISBLANK($B1384)),VLOOKUP($B1384,AssetCategories!$A:$E,5,0),"")</f>
        <v/>
      </c>
      <c r="EH1384" t="str">
        <f>IF(NOT(ISBLANK($B1384)),VLOOKUP($B1384,AssetCategories!$A:$E,4,0),"")</f>
        <v/>
      </c>
      <c r="EM1384" t="str">
        <f>IF(NOT(ISBLANK($B1384)),VLOOKUP($B1384,AssetCategories!$A:$E,2,0),"")</f>
        <v/>
      </c>
      <c r="EN1384" t="str">
        <f>IF(NOT(ISBLANK($B1384)),VLOOKUP($B1384,AssetCategories!$A:$E,3,0),"")</f>
        <v/>
      </c>
      <c r="EP1384" s="33" t="str">
        <f t="shared" si="43"/>
        <v/>
      </c>
    </row>
    <row r="1385" spans="16:146" x14ac:dyDescent="0.25">
      <c r="P1385" s="33" t="str" cm="1">
        <f t="array" ref="P1385">IFERROR(SUM(VALUE(_xlfn.TEXTSPLIT(O1385, ";"))), "")</f>
        <v/>
      </c>
      <c r="DO1385" t="str">
        <f t="shared" si="42"/>
        <v/>
      </c>
      <c r="EG1385" s="33" t="str">
        <f>IF(NOT(ISBLANK($B1385)),VLOOKUP($B1385,AssetCategories!$A:$E,5,0),"")</f>
        <v/>
      </c>
      <c r="EH1385" t="str">
        <f>IF(NOT(ISBLANK($B1385)),VLOOKUP($B1385,AssetCategories!$A:$E,4,0),"")</f>
        <v/>
      </c>
      <c r="EM1385" t="str">
        <f>IF(NOT(ISBLANK($B1385)),VLOOKUP($B1385,AssetCategories!$A:$E,2,0),"")</f>
        <v/>
      </c>
      <c r="EN1385" t="str">
        <f>IF(NOT(ISBLANK($B1385)),VLOOKUP($B1385,AssetCategories!$A:$E,3,0),"")</f>
        <v/>
      </c>
      <c r="EP1385" s="33" t="str">
        <f t="shared" si="43"/>
        <v/>
      </c>
    </row>
    <row r="1386" spans="16:146" x14ac:dyDescent="0.25">
      <c r="P1386" s="33" t="str" cm="1">
        <f t="array" ref="P1386">IFERROR(SUM(VALUE(_xlfn.TEXTSPLIT(O1386, ";"))), "")</f>
        <v/>
      </c>
      <c r="DO1386" t="str">
        <f t="shared" si="42"/>
        <v/>
      </c>
      <c r="EG1386" s="33" t="str">
        <f>IF(NOT(ISBLANK($B1386)),VLOOKUP($B1386,AssetCategories!$A:$E,5,0),"")</f>
        <v/>
      </c>
      <c r="EH1386" t="str">
        <f>IF(NOT(ISBLANK($B1386)),VLOOKUP($B1386,AssetCategories!$A:$E,4,0),"")</f>
        <v/>
      </c>
      <c r="EM1386" t="str">
        <f>IF(NOT(ISBLANK($B1386)),VLOOKUP($B1386,AssetCategories!$A:$E,2,0),"")</f>
        <v/>
      </c>
      <c r="EN1386" t="str">
        <f>IF(NOT(ISBLANK($B1386)),VLOOKUP($B1386,AssetCategories!$A:$E,3,0),"")</f>
        <v/>
      </c>
      <c r="EP1386" s="33" t="str">
        <f t="shared" si="43"/>
        <v/>
      </c>
    </row>
    <row r="1387" spans="16:146" x14ac:dyDescent="0.25">
      <c r="P1387" s="33" t="str" cm="1">
        <f t="array" ref="P1387">IFERROR(SUM(VALUE(_xlfn.TEXTSPLIT(O1387, ";"))), "")</f>
        <v/>
      </c>
      <c r="DO1387" t="str">
        <f t="shared" si="42"/>
        <v/>
      </c>
      <c r="EG1387" s="33" t="str">
        <f>IF(NOT(ISBLANK($B1387)),VLOOKUP($B1387,AssetCategories!$A:$E,5,0),"")</f>
        <v/>
      </c>
      <c r="EH1387" t="str">
        <f>IF(NOT(ISBLANK($B1387)),VLOOKUP($B1387,AssetCategories!$A:$E,4,0),"")</f>
        <v/>
      </c>
      <c r="EM1387" t="str">
        <f>IF(NOT(ISBLANK($B1387)),VLOOKUP($B1387,AssetCategories!$A:$E,2,0),"")</f>
        <v/>
      </c>
      <c r="EN1387" t="str">
        <f>IF(NOT(ISBLANK($B1387)),VLOOKUP($B1387,AssetCategories!$A:$E,3,0),"")</f>
        <v/>
      </c>
      <c r="EP1387" s="33" t="str">
        <f t="shared" si="43"/>
        <v/>
      </c>
    </row>
    <row r="1388" spans="16:146" x14ac:dyDescent="0.25">
      <c r="P1388" s="33" t="str" cm="1">
        <f t="array" ref="P1388">IFERROR(SUM(VALUE(_xlfn.TEXTSPLIT(O1388, ";"))), "")</f>
        <v/>
      </c>
      <c r="DO1388" t="str">
        <f t="shared" si="42"/>
        <v/>
      </c>
      <c r="EG1388" s="33" t="str">
        <f>IF(NOT(ISBLANK($B1388)),VLOOKUP($B1388,AssetCategories!$A:$E,5,0),"")</f>
        <v/>
      </c>
      <c r="EH1388" t="str">
        <f>IF(NOT(ISBLANK($B1388)),VLOOKUP($B1388,AssetCategories!$A:$E,4,0),"")</f>
        <v/>
      </c>
      <c r="EM1388" t="str">
        <f>IF(NOT(ISBLANK($B1388)),VLOOKUP($B1388,AssetCategories!$A:$E,2,0),"")</f>
        <v/>
      </c>
      <c r="EN1388" t="str">
        <f>IF(NOT(ISBLANK($B1388)),VLOOKUP($B1388,AssetCategories!$A:$E,3,0),"")</f>
        <v/>
      </c>
      <c r="EP1388" s="33" t="str">
        <f t="shared" si="43"/>
        <v/>
      </c>
    </row>
    <row r="1389" spans="16:146" x14ac:dyDescent="0.25">
      <c r="P1389" s="33" t="str" cm="1">
        <f t="array" ref="P1389">IFERROR(SUM(VALUE(_xlfn.TEXTSPLIT(O1389, ";"))), "")</f>
        <v/>
      </c>
      <c r="DO1389" t="str">
        <f t="shared" si="42"/>
        <v/>
      </c>
      <c r="EG1389" s="33" t="str">
        <f>IF(NOT(ISBLANK($B1389)),VLOOKUP($B1389,AssetCategories!$A:$E,5,0),"")</f>
        <v/>
      </c>
      <c r="EH1389" t="str">
        <f>IF(NOT(ISBLANK($B1389)),VLOOKUP($B1389,AssetCategories!$A:$E,4,0),"")</f>
        <v/>
      </c>
      <c r="EM1389" t="str">
        <f>IF(NOT(ISBLANK($B1389)),VLOOKUP($B1389,AssetCategories!$A:$E,2,0),"")</f>
        <v/>
      </c>
      <c r="EN1389" t="str">
        <f>IF(NOT(ISBLANK($B1389)),VLOOKUP($B1389,AssetCategories!$A:$E,3,0),"")</f>
        <v/>
      </c>
      <c r="EP1389" s="33" t="str">
        <f t="shared" si="43"/>
        <v/>
      </c>
    </row>
    <row r="1390" spans="16:146" x14ac:dyDescent="0.25">
      <c r="P1390" s="33" t="str" cm="1">
        <f t="array" ref="P1390">IFERROR(SUM(VALUE(_xlfn.TEXTSPLIT(O1390, ";"))), "")</f>
        <v/>
      </c>
      <c r="DO1390" t="str">
        <f t="shared" si="42"/>
        <v/>
      </c>
      <c r="EG1390" s="33" t="str">
        <f>IF(NOT(ISBLANK($B1390)),VLOOKUP($B1390,AssetCategories!$A:$E,5,0),"")</f>
        <v/>
      </c>
      <c r="EH1390" t="str">
        <f>IF(NOT(ISBLANK($B1390)),VLOOKUP($B1390,AssetCategories!$A:$E,4,0),"")</f>
        <v/>
      </c>
      <c r="EM1390" t="str">
        <f>IF(NOT(ISBLANK($B1390)),VLOOKUP($B1390,AssetCategories!$A:$E,2,0),"")</f>
        <v/>
      </c>
      <c r="EN1390" t="str">
        <f>IF(NOT(ISBLANK($B1390)),VLOOKUP($B1390,AssetCategories!$A:$E,3,0),"")</f>
        <v/>
      </c>
      <c r="EP1390" s="33" t="str">
        <f t="shared" si="43"/>
        <v/>
      </c>
    </row>
    <row r="1391" spans="16:146" x14ac:dyDescent="0.25">
      <c r="P1391" s="33" t="str" cm="1">
        <f t="array" ref="P1391">IFERROR(SUM(VALUE(_xlfn.TEXTSPLIT(O1391, ";"))), "")</f>
        <v/>
      </c>
      <c r="DO1391" t="str">
        <f t="shared" si="42"/>
        <v/>
      </c>
      <c r="EG1391" s="33" t="str">
        <f>IF(NOT(ISBLANK($B1391)),VLOOKUP($B1391,AssetCategories!$A:$E,5,0),"")</f>
        <v/>
      </c>
      <c r="EH1391" t="str">
        <f>IF(NOT(ISBLANK($B1391)),VLOOKUP($B1391,AssetCategories!$A:$E,4,0),"")</f>
        <v/>
      </c>
      <c r="EM1391" t="str">
        <f>IF(NOT(ISBLANK($B1391)),VLOOKUP($B1391,AssetCategories!$A:$E,2,0),"")</f>
        <v/>
      </c>
      <c r="EN1391" t="str">
        <f>IF(NOT(ISBLANK($B1391)),VLOOKUP($B1391,AssetCategories!$A:$E,3,0),"")</f>
        <v/>
      </c>
      <c r="EP1391" s="33" t="str">
        <f t="shared" si="43"/>
        <v/>
      </c>
    </row>
    <row r="1392" spans="16:146" x14ac:dyDescent="0.25">
      <c r="P1392" s="33" t="str" cm="1">
        <f t="array" ref="P1392">IFERROR(SUM(VALUE(_xlfn.TEXTSPLIT(O1392, ";"))), "")</f>
        <v/>
      </c>
      <c r="DO1392" t="str">
        <f t="shared" si="42"/>
        <v/>
      </c>
      <c r="EG1392" s="33" t="str">
        <f>IF(NOT(ISBLANK($B1392)),VLOOKUP($B1392,AssetCategories!$A:$E,5,0),"")</f>
        <v/>
      </c>
      <c r="EH1392" t="str">
        <f>IF(NOT(ISBLANK($B1392)),VLOOKUP($B1392,AssetCategories!$A:$E,4,0),"")</f>
        <v/>
      </c>
      <c r="EM1392" t="str">
        <f>IF(NOT(ISBLANK($B1392)),VLOOKUP($B1392,AssetCategories!$A:$E,2,0),"")</f>
        <v/>
      </c>
      <c r="EN1392" t="str">
        <f>IF(NOT(ISBLANK($B1392)),VLOOKUP($B1392,AssetCategories!$A:$E,3,0),"")</f>
        <v/>
      </c>
      <c r="EP1392" s="33" t="str">
        <f t="shared" si="43"/>
        <v/>
      </c>
    </row>
    <row r="1393" spans="16:146" x14ac:dyDescent="0.25">
      <c r="P1393" s="33" t="str" cm="1">
        <f t="array" ref="P1393">IFERROR(SUM(VALUE(_xlfn.TEXTSPLIT(O1393, ";"))), "")</f>
        <v/>
      </c>
      <c r="DO1393" t="str">
        <f t="shared" si="42"/>
        <v/>
      </c>
      <c r="EG1393" s="33" t="str">
        <f>IF(NOT(ISBLANK($B1393)),VLOOKUP($B1393,AssetCategories!$A:$E,5,0),"")</f>
        <v/>
      </c>
      <c r="EH1393" t="str">
        <f>IF(NOT(ISBLANK($B1393)),VLOOKUP($B1393,AssetCategories!$A:$E,4,0),"")</f>
        <v/>
      </c>
      <c r="EM1393" t="str">
        <f>IF(NOT(ISBLANK($B1393)),VLOOKUP($B1393,AssetCategories!$A:$E,2,0),"")</f>
        <v/>
      </c>
      <c r="EN1393" t="str">
        <f>IF(NOT(ISBLANK($B1393)),VLOOKUP($B1393,AssetCategories!$A:$E,3,0),"")</f>
        <v/>
      </c>
      <c r="EP1393" s="33" t="str">
        <f t="shared" si="43"/>
        <v/>
      </c>
    </row>
    <row r="1394" spans="16:146" x14ac:dyDescent="0.25">
      <c r="P1394" s="33" t="str" cm="1">
        <f t="array" ref="P1394">IFERROR(SUM(VALUE(_xlfn.TEXTSPLIT(O1394, ";"))), "")</f>
        <v/>
      </c>
      <c r="DO1394" t="str">
        <f t="shared" si="42"/>
        <v/>
      </c>
      <c r="EG1394" s="33" t="str">
        <f>IF(NOT(ISBLANK($B1394)),VLOOKUP($B1394,AssetCategories!$A:$E,5,0),"")</f>
        <v/>
      </c>
      <c r="EH1394" t="str">
        <f>IF(NOT(ISBLANK($B1394)),VLOOKUP($B1394,AssetCategories!$A:$E,4,0),"")</f>
        <v/>
      </c>
      <c r="EM1394" t="str">
        <f>IF(NOT(ISBLANK($B1394)),VLOOKUP($B1394,AssetCategories!$A:$E,2,0),"")</f>
        <v/>
      </c>
      <c r="EN1394" t="str">
        <f>IF(NOT(ISBLANK($B1394)),VLOOKUP($B1394,AssetCategories!$A:$E,3,0),"")</f>
        <v/>
      </c>
      <c r="EP1394" s="33" t="str">
        <f t="shared" si="43"/>
        <v/>
      </c>
    </row>
    <row r="1395" spans="16:146" x14ac:dyDescent="0.25">
      <c r="P1395" s="33" t="str" cm="1">
        <f t="array" ref="P1395">IFERROR(SUM(VALUE(_xlfn.TEXTSPLIT(O1395, ";"))), "")</f>
        <v/>
      </c>
      <c r="DO1395" t="str">
        <f t="shared" si="42"/>
        <v/>
      </c>
      <c r="EG1395" s="33" t="str">
        <f>IF(NOT(ISBLANK($B1395)),VLOOKUP($B1395,AssetCategories!$A:$E,5,0),"")</f>
        <v/>
      </c>
      <c r="EH1395" t="str">
        <f>IF(NOT(ISBLANK($B1395)),VLOOKUP($B1395,AssetCategories!$A:$E,4,0),"")</f>
        <v/>
      </c>
      <c r="EM1395" t="str">
        <f>IF(NOT(ISBLANK($B1395)),VLOOKUP($B1395,AssetCategories!$A:$E,2,0),"")</f>
        <v/>
      </c>
      <c r="EN1395" t="str">
        <f>IF(NOT(ISBLANK($B1395)),VLOOKUP($B1395,AssetCategories!$A:$E,3,0),"")</f>
        <v/>
      </c>
      <c r="EP1395" s="33" t="str">
        <f t="shared" si="43"/>
        <v/>
      </c>
    </row>
    <row r="1396" spans="16:146" x14ac:dyDescent="0.25">
      <c r="P1396" s="33" t="str" cm="1">
        <f t="array" ref="P1396">IFERROR(SUM(VALUE(_xlfn.TEXTSPLIT(O1396, ";"))), "")</f>
        <v/>
      </c>
      <c r="DO1396" t="str">
        <f t="shared" si="42"/>
        <v/>
      </c>
      <c r="EG1396" s="33" t="str">
        <f>IF(NOT(ISBLANK($B1396)),VLOOKUP($B1396,AssetCategories!$A:$E,5,0),"")</f>
        <v/>
      </c>
      <c r="EH1396" t="str">
        <f>IF(NOT(ISBLANK($B1396)),VLOOKUP($B1396,AssetCategories!$A:$E,4,0),"")</f>
        <v/>
      </c>
      <c r="EM1396" t="str">
        <f>IF(NOT(ISBLANK($B1396)),VLOOKUP($B1396,AssetCategories!$A:$E,2,0),"")</f>
        <v/>
      </c>
      <c r="EN1396" t="str">
        <f>IF(NOT(ISBLANK($B1396)),VLOOKUP($B1396,AssetCategories!$A:$E,3,0),"")</f>
        <v/>
      </c>
      <c r="EP1396" s="33" t="str">
        <f t="shared" si="43"/>
        <v/>
      </c>
    </row>
    <row r="1397" spans="16:146" x14ac:dyDescent="0.25">
      <c r="P1397" s="33" t="str" cm="1">
        <f t="array" ref="P1397">IFERROR(SUM(VALUE(_xlfn.TEXTSPLIT(O1397, ";"))), "")</f>
        <v/>
      </c>
      <c r="DO1397" t="str">
        <f t="shared" si="42"/>
        <v/>
      </c>
      <c r="EG1397" s="33" t="str">
        <f>IF(NOT(ISBLANK($B1397)),VLOOKUP($B1397,AssetCategories!$A:$E,5,0),"")</f>
        <v/>
      </c>
      <c r="EH1397" t="str">
        <f>IF(NOT(ISBLANK($B1397)),VLOOKUP($B1397,AssetCategories!$A:$E,4,0),"")</f>
        <v/>
      </c>
      <c r="EM1397" t="str">
        <f>IF(NOT(ISBLANK($B1397)),VLOOKUP($B1397,AssetCategories!$A:$E,2,0),"")</f>
        <v/>
      </c>
      <c r="EN1397" t="str">
        <f>IF(NOT(ISBLANK($B1397)),VLOOKUP($B1397,AssetCategories!$A:$E,3,0),"")</f>
        <v/>
      </c>
      <c r="EP1397" s="33" t="str">
        <f t="shared" si="43"/>
        <v/>
      </c>
    </row>
    <row r="1398" spans="16:146" x14ac:dyDescent="0.25">
      <c r="P1398" s="33" t="str" cm="1">
        <f t="array" ref="P1398">IFERROR(SUM(VALUE(_xlfn.TEXTSPLIT(O1398, ";"))), "")</f>
        <v/>
      </c>
      <c r="DO1398" t="str">
        <f t="shared" si="42"/>
        <v/>
      </c>
      <c r="EG1398" s="33" t="str">
        <f>IF(NOT(ISBLANK($B1398)),VLOOKUP($B1398,AssetCategories!$A:$E,5,0),"")</f>
        <v/>
      </c>
      <c r="EH1398" t="str">
        <f>IF(NOT(ISBLANK($B1398)),VLOOKUP($B1398,AssetCategories!$A:$E,4,0),"")</f>
        <v/>
      </c>
      <c r="EM1398" t="str">
        <f>IF(NOT(ISBLANK($B1398)),VLOOKUP($B1398,AssetCategories!$A:$E,2,0),"")</f>
        <v/>
      </c>
      <c r="EN1398" t="str">
        <f>IF(NOT(ISBLANK($B1398)),VLOOKUP($B1398,AssetCategories!$A:$E,3,0),"")</f>
        <v/>
      </c>
      <c r="EP1398" s="33" t="str">
        <f t="shared" si="43"/>
        <v/>
      </c>
    </row>
    <row r="1399" spans="16:146" x14ac:dyDescent="0.25">
      <c r="P1399" s="33" t="str" cm="1">
        <f t="array" ref="P1399">IFERROR(SUM(VALUE(_xlfn.TEXTSPLIT(O1399, ";"))), "")</f>
        <v/>
      </c>
      <c r="DO1399" t="str">
        <f t="shared" si="42"/>
        <v/>
      </c>
      <c r="EG1399" s="33" t="str">
        <f>IF(NOT(ISBLANK($B1399)),VLOOKUP($B1399,AssetCategories!$A:$E,5,0),"")</f>
        <v/>
      </c>
      <c r="EH1399" t="str">
        <f>IF(NOT(ISBLANK($B1399)),VLOOKUP($B1399,AssetCategories!$A:$E,4,0),"")</f>
        <v/>
      </c>
      <c r="EM1399" t="str">
        <f>IF(NOT(ISBLANK($B1399)),VLOOKUP($B1399,AssetCategories!$A:$E,2,0),"")</f>
        <v/>
      </c>
      <c r="EN1399" t="str">
        <f>IF(NOT(ISBLANK($B1399)),VLOOKUP($B1399,AssetCategories!$A:$E,3,0),"")</f>
        <v/>
      </c>
      <c r="EP1399" s="33" t="str">
        <f t="shared" si="43"/>
        <v/>
      </c>
    </row>
    <row r="1400" spans="16:146" x14ac:dyDescent="0.25">
      <c r="P1400" s="33" t="str" cm="1">
        <f t="array" ref="P1400">IFERROR(SUM(VALUE(_xlfn.TEXTSPLIT(O1400, ";"))), "")</f>
        <v/>
      </c>
      <c r="DO1400" t="str">
        <f t="shared" si="42"/>
        <v/>
      </c>
      <c r="EG1400" s="33" t="str">
        <f>IF(NOT(ISBLANK($B1400)),VLOOKUP($B1400,AssetCategories!$A:$E,5,0),"")</f>
        <v/>
      </c>
      <c r="EH1400" t="str">
        <f>IF(NOT(ISBLANK($B1400)),VLOOKUP($B1400,AssetCategories!$A:$E,4,0),"")</f>
        <v/>
      </c>
      <c r="EM1400" t="str">
        <f>IF(NOT(ISBLANK($B1400)),VLOOKUP($B1400,AssetCategories!$A:$E,2,0),"")</f>
        <v/>
      </c>
      <c r="EN1400" t="str">
        <f>IF(NOT(ISBLANK($B1400)),VLOOKUP($B1400,AssetCategories!$A:$E,3,0),"")</f>
        <v/>
      </c>
      <c r="EP1400" s="33" t="str">
        <f t="shared" si="43"/>
        <v/>
      </c>
    </row>
    <row r="1401" spans="16:146" x14ac:dyDescent="0.25">
      <c r="P1401" s="33" t="str" cm="1">
        <f t="array" ref="P1401">IFERROR(SUM(VALUE(_xlfn.TEXTSPLIT(O1401, ";"))), "")</f>
        <v/>
      </c>
      <c r="DO1401" t="str">
        <f t="shared" si="42"/>
        <v/>
      </c>
      <c r="EG1401" s="33" t="str">
        <f>IF(NOT(ISBLANK($B1401)),VLOOKUP($B1401,AssetCategories!$A:$E,5,0),"")</f>
        <v/>
      </c>
      <c r="EH1401" t="str">
        <f>IF(NOT(ISBLANK($B1401)),VLOOKUP($B1401,AssetCategories!$A:$E,4,0),"")</f>
        <v/>
      </c>
      <c r="EM1401" t="str">
        <f>IF(NOT(ISBLANK($B1401)),VLOOKUP($B1401,AssetCategories!$A:$E,2,0),"")</f>
        <v/>
      </c>
      <c r="EN1401" t="str">
        <f>IF(NOT(ISBLANK($B1401)),VLOOKUP($B1401,AssetCategories!$A:$E,3,0),"")</f>
        <v/>
      </c>
      <c r="EP1401" s="33" t="str">
        <f t="shared" si="43"/>
        <v/>
      </c>
    </row>
    <row r="1402" spans="16:146" x14ac:dyDescent="0.25">
      <c r="P1402" s="33" t="str" cm="1">
        <f t="array" ref="P1402">IFERROR(SUM(VALUE(_xlfn.TEXTSPLIT(O1402, ";"))), "")</f>
        <v/>
      </c>
      <c r="DO1402" t="str">
        <f t="shared" si="42"/>
        <v/>
      </c>
      <c r="EG1402" s="33" t="str">
        <f>IF(NOT(ISBLANK($B1402)),VLOOKUP($B1402,AssetCategories!$A:$E,5,0),"")</f>
        <v/>
      </c>
      <c r="EH1402" t="str">
        <f>IF(NOT(ISBLANK($B1402)),VLOOKUP($B1402,AssetCategories!$A:$E,4,0),"")</f>
        <v/>
      </c>
      <c r="EM1402" t="str">
        <f>IF(NOT(ISBLANK($B1402)),VLOOKUP($B1402,AssetCategories!$A:$E,2,0),"")</f>
        <v/>
      </c>
      <c r="EN1402" t="str">
        <f>IF(NOT(ISBLANK($B1402)),VLOOKUP($B1402,AssetCategories!$A:$E,3,0),"")</f>
        <v/>
      </c>
      <c r="EP1402" s="33" t="str">
        <f t="shared" si="43"/>
        <v/>
      </c>
    </row>
    <row r="1403" spans="16:146" x14ac:dyDescent="0.25">
      <c r="P1403" s="33" t="str" cm="1">
        <f t="array" ref="P1403">IFERROR(SUM(VALUE(_xlfn.TEXTSPLIT(O1403, ";"))), "")</f>
        <v/>
      </c>
      <c r="DO1403" t="str">
        <f t="shared" si="42"/>
        <v/>
      </c>
      <c r="EG1403" s="33" t="str">
        <f>IF(NOT(ISBLANK($B1403)),VLOOKUP($B1403,AssetCategories!$A:$E,5,0),"")</f>
        <v/>
      </c>
      <c r="EH1403" t="str">
        <f>IF(NOT(ISBLANK($B1403)),VLOOKUP($B1403,AssetCategories!$A:$E,4,0),"")</f>
        <v/>
      </c>
      <c r="EM1403" t="str">
        <f>IF(NOT(ISBLANK($B1403)),VLOOKUP($B1403,AssetCategories!$A:$E,2,0),"")</f>
        <v/>
      </c>
      <c r="EN1403" t="str">
        <f>IF(NOT(ISBLANK($B1403)),VLOOKUP($B1403,AssetCategories!$A:$E,3,0),"")</f>
        <v/>
      </c>
      <c r="EP1403" s="33" t="str">
        <f t="shared" si="43"/>
        <v/>
      </c>
    </row>
    <row r="1404" spans="16:146" x14ac:dyDescent="0.25">
      <c r="P1404" s="33" t="str" cm="1">
        <f t="array" ref="P1404">IFERROR(SUM(VALUE(_xlfn.TEXTSPLIT(O1404, ";"))), "")</f>
        <v/>
      </c>
      <c r="DO1404" t="str">
        <f t="shared" si="42"/>
        <v/>
      </c>
      <c r="EG1404" s="33" t="str">
        <f>IF(NOT(ISBLANK($B1404)),VLOOKUP($B1404,AssetCategories!$A:$E,5,0),"")</f>
        <v/>
      </c>
      <c r="EH1404" t="str">
        <f>IF(NOT(ISBLANK($B1404)),VLOOKUP($B1404,AssetCategories!$A:$E,4,0),"")</f>
        <v/>
      </c>
      <c r="EM1404" t="str">
        <f>IF(NOT(ISBLANK($B1404)),VLOOKUP($B1404,AssetCategories!$A:$E,2,0),"")</f>
        <v/>
      </c>
      <c r="EN1404" t="str">
        <f>IF(NOT(ISBLANK($B1404)),VLOOKUP($B1404,AssetCategories!$A:$E,3,0),"")</f>
        <v/>
      </c>
      <c r="EP1404" s="33" t="str">
        <f t="shared" si="43"/>
        <v/>
      </c>
    </row>
    <row r="1405" spans="16:146" x14ac:dyDescent="0.25">
      <c r="P1405" s="33" t="str" cm="1">
        <f t="array" ref="P1405">IFERROR(SUM(VALUE(_xlfn.TEXTSPLIT(O1405, ";"))), "")</f>
        <v/>
      </c>
      <c r="DO1405" t="str">
        <f t="shared" si="42"/>
        <v/>
      </c>
      <c r="EG1405" s="33" t="str">
        <f>IF(NOT(ISBLANK($B1405)),VLOOKUP($B1405,AssetCategories!$A:$E,5,0),"")</f>
        <v/>
      </c>
      <c r="EH1405" t="str">
        <f>IF(NOT(ISBLANK($B1405)),VLOOKUP($B1405,AssetCategories!$A:$E,4,0),"")</f>
        <v/>
      </c>
      <c r="EM1405" t="str">
        <f>IF(NOT(ISBLANK($B1405)),VLOOKUP($B1405,AssetCategories!$A:$E,2,0),"")</f>
        <v/>
      </c>
      <c r="EN1405" t="str">
        <f>IF(NOT(ISBLANK($B1405)),VLOOKUP($B1405,AssetCategories!$A:$E,3,0),"")</f>
        <v/>
      </c>
      <c r="EP1405" s="33" t="str">
        <f t="shared" si="43"/>
        <v/>
      </c>
    </row>
    <row r="1406" spans="16:146" x14ac:dyDescent="0.25">
      <c r="P1406" s="33" t="str" cm="1">
        <f t="array" ref="P1406">IFERROR(SUM(VALUE(_xlfn.TEXTSPLIT(O1406, ";"))), "")</f>
        <v/>
      </c>
      <c r="DO1406" t="str">
        <f t="shared" si="42"/>
        <v/>
      </c>
      <c r="EG1406" s="33" t="str">
        <f>IF(NOT(ISBLANK($B1406)),VLOOKUP($B1406,AssetCategories!$A:$E,5,0),"")</f>
        <v/>
      </c>
      <c r="EH1406" t="str">
        <f>IF(NOT(ISBLANK($B1406)),VLOOKUP($B1406,AssetCategories!$A:$E,4,0),"")</f>
        <v/>
      </c>
      <c r="EM1406" t="str">
        <f>IF(NOT(ISBLANK($B1406)),VLOOKUP($B1406,AssetCategories!$A:$E,2,0),"")</f>
        <v/>
      </c>
      <c r="EN1406" t="str">
        <f>IF(NOT(ISBLANK($B1406)),VLOOKUP($B1406,AssetCategories!$A:$E,3,0),"")</f>
        <v/>
      </c>
      <c r="EP1406" s="33" t="str">
        <f t="shared" si="43"/>
        <v/>
      </c>
    </row>
    <row r="1407" spans="16:146" x14ac:dyDescent="0.25">
      <c r="P1407" s="33" t="str" cm="1">
        <f t="array" ref="P1407">IFERROR(SUM(VALUE(_xlfn.TEXTSPLIT(O1407, ";"))), "")</f>
        <v/>
      </c>
      <c r="DO1407" t="str">
        <f t="shared" si="42"/>
        <v/>
      </c>
      <c r="EG1407" s="33" t="str">
        <f>IF(NOT(ISBLANK($B1407)),VLOOKUP($B1407,AssetCategories!$A:$E,5,0),"")</f>
        <v/>
      </c>
      <c r="EH1407" t="str">
        <f>IF(NOT(ISBLANK($B1407)),VLOOKUP($B1407,AssetCategories!$A:$E,4,0),"")</f>
        <v/>
      </c>
      <c r="EM1407" t="str">
        <f>IF(NOT(ISBLANK($B1407)),VLOOKUP($B1407,AssetCategories!$A:$E,2,0),"")</f>
        <v/>
      </c>
      <c r="EN1407" t="str">
        <f>IF(NOT(ISBLANK($B1407)),VLOOKUP($B1407,AssetCategories!$A:$E,3,0),"")</f>
        <v/>
      </c>
      <c r="EP1407" s="33" t="str">
        <f t="shared" si="43"/>
        <v/>
      </c>
    </row>
    <row r="1408" spans="16:146" x14ac:dyDescent="0.25">
      <c r="P1408" s="33" t="str" cm="1">
        <f t="array" ref="P1408">IFERROR(SUM(VALUE(_xlfn.TEXTSPLIT(O1408, ";"))), "")</f>
        <v/>
      </c>
      <c r="DO1408" t="str">
        <f t="shared" si="42"/>
        <v/>
      </c>
      <c r="EG1408" s="33" t="str">
        <f>IF(NOT(ISBLANK($B1408)),VLOOKUP($B1408,AssetCategories!$A:$E,5,0),"")</f>
        <v/>
      </c>
      <c r="EH1408" t="str">
        <f>IF(NOT(ISBLANK($B1408)),VLOOKUP($B1408,AssetCategories!$A:$E,4,0),"")</f>
        <v/>
      </c>
      <c r="EM1408" t="str">
        <f>IF(NOT(ISBLANK($B1408)),VLOOKUP($B1408,AssetCategories!$A:$E,2,0),"")</f>
        <v/>
      </c>
      <c r="EN1408" t="str">
        <f>IF(NOT(ISBLANK($B1408)),VLOOKUP($B1408,AssetCategories!$A:$E,3,0),"")</f>
        <v/>
      </c>
      <c r="EP1408" s="33" t="str">
        <f t="shared" si="43"/>
        <v/>
      </c>
    </row>
    <row r="1409" spans="16:146" x14ac:dyDescent="0.25">
      <c r="P1409" s="33" t="str" cm="1">
        <f t="array" ref="P1409">IFERROR(SUM(VALUE(_xlfn.TEXTSPLIT(O1409, ";"))), "")</f>
        <v/>
      </c>
      <c r="DO1409" t="str">
        <f t="shared" si="42"/>
        <v/>
      </c>
      <c r="EG1409" s="33" t="str">
        <f>IF(NOT(ISBLANK($B1409)),VLOOKUP($B1409,AssetCategories!$A:$E,5,0),"")</f>
        <v/>
      </c>
      <c r="EH1409" t="str">
        <f>IF(NOT(ISBLANK($B1409)),VLOOKUP($B1409,AssetCategories!$A:$E,4,0),"")</f>
        <v/>
      </c>
      <c r="EM1409" t="str">
        <f>IF(NOT(ISBLANK($B1409)),VLOOKUP($B1409,AssetCategories!$A:$E,2,0),"")</f>
        <v/>
      </c>
      <c r="EN1409" t="str">
        <f>IF(NOT(ISBLANK($B1409)),VLOOKUP($B1409,AssetCategories!$A:$E,3,0),"")</f>
        <v/>
      </c>
      <c r="EP1409" s="33" t="str">
        <f t="shared" si="43"/>
        <v/>
      </c>
    </row>
    <row r="1410" spans="16:146" x14ac:dyDescent="0.25">
      <c r="P1410" s="33" t="str" cm="1">
        <f t="array" ref="P1410">IFERROR(SUM(VALUE(_xlfn.TEXTSPLIT(O1410, ";"))), "")</f>
        <v/>
      </c>
      <c r="DO1410" t="str">
        <f t="shared" si="42"/>
        <v/>
      </c>
      <c r="EG1410" s="33" t="str">
        <f>IF(NOT(ISBLANK($B1410)),VLOOKUP($B1410,AssetCategories!$A:$E,5,0),"")</f>
        <v/>
      </c>
      <c r="EH1410" t="str">
        <f>IF(NOT(ISBLANK($B1410)),VLOOKUP($B1410,AssetCategories!$A:$E,4,0),"")</f>
        <v/>
      </c>
      <c r="EM1410" t="str">
        <f>IF(NOT(ISBLANK($B1410)),VLOOKUP($B1410,AssetCategories!$A:$E,2,0),"")</f>
        <v/>
      </c>
      <c r="EN1410" t="str">
        <f>IF(NOT(ISBLANK($B1410)),VLOOKUP($B1410,AssetCategories!$A:$E,3,0),"")</f>
        <v/>
      </c>
      <c r="EP1410" s="33" t="str">
        <f t="shared" si="43"/>
        <v/>
      </c>
    </row>
    <row r="1411" spans="16:146" x14ac:dyDescent="0.25">
      <c r="P1411" s="33" t="str" cm="1">
        <f t="array" ref="P1411">IFERROR(SUM(VALUE(_xlfn.TEXTSPLIT(O1411, ";"))), "")</f>
        <v/>
      </c>
      <c r="DO1411" t="str">
        <f t="shared" si="42"/>
        <v/>
      </c>
      <c r="EG1411" s="33" t="str">
        <f>IF(NOT(ISBLANK($B1411)),VLOOKUP($B1411,AssetCategories!$A:$E,5,0),"")</f>
        <v/>
      </c>
      <c r="EH1411" t="str">
        <f>IF(NOT(ISBLANK($B1411)),VLOOKUP($B1411,AssetCategories!$A:$E,4,0),"")</f>
        <v/>
      </c>
      <c r="EM1411" t="str">
        <f>IF(NOT(ISBLANK($B1411)),VLOOKUP($B1411,AssetCategories!$A:$E,2,0),"")</f>
        <v/>
      </c>
      <c r="EN1411" t="str">
        <f>IF(NOT(ISBLANK($B1411)),VLOOKUP($B1411,AssetCategories!$A:$E,3,0),"")</f>
        <v/>
      </c>
      <c r="EP1411" s="33" t="str">
        <f t="shared" si="43"/>
        <v/>
      </c>
    </row>
    <row r="1412" spans="16:146" x14ac:dyDescent="0.25">
      <c r="P1412" s="33" t="str" cm="1">
        <f t="array" ref="P1412">IFERROR(SUM(VALUE(_xlfn.TEXTSPLIT(O1412, ";"))), "")</f>
        <v/>
      </c>
      <c r="DO1412" t="str">
        <f t="shared" si="42"/>
        <v/>
      </c>
      <c r="EG1412" s="33" t="str">
        <f>IF(NOT(ISBLANK($B1412)),VLOOKUP($B1412,AssetCategories!$A:$E,5,0),"")</f>
        <v/>
      </c>
      <c r="EH1412" t="str">
        <f>IF(NOT(ISBLANK($B1412)),VLOOKUP($B1412,AssetCategories!$A:$E,4,0),"")</f>
        <v/>
      </c>
      <c r="EM1412" t="str">
        <f>IF(NOT(ISBLANK($B1412)),VLOOKUP($B1412,AssetCategories!$A:$E,2,0),"")</f>
        <v/>
      </c>
      <c r="EN1412" t="str">
        <f>IF(NOT(ISBLANK($B1412)),VLOOKUP($B1412,AssetCategories!$A:$E,3,0),"")</f>
        <v/>
      </c>
      <c r="EP1412" s="33" t="str">
        <f t="shared" si="43"/>
        <v/>
      </c>
    </row>
    <row r="1413" spans="16:146" x14ac:dyDescent="0.25">
      <c r="P1413" s="33" t="str" cm="1">
        <f t="array" ref="P1413">IFERROR(SUM(VALUE(_xlfn.TEXTSPLIT(O1413, ";"))), "")</f>
        <v/>
      </c>
      <c r="DO1413" t="str">
        <f t="shared" ref="DO1413:DO1476" si="44">IF(SUM(DE1413:DN1413)=0, "", SUM(DE1413:DN1413))</f>
        <v/>
      </c>
      <c r="EG1413" s="33" t="str">
        <f>IF(NOT(ISBLANK($B1413)),VLOOKUP($B1413,AssetCategories!$A:$E,5,0),"")</f>
        <v/>
      </c>
      <c r="EH1413" t="str">
        <f>IF(NOT(ISBLANK($B1413)),VLOOKUP($B1413,AssetCategories!$A:$E,4,0),"")</f>
        <v/>
      </c>
      <c r="EM1413" t="str">
        <f>IF(NOT(ISBLANK($B1413)),VLOOKUP($B1413,AssetCategories!$A:$E,2,0),"")</f>
        <v/>
      </c>
      <c r="EN1413" t="str">
        <f>IF(NOT(ISBLANK($B1413)),VLOOKUP($B1413,AssetCategories!$A:$E,3,0),"")</f>
        <v/>
      </c>
      <c r="EP1413" s="33" t="str">
        <f t="shared" ref="EP1413:EP1476" si="45">IFERROR(P1413-EO1413, "")</f>
        <v/>
      </c>
    </row>
    <row r="1414" spans="16:146" x14ac:dyDescent="0.25">
      <c r="P1414" s="33" t="str" cm="1">
        <f t="array" ref="P1414">IFERROR(SUM(VALUE(_xlfn.TEXTSPLIT(O1414, ";"))), "")</f>
        <v/>
      </c>
      <c r="DO1414" t="str">
        <f t="shared" si="44"/>
        <v/>
      </c>
      <c r="EG1414" s="33" t="str">
        <f>IF(NOT(ISBLANK($B1414)),VLOOKUP($B1414,AssetCategories!$A:$E,5,0),"")</f>
        <v/>
      </c>
      <c r="EH1414" t="str">
        <f>IF(NOT(ISBLANK($B1414)),VLOOKUP($B1414,AssetCategories!$A:$E,4,0),"")</f>
        <v/>
      </c>
      <c r="EM1414" t="str">
        <f>IF(NOT(ISBLANK($B1414)),VLOOKUP($B1414,AssetCategories!$A:$E,2,0),"")</f>
        <v/>
      </c>
      <c r="EN1414" t="str">
        <f>IF(NOT(ISBLANK($B1414)),VLOOKUP($B1414,AssetCategories!$A:$E,3,0),"")</f>
        <v/>
      </c>
      <c r="EP1414" s="33" t="str">
        <f t="shared" si="45"/>
        <v/>
      </c>
    </row>
    <row r="1415" spans="16:146" x14ac:dyDescent="0.25">
      <c r="P1415" s="33" t="str" cm="1">
        <f t="array" ref="P1415">IFERROR(SUM(VALUE(_xlfn.TEXTSPLIT(O1415, ";"))), "")</f>
        <v/>
      </c>
      <c r="DO1415" t="str">
        <f t="shared" si="44"/>
        <v/>
      </c>
      <c r="EG1415" s="33" t="str">
        <f>IF(NOT(ISBLANK($B1415)),VLOOKUP($B1415,AssetCategories!$A:$E,5,0),"")</f>
        <v/>
      </c>
      <c r="EH1415" t="str">
        <f>IF(NOT(ISBLANK($B1415)),VLOOKUP($B1415,AssetCategories!$A:$E,4,0),"")</f>
        <v/>
      </c>
      <c r="EM1415" t="str">
        <f>IF(NOT(ISBLANK($B1415)),VLOOKUP($B1415,AssetCategories!$A:$E,2,0),"")</f>
        <v/>
      </c>
      <c r="EN1415" t="str">
        <f>IF(NOT(ISBLANK($B1415)),VLOOKUP($B1415,AssetCategories!$A:$E,3,0),"")</f>
        <v/>
      </c>
      <c r="EP1415" s="33" t="str">
        <f t="shared" si="45"/>
        <v/>
      </c>
    </row>
    <row r="1416" spans="16:146" x14ac:dyDescent="0.25">
      <c r="P1416" s="33" t="str" cm="1">
        <f t="array" ref="P1416">IFERROR(SUM(VALUE(_xlfn.TEXTSPLIT(O1416, ";"))), "")</f>
        <v/>
      </c>
      <c r="DO1416" t="str">
        <f t="shared" si="44"/>
        <v/>
      </c>
      <c r="EG1416" s="33" t="str">
        <f>IF(NOT(ISBLANK($B1416)),VLOOKUP($B1416,AssetCategories!$A:$E,5,0),"")</f>
        <v/>
      </c>
      <c r="EH1416" t="str">
        <f>IF(NOT(ISBLANK($B1416)),VLOOKUP($B1416,AssetCategories!$A:$E,4,0),"")</f>
        <v/>
      </c>
      <c r="EM1416" t="str">
        <f>IF(NOT(ISBLANK($B1416)),VLOOKUP($B1416,AssetCategories!$A:$E,2,0),"")</f>
        <v/>
      </c>
      <c r="EN1416" t="str">
        <f>IF(NOT(ISBLANK($B1416)),VLOOKUP($B1416,AssetCategories!$A:$E,3,0),"")</f>
        <v/>
      </c>
      <c r="EP1416" s="33" t="str">
        <f t="shared" si="45"/>
        <v/>
      </c>
    </row>
    <row r="1417" spans="16:146" x14ac:dyDescent="0.25">
      <c r="P1417" s="33" t="str" cm="1">
        <f t="array" ref="P1417">IFERROR(SUM(VALUE(_xlfn.TEXTSPLIT(O1417, ";"))), "")</f>
        <v/>
      </c>
      <c r="DO1417" t="str">
        <f t="shared" si="44"/>
        <v/>
      </c>
      <c r="EG1417" s="33" t="str">
        <f>IF(NOT(ISBLANK($B1417)),VLOOKUP($B1417,AssetCategories!$A:$E,5,0),"")</f>
        <v/>
      </c>
      <c r="EH1417" t="str">
        <f>IF(NOT(ISBLANK($B1417)),VLOOKUP($B1417,AssetCategories!$A:$E,4,0),"")</f>
        <v/>
      </c>
      <c r="EM1417" t="str">
        <f>IF(NOT(ISBLANK($B1417)),VLOOKUP($B1417,AssetCategories!$A:$E,2,0),"")</f>
        <v/>
      </c>
      <c r="EN1417" t="str">
        <f>IF(NOT(ISBLANK($B1417)),VLOOKUP($B1417,AssetCategories!$A:$E,3,0),"")</f>
        <v/>
      </c>
      <c r="EP1417" s="33" t="str">
        <f t="shared" si="45"/>
        <v/>
      </c>
    </row>
    <row r="1418" spans="16:146" x14ac:dyDescent="0.25">
      <c r="P1418" s="33" t="str" cm="1">
        <f t="array" ref="P1418">IFERROR(SUM(VALUE(_xlfn.TEXTSPLIT(O1418, ";"))), "")</f>
        <v/>
      </c>
      <c r="DO1418" t="str">
        <f t="shared" si="44"/>
        <v/>
      </c>
      <c r="EG1418" s="33" t="str">
        <f>IF(NOT(ISBLANK($B1418)),VLOOKUP($B1418,AssetCategories!$A:$E,5,0),"")</f>
        <v/>
      </c>
      <c r="EH1418" t="str">
        <f>IF(NOT(ISBLANK($B1418)),VLOOKUP($B1418,AssetCategories!$A:$E,4,0),"")</f>
        <v/>
      </c>
      <c r="EM1418" t="str">
        <f>IF(NOT(ISBLANK($B1418)),VLOOKUP($B1418,AssetCategories!$A:$E,2,0),"")</f>
        <v/>
      </c>
      <c r="EN1418" t="str">
        <f>IF(NOT(ISBLANK($B1418)),VLOOKUP($B1418,AssetCategories!$A:$E,3,0),"")</f>
        <v/>
      </c>
      <c r="EP1418" s="33" t="str">
        <f t="shared" si="45"/>
        <v/>
      </c>
    </row>
    <row r="1419" spans="16:146" x14ac:dyDescent="0.25">
      <c r="P1419" s="33" t="str" cm="1">
        <f t="array" ref="P1419">IFERROR(SUM(VALUE(_xlfn.TEXTSPLIT(O1419, ";"))), "")</f>
        <v/>
      </c>
      <c r="DO1419" t="str">
        <f t="shared" si="44"/>
        <v/>
      </c>
      <c r="EG1419" s="33" t="str">
        <f>IF(NOT(ISBLANK($B1419)),VLOOKUP($B1419,AssetCategories!$A:$E,5,0),"")</f>
        <v/>
      </c>
      <c r="EH1419" t="str">
        <f>IF(NOT(ISBLANK($B1419)),VLOOKUP($B1419,AssetCategories!$A:$E,4,0),"")</f>
        <v/>
      </c>
      <c r="EM1419" t="str">
        <f>IF(NOT(ISBLANK($B1419)),VLOOKUP($B1419,AssetCategories!$A:$E,2,0),"")</f>
        <v/>
      </c>
      <c r="EN1419" t="str">
        <f>IF(NOT(ISBLANK($B1419)),VLOOKUP($B1419,AssetCategories!$A:$E,3,0),"")</f>
        <v/>
      </c>
      <c r="EP1419" s="33" t="str">
        <f t="shared" si="45"/>
        <v/>
      </c>
    </row>
    <row r="1420" spans="16:146" x14ac:dyDescent="0.25">
      <c r="P1420" s="33" t="str" cm="1">
        <f t="array" ref="P1420">IFERROR(SUM(VALUE(_xlfn.TEXTSPLIT(O1420, ";"))), "")</f>
        <v/>
      </c>
      <c r="DO1420" t="str">
        <f t="shared" si="44"/>
        <v/>
      </c>
      <c r="EG1420" s="33" t="str">
        <f>IF(NOT(ISBLANK($B1420)),VLOOKUP($B1420,AssetCategories!$A:$E,5,0),"")</f>
        <v/>
      </c>
      <c r="EH1420" t="str">
        <f>IF(NOT(ISBLANK($B1420)),VLOOKUP($B1420,AssetCategories!$A:$E,4,0),"")</f>
        <v/>
      </c>
      <c r="EM1420" t="str">
        <f>IF(NOT(ISBLANK($B1420)),VLOOKUP($B1420,AssetCategories!$A:$E,2,0),"")</f>
        <v/>
      </c>
      <c r="EN1420" t="str">
        <f>IF(NOT(ISBLANK($B1420)),VLOOKUP($B1420,AssetCategories!$A:$E,3,0),"")</f>
        <v/>
      </c>
      <c r="EP1420" s="33" t="str">
        <f t="shared" si="45"/>
        <v/>
      </c>
    </row>
    <row r="1421" spans="16:146" x14ac:dyDescent="0.25">
      <c r="P1421" s="33" t="str" cm="1">
        <f t="array" ref="P1421">IFERROR(SUM(VALUE(_xlfn.TEXTSPLIT(O1421, ";"))), "")</f>
        <v/>
      </c>
      <c r="DO1421" t="str">
        <f t="shared" si="44"/>
        <v/>
      </c>
      <c r="EG1421" s="33" t="str">
        <f>IF(NOT(ISBLANK($B1421)),VLOOKUP($B1421,AssetCategories!$A:$E,5,0),"")</f>
        <v/>
      </c>
      <c r="EH1421" t="str">
        <f>IF(NOT(ISBLANK($B1421)),VLOOKUP($B1421,AssetCategories!$A:$E,4,0),"")</f>
        <v/>
      </c>
      <c r="EM1421" t="str">
        <f>IF(NOT(ISBLANK($B1421)),VLOOKUP($B1421,AssetCategories!$A:$E,2,0),"")</f>
        <v/>
      </c>
      <c r="EN1421" t="str">
        <f>IF(NOT(ISBLANK($B1421)),VLOOKUP($B1421,AssetCategories!$A:$E,3,0),"")</f>
        <v/>
      </c>
      <c r="EP1421" s="33" t="str">
        <f t="shared" si="45"/>
        <v/>
      </c>
    </row>
    <row r="1422" spans="16:146" x14ac:dyDescent="0.25">
      <c r="P1422" s="33" t="str" cm="1">
        <f t="array" ref="P1422">IFERROR(SUM(VALUE(_xlfn.TEXTSPLIT(O1422, ";"))), "")</f>
        <v/>
      </c>
      <c r="DO1422" t="str">
        <f t="shared" si="44"/>
        <v/>
      </c>
      <c r="EG1422" s="33" t="str">
        <f>IF(NOT(ISBLANK($B1422)),VLOOKUP($B1422,AssetCategories!$A:$E,5,0),"")</f>
        <v/>
      </c>
      <c r="EH1422" t="str">
        <f>IF(NOT(ISBLANK($B1422)),VLOOKUP($B1422,AssetCategories!$A:$E,4,0),"")</f>
        <v/>
      </c>
      <c r="EM1422" t="str">
        <f>IF(NOT(ISBLANK($B1422)),VLOOKUP($B1422,AssetCategories!$A:$E,2,0),"")</f>
        <v/>
      </c>
      <c r="EN1422" t="str">
        <f>IF(NOT(ISBLANK($B1422)),VLOOKUP($B1422,AssetCategories!$A:$E,3,0),"")</f>
        <v/>
      </c>
      <c r="EP1422" s="33" t="str">
        <f t="shared" si="45"/>
        <v/>
      </c>
    </row>
    <row r="1423" spans="16:146" x14ac:dyDescent="0.25">
      <c r="P1423" s="33" t="str" cm="1">
        <f t="array" ref="P1423">IFERROR(SUM(VALUE(_xlfn.TEXTSPLIT(O1423, ";"))), "")</f>
        <v/>
      </c>
      <c r="DO1423" t="str">
        <f t="shared" si="44"/>
        <v/>
      </c>
      <c r="EG1423" s="33" t="str">
        <f>IF(NOT(ISBLANK($B1423)),VLOOKUP($B1423,AssetCategories!$A:$E,5,0),"")</f>
        <v/>
      </c>
      <c r="EH1423" t="str">
        <f>IF(NOT(ISBLANK($B1423)),VLOOKUP($B1423,AssetCategories!$A:$E,4,0),"")</f>
        <v/>
      </c>
      <c r="EM1423" t="str">
        <f>IF(NOT(ISBLANK($B1423)),VLOOKUP($B1423,AssetCategories!$A:$E,2,0),"")</f>
        <v/>
      </c>
      <c r="EN1423" t="str">
        <f>IF(NOT(ISBLANK($B1423)),VLOOKUP($B1423,AssetCategories!$A:$E,3,0),"")</f>
        <v/>
      </c>
      <c r="EP1423" s="33" t="str">
        <f t="shared" si="45"/>
        <v/>
      </c>
    </row>
    <row r="1424" spans="16:146" x14ac:dyDescent="0.25">
      <c r="P1424" s="33" t="str" cm="1">
        <f t="array" ref="P1424">IFERROR(SUM(VALUE(_xlfn.TEXTSPLIT(O1424, ";"))), "")</f>
        <v/>
      </c>
      <c r="DO1424" t="str">
        <f t="shared" si="44"/>
        <v/>
      </c>
      <c r="EG1424" s="33" t="str">
        <f>IF(NOT(ISBLANK($B1424)),VLOOKUP($B1424,AssetCategories!$A:$E,5,0),"")</f>
        <v/>
      </c>
      <c r="EH1424" t="str">
        <f>IF(NOT(ISBLANK($B1424)),VLOOKUP($B1424,AssetCategories!$A:$E,4,0),"")</f>
        <v/>
      </c>
      <c r="EM1424" t="str">
        <f>IF(NOT(ISBLANK($B1424)),VLOOKUP($B1424,AssetCategories!$A:$E,2,0),"")</f>
        <v/>
      </c>
      <c r="EN1424" t="str">
        <f>IF(NOT(ISBLANK($B1424)),VLOOKUP($B1424,AssetCategories!$A:$E,3,0),"")</f>
        <v/>
      </c>
      <c r="EP1424" s="33" t="str">
        <f t="shared" si="45"/>
        <v/>
      </c>
    </row>
    <row r="1425" spans="16:146" x14ac:dyDescent="0.25">
      <c r="P1425" s="33" t="str" cm="1">
        <f t="array" ref="P1425">IFERROR(SUM(VALUE(_xlfn.TEXTSPLIT(O1425, ";"))), "")</f>
        <v/>
      </c>
      <c r="DO1425" t="str">
        <f t="shared" si="44"/>
        <v/>
      </c>
      <c r="EG1425" s="33" t="str">
        <f>IF(NOT(ISBLANK($B1425)),VLOOKUP($B1425,AssetCategories!$A:$E,5,0),"")</f>
        <v/>
      </c>
      <c r="EH1425" t="str">
        <f>IF(NOT(ISBLANK($B1425)),VLOOKUP($B1425,AssetCategories!$A:$E,4,0),"")</f>
        <v/>
      </c>
      <c r="EM1425" t="str">
        <f>IF(NOT(ISBLANK($B1425)),VLOOKUP($B1425,AssetCategories!$A:$E,2,0),"")</f>
        <v/>
      </c>
      <c r="EN1425" t="str">
        <f>IF(NOT(ISBLANK($B1425)),VLOOKUP($B1425,AssetCategories!$A:$E,3,0),"")</f>
        <v/>
      </c>
      <c r="EP1425" s="33" t="str">
        <f t="shared" si="45"/>
        <v/>
      </c>
    </row>
    <row r="1426" spans="16:146" x14ac:dyDescent="0.25">
      <c r="P1426" s="33" t="str" cm="1">
        <f t="array" ref="P1426">IFERROR(SUM(VALUE(_xlfn.TEXTSPLIT(O1426, ";"))), "")</f>
        <v/>
      </c>
      <c r="DO1426" t="str">
        <f t="shared" si="44"/>
        <v/>
      </c>
      <c r="EG1426" s="33" t="str">
        <f>IF(NOT(ISBLANK($B1426)),VLOOKUP($B1426,AssetCategories!$A:$E,5,0),"")</f>
        <v/>
      </c>
      <c r="EH1426" t="str">
        <f>IF(NOT(ISBLANK($B1426)),VLOOKUP($B1426,AssetCategories!$A:$E,4,0),"")</f>
        <v/>
      </c>
      <c r="EM1426" t="str">
        <f>IF(NOT(ISBLANK($B1426)),VLOOKUP($B1426,AssetCategories!$A:$E,2,0),"")</f>
        <v/>
      </c>
      <c r="EN1426" t="str">
        <f>IF(NOT(ISBLANK($B1426)),VLOOKUP($B1426,AssetCategories!$A:$E,3,0),"")</f>
        <v/>
      </c>
      <c r="EP1426" s="33" t="str">
        <f t="shared" si="45"/>
        <v/>
      </c>
    </row>
    <row r="1427" spans="16:146" x14ac:dyDescent="0.25">
      <c r="P1427" s="33" t="str" cm="1">
        <f t="array" ref="P1427">IFERROR(SUM(VALUE(_xlfn.TEXTSPLIT(O1427, ";"))), "")</f>
        <v/>
      </c>
      <c r="DO1427" t="str">
        <f t="shared" si="44"/>
        <v/>
      </c>
      <c r="EG1427" s="33" t="str">
        <f>IF(NOT(ISBLANK($B1427)),VLOOKUP($B1427,AssetCategories!$A:$E,5,0),"")</f>
        <v/>
      </c>
      <c r="EH1427" t="str">
        <f>IF(NOT(ISBLANK($B1427)),VLOOKUP($B1427,AssetCategories!$A:$E,4,0),"")</f>
        <v/>
      </c>
      <c r="EM1427" t="str">
        <f>IF(NOT(ISBLANK($B1427)),VLOOKUP($B1427,AssetCategories!$A:$E,2,0),"")</f>
        <v/>
      </c>
      <c r="EN1427" t="str">
        <f>IF(NOT(ISBLANK($B1427)),VLOOKUP($B1427,AssetCategories!$A:$E,3,0),"")</f>
        <v/>
      </c>
      <c r="EP1427" s="33" t="str">
        <f t="shared" si="45"/>
        <v/>
      </c>
    </row>
    <row r="1428" spans="16:146" x14ac:dyDescent="0.25">
      <c r="P1428" s="33" t="str" cm="1">
        <f t="array" ref="P1428">IFERROR(SUM(VALUE(_xlfn.TEXTSPLIT(O1428, ";"))), "")</f>
        <v/>
      </c>
      <c r="DO1428" t="str">
        <f t="shared" si="44"/>
        <v/>
      </c>
      <c r="EG1428" s="33" t="str">
        <f>IF(NOT(ISBLANK($B1428)),VLOOKUP($B1428,AssetCategories!$A:$E,5,0),"")</f>
        <v/>
      </c>
      <c r="EH1428" t="str">
        <f>IF(NOT(ISBLANK($B1428)),VLOOKUP($B1428,AssetCategories!$A:$E,4,0),"")</f>
        <v/>
      </c>
      <c r="EM1428" t="str">
        <f>IF(NOT(ISBLANK($B1428)),VLOOKUP($B1428,AssetCategories!$A:$E,2,0),"")</f>
        <v/>
      </c>
      <c r="EN1428" t="str">
        <f>IF(NOT(ISBLANK($B1428)),VLOOKUP($B1428,AssetCategories!$A:$E,3,0),"")</f>
        <v/>
      </c>
      <c r="EP1428" s="33" t="str">
        <f t="shared" si="45"/>
        <v/>
      </c>
    </row>
    <row r="1429" spans="16:146" x14ac:dyDescent="0.25">
      <c r="P1429" s="33" t="str" cm="1">
        <f t="array" ref="P1429">IFERROR(SUM(VALUE(_xlfn.TEXTSPLIT(O1429, ";"))), "")</f>
        <v/>
      </c>
      <c r="DO1429" t="str">
        <f t="shared" si="44"/>
        <v/>
      </c>
      <c r="EG1429" s="33" t="str">
        <f>IF(NOT(ISBLANK($B1429)),VLOOKUP($B1429,AssetCategories!$A:$E,5,0),"")</f>
        <v/>
      </c>
      <c r="EH1429" t="str">
        <f>IF(NOT(ISBLANK($B1429)),VLOOKUP($B1429,AssetCategories!$A:$E,4,0),"")</f>
        <v/>
      </c>
      <c r="EM1429" t="str">
        <f>IF(NOT(ISBLANK($B1429)),VLOOKUP($B1429,AssetCategories!$A:$E,2,0),"")</f>
        <v/>
      </c>
      <c r="EN1429" t="str">
        <f>IF(NOT(ISBLANK($B1429)),VLOOKUP($B1429,AssetCategories!$A:$E,3,0),"")</f>
        <v/>
      </c>
      <c r="EP1429" s="33" t="str">
        <f t="shared" si="45"/>
        <v/>
      </c>
    </row>
    <row r="1430" spans="16:146" x14ac:dyDescent="0.25">
      <c r="P1430" s="33" t="str" cm="1">
        <f t="array" ref="P1430">IFERROR(SUM(VALUE(_xlfn.TEXTSPLIT(O1430, ";"))), "")</f>
        <v/>
      </c>
      <c r="DO1430" t="str">
        <f t="shared" si="44"/>
        <v/>
      </c>
      <c r="EG1430" s="33" t="str">
        <f>IF(NOT(ISBLANK($B1430)),VLOOKUP($B1430,AssetCategories!$A:$E,5,0),"")</f>
        <v/>
      </c>
      <c r="EH1430" t="str">
        <f>IF(NOT(ISBLANK($B1430)),VLOOKUP($B1430,AssetCategories!$A:$E,4,0),"")</f>
        <v/>
      </c>
      <c r="EM1430" t="str">
        <f>IF(NOT(ISBLANK($B1430)),VLOOKUP($B1430,AssetCategories!$A:$E,2,0),"")</f>
        <v/>
      </c>
      <c r="EN1430" t="str">
        <f>IF(NOT(ISBLANK($B1430)),VLOOKUP($B1430,AssetCategories!$A:$E,3,0),"")</f>
        <v/>
      </c>
      <c r="EP1430" s="33" t="str">
        <f t="shared" si="45"/>
        <v/>
      </c>
    </row>
    <row r="1431" spans="16:146" x14ac:dyDescent="0.25">
      <c r="P1431" s="33" t="str" cm="1">
        <f t="array" ref="P1431">IFERROR(SUM(VALUE(_xlfn.TEXTSPLIT(O1431, ";"))), "")</f>
        <v/>
      </c>
      <c r="DO1431" t="str">
        <f t="shared" si="44"/>
        <v/>
      </c>
      <c r="EG1431" s="33" t="str">
        <f>IF(NOT(ISBLANK($B1431)),VLOOKUP($B1431,AssetCategories!$A:$E,5,0),"")</f>
        <v/>
      </c>
      <c r="EH1431" t="str">
        <f>IF(NOT(ISBLANK($B1431)),VLOOKUP($B1431,AssetCategories!$A:$E,4,0),"")</f>
        <v/>
      </c>
      <c r="EM1431" t="str">
        <f>IF(NOT(ISBLANK($B1431)),VLOOKUP($B1431,AssetCategories!$A:$E,2,0),"")</f>
        <v/>
      </c>
      <c r="EN1431" t="str">
        <f>IF(NOT(ISBLANK($B1431)),VLOOKUP($B1431,AssetCategories!$A:$E,3,0),"")</f>
        <v/>
      </c>
      <c r="EP1431" s="33" t="str">
        <f t="shared" si="45"/>
        <v/>
      </c>
    </row>
    <row r="1432" spans="16:146" x14ac:dyDescent="0.25">
      <c r="P1432" s="33" t="str" cm="1">
        <f t="array" ref="P1432">IFERROR(SUM(VALUE(_xlfn.TEXTSPLIT(O1432, ";"))), "")</f>
        <v/>
      </c>
      <c r="DO1432" t="str">
        <f t="shared" si="44"/>
        <v/>
      </c>
      <c r="EG1432" s="33" t="str">
        <f>IF(NOT(ISBLANK($B1432)),VLOOKUP($B1432,AssetCategories!$A:$E,5,0),"")</f>
        <v/>
      </c>
      <c r="EH1432" t="str">
        <f>IF(NOT(ISBLANK($B1432)),VLOOKUP($B1432,AssetCategories!$A:$E,4,0),"")</f>
        <v/>
      </c>
      <c r="EM1432" t="str">
        <f>IF(NOT(ISBLANK($B1432)),VLOOKUP($B1432,AssetCategories!$A:$E,2,0),"")</f>
        <v/>
      </c>
      <c r="EN1432" t="str">
        <f>IF(NOT(ISBLANK($B1432)),VLOOKUP($B1432,AssetCategories!$A:$E,3,0),"")</f>
        <v/>
      </c>
      <c r="EP1432" s="33" t="str">
        <f t="shared" si="45"/>
        <v/>
      </c>
    </row>
    <row r="1433" spans="16:146" x14ac:dyDescent="0.25">
      <c r="P1433" s="33" t="str" cm="1">
        <f t="array" ref="P1433">IFERROR(SUM(VALUE(_xlfn.TEXTSPLIT(O1433, ";"))), "")</f>
        <v/>
      </c>
      <c r="DO1433" t="str">
        <f t="shared" si="44"/>
        <v/>
      </c>
      <c r="EG1433" s="33" t="str">
        <f>IF(NOT(ISBLANK($B1433)),VLOOKUP($B1433,AssetCategories!$A:$E,5,0),"")</f>
        <v/>
      </c>
      <c r="EH1433" t="str">
        <f>IF(NOT(ISBLANK($B1433)),VLOOKUP($B1433,AssetCategories!$A:$E,4,0),"")</f>
        <v/>
      </c>
      <c r="EM1433" t="str">
        <f>IF(NOT(ISBLANK($B1433)),VLOOKUP($B1433,AssetCategories!$A:$E,2,0),"")</f>
        <v/>
      </c>
      <c r="EN1433" t="str">
        <f>IF(NOT(ISBLANK($B1433)),VLOOKUP($B1433,AssetCategories!$A:$E,3,0),"")</f>
        <v/>
      </c>
      <c r="EP1433" s="33" t="str">
        <f t="shared" si="45"/>
        <v/>
      </c>
    </row>
    <row r="1434" spans="16:146" x14ac:dyDescent="0.25">
      <c r="P1434" s="33" t="str" cm="1">
        <f t="array" ref="P1434">IFERROR(SUM(VALUE(_xlfn.TEXTSPLIT(O1434, ";"))), "")</f>
        <v/>
      </c>
      <c r="DO1434" t="str">
        <f t="shared" si="44"/>
        <v/>
      </c>
      <c r="EG1434" s="33" t="str">
        <f>IF(NOT(ISBLANK($B1434)),VLOOKUP($B1434,AssetCategories!$A:$E,5,0),"")</f>
        <v/>
      </c>
      <c r="EH1434" t="str">
        <f>IF(NOT(ISBLANK($B1434)),VLOOKUP($B1434,AssetCategories!$A:$E,4,0),"")</f>
        <v/>
      </c>
      <c r="EM1434" t="str">
        <f>IF(NOT(ISBLANK($B1434)),VLOOKUP($B1434,AssetCategories!$A:$E,2,0),"")</f>
        <v/>
      </c>
      <c r="EN1434" t="str">
        <f>IF(NOT(ISBLANK($B1434)),VLOOKUP($B1434,AssetCategories!$A:$E,3,0),"")</f>
        <v/>
      </c>
      <c r="EP1434" s="33" t="str">
        <f t="shared" si="45"/>
        <v/>
      </c>
    </row>
    <row r="1435" spans="16:146" x14ac:dyDescent="0.25">
      <c r="P1435" s="33" t="str" cm="1">
        <f t="array" ref="P1435">IFERROR(SUM(VALUE(_xlfn.TEXTSPLIT(O1435, ";"))), "")</f>
        <v/>
      </c>
      <c r="DO1435" t="str">
        <f t="shared" si="44"/>
        <v/>
      </c>
      <c r="EG1435" s="33" t="str">
        <f>IF(NOT(ISBLANK($B1435)),VLOOKUP($B1435,AssetCategories!$A:$E,5,0),"")</f>
        <v/>
      </c>
      <c r="EH1435" t="str">
        <f>IF(NOT(ISBLANK($B1435)),VLOOKUP($B1435,AssetCategories!$A:$E,4,0),"")</f>
        <v/>
      </c>
      <c r="EM1435" t="str">
        <f>IF(NOT(ISBLANK($B1435)),VLOOKUP($B1435,AssetCategories!$A:$E,2,0),"")</f>
        <v/>
      </c>
      <c r="EN1435" t="str">
        <f>IF(NOT(ISBLANK($B1435)),VLOOKUP($B1435,AssetCategories!$A:$E,3,0),"")</f>
        <v/>
      </c>
      <c r="EP1435" s="33" t="str">
        <f t="shared" si="45"/>
        <v/>
      </c>
    </row>
    <row r="1436" spans="16:146" x14ac:dyDescent="0.25">
      <c r="P1436" s="33" t="str" cm="1">
        <f t="array" ref="P1436">IFERROR(SUM(VALUE(_xlfn.TEXTSPLIT(O1436, ";"))), "")</f>
        <v/>
      </c>
      <c r="DO1436" t="str">
        <f t="shared" si="44"/>
        <v/>
      </c>
      <c r="EG1436" s="33" t="str">
        <f>IF(NOT(ISBLANK($B1436)),VLOOKUP($B1436,AssetCategories!$A:$E,5,0),"")</f>
        <v/>
      </c>
      <c r="EH1436" t="str">
        <f>IF(NOT(ISBLANK($B1436)),VLOOKUP($B1436,AssetCategories!$A:$E,4,0),"")</f>
        <v/>
      </c>
      <c r="EM1436" t="str">
        <f>IF(NOT(ISBLANK($B1436)),VLOOKUP($B1436,AssetCategories!$A:$E,2,0),"")</f>
        <v/>
      </c>
      <c r="EN1436" t="str">
        <f>IF(NOT(ISBLANK($B1436)),VLOOKUP($B1436,AssetCategories!$A:$E,3,0),"")</f>
        <v/>
      </c>
      <c r="EP1436" s="33" t="str">
        <f t="shared" si="45"/>
        <v/>
      </c>
    </row>
    <row r="1437" spans="16:146" x14ac:dyDescent="0.25">
      <c r="P1437" s="33" t="str" cm="1">
        <f t="array" ref="P1437">IFERROR(SUM(VALUE(_xlfn.TEXTSPLIT(O1437, ";"))), "")</f>
        <v/>
      </c>
      <c r="DO1437" t="str">
        <f t="shared" si="44"/>
        <v/>
      </c>
      <c r="EG1437" s="33" t="str">
        <f>IF(NOT(ISBLANK($B1437)),VLOOKUP($B1437,AssetCategories!$A:$E,5,0),"")</f>
        <v/>
      </c>
      <c r="EH1437" t="str">
        <f>IF(NOT(ISBLANK($B1437)),VLOOKUP($B1437,AssetCategories!$A:$E,4,0),"")</f>
        <v/>
      </c>
      <c r="EM1437" t="str">
        <f>IF(NOT(ISBLANK($B1437)),VLOOKUP($B1437,AssetCategories!$A:$E,2,0),"")</f>
        <v/>
      </c>
      <c r="EN1437" t="str">
        <f>IF(NOT(ISBLANK($B1437)),VLOOKUP($B1437,AssetCategories!$A:$E,3,0),"")</f>
        <v/>
      </c>
      <c r="EP1437" s="33" t="str">
        <f t="shared" si="45"/>
        <v/>
      </c>
    </row>
    <row r="1438" spans="16:146" x14ac:dyDescent="0.25">
      <c r="P1438" s="33" t="str" cm="1">
        <f t="array" ref="P1438">IFERROR(SUM(VALUE(_xlfn.TEXTSPLIT(O1438, ";"))), "")</f>
        <v/>
      </c>
      <c r="DO1438" t="str">
        <f t="shared" si="44"/>
        <v/>
      </c>
      <c r="EG1438" s="33" t="str">
        <f>IF(NOT(ISBLANK($B1438)),VLOOKUP($B1438,AssetCategories!$A:$E,5,0),"")</f>
        <v/>
      </c>
      <c r="EH1438" t="str">
        <f>IF(NOT(ISBLANK($B1438)),VLOOKUP($B1438,AssetCategories!$A:$E,4,0),"")</f>
        <v/>
      </c>
      <c r="EM1438" t="str">
        <f>IF(NOT(ISBLANK($B1438)),VLOOKUP($B1438,AssetCategories!$A:$E,2,0),"")</f>
        <v/>
      </c>
      <c r="EN1438" t="str">
        <f>IF(NOT(ISBLANK($B1438)),VLOOKUP($B1438,AssetCategories!$A:$E,3,0),"")</f>
        <v/>
      </c>
      <c r="EP1438" s="33" t="str">
        <f t="shared" si="45"/>
        <v/>
      </c>
    </row>
    <row r="1439" spans="16:146" x14ac:dyDescent="0.25">
      <c r="P1439" s="33" t="str" cm="1">
        <f t="array" ref="P1439">IFERROR(SUM(VALUE(_xlfn.TEXTSPLIT(O1439, ";"))), "")</f>
        <v/>
      </c>
      <c r="DO1439" t="str">
        <f t="shared" si="44"/>
        <v/>
      </c>
      <c r="EG1439" s="33" t="str">
        <f>IF(NOT(ISBLANK($B1439)),VLOOKUP($B1439,AssetCategories!$A:$E,5,0),"")</f>
        <v/>
      </c>
      <c r="EH1439" t="str">
        <f>IF(NOT(ISBLANK($B1439)),VLOOKUP($B1439,AssetCategories!$A:$E,4,0),"")</f>
        <v/>
      </c>
      <c r="EM1439" t="str">
        <f>IF(NOT(ISBLANK($B1439)),VLOOKUP($B1439,AssetCategories!$A:$E,2,0),"")</f>
        <v/>
      </c>
      <c r="EN1439" t="str">
        <f>IF(NOT(ISBLANK($B1439)),VLOOKUP($B1439,AssetCategories!$A:$E,3,0),"")</f>
        <v/>
      </c>
      <c r="EP1439" s="33" t="str">
        <f t="shared" si="45"/>
        <v/>
      </c>
    </row>
    <row r="1440" spans="16:146" x14ac:dyDescent="0.25">
      <c r="P1440" s="33" t="str" cm="1">
        <f t="array" ref="P1440">IFERROR(SUM(VALUE(_xlfn.TEXTSPLIT(O1440, ";"))), "")</f>
        <v/>
      </c>
      <c r="DO1440" t="str">
        <f t="shared" si="44"/>
        <v/>
      </c>
      <c r="EG1440" s="33" t="str">
        <f>IF(NOT(ISBLANK($B1440)),VLOOKUP($B1440,AssetCategories!$A:$E,5,0),"")</f>
        <v/>
      </c>
      <c r="EH1440" t="str">
        <f>IF(NOT(ISBLANK($B1440)),VLOOKUP($B1440,AssetCategories!$A:$E,4,0),"")</f>
        <v/>
      </c>
      <c r="EM1440" t="str">
        <f>IF(NOT(ISBLANK($B1440)),VLOOKUP($B1440,AssetCategories!$A:$E,2,0),"")</f>
        <v/>
      </c>
      <c r="EN1440" t="str">
        <f>IF(NOT(ISBLANK($B1440)),VLOOKUP($B1440,AssetCategories!$A:$E,3,0),"")</f>
        <v/>
      </c>
      <c r="EP1440" s="33" t="str">
        <f t="shared" si="45"/>
        <v/>
      </c>
    </row>
    <row r="1441" spans="16:146" x14ac:dyDescent="0.25">
      <c r="P1441" s="33" t="str" cm="1">
        <f t="array" ref="P1441">IFERROR(SUM(VALUE(_xlfn.TEXTSPLIT(O1441, ";"))), "")</f>
        <v/>
      </c>
      <c r="DO1441" t="str">
        <f t="shared" si="44"/>
        <v/>
      </c>
      <c r="EG1441" s="33" t="str">
        <f>IF(NOT(ISBLANK($B1441)),VLOOKUP($B1441,AssetCategories!$A:$E,5,0),"")</f>
        <v/>
      </c>
      <c r="EH1441" t="str">
        <f>IF(NOT(ISBLANK($B1441)),VLOOKUP($B1441,AssetCategories!$A:$E,4,0),"")</f>
        <v/>
      </c>
      <c r="EM1441" t="str">
        <f>IF(NOT(ISBLANK($B1441)),VLOOKUP($B1441,AssetCategories!$A:$E,2,0),"")</f>
        <v/>
      </c>
      <c r="EN1441" t="str">
        <f>IF(NOT(ISBLANK($B1441)),VLOOKUP($B1441,AssetCategories!$A:$E,3,0),"")</f>
        <v/>
      </c>
      <c r="EP1441" s="33" t="str">
        <f t="shared" si="45"/>
        <v/>
      </c>
    </row>
    <row r="1442" spans="16:146" x14ac:dyDescent="0.25">
      <c r="P1442" s="33" t="str" cm="1">
        <f t="array" ref="P1442">IFERROR(SUM(VALUE(_xlfn.TEXTSPLIT(O1442, ";"))), "")</f>
        <v/>
      </c>
      <c r="DO1442" t="str">
        <f t="shared" si="44"/>
        <v/>
      </c>
      <c r="EG1442" s="33" t="str">
        <f>IF(NOT(ISBLANK($B1442)),VLOOKUP($B1442,AssetCategories!$A:$E,5,0),"")</f>
        <v/>
      </c>
      <c r="EH1442" t="str">
        <f>IF(NOT(ISBLANK($B1442)),VLOOKUP($B1442,AssetCategories!$A:$E,4,0),"")</f>
        <v/>
      </c>
      <c r="EM1442" t="str">
        <f>IF(NOT(ISBLANK($B1442)),VLOOKUP($B1442,AssetCategories!$A:$E,2,0),"")</f>
        <v/>
      </c>
      <c r="EN1442" t="str">
        <f>IF(NOT(ISBLANK($B1442)),VLOOKUP($B1442,AssetCategories!$A:$E,3,0),"")</f>
        <v/>
      </c>
      <c r="EP1442" s="33" t="str">
        <f t="shared" si="45"/>
        <v/>
      </c>
    </row>
    <row r="1443" spans="16:146" x14ac:dyDescent="0.25">
      <c r="P1443" s="33" t="str" cm="1">
        <f t="array" ref="P1443">IFERROR(SUM(VALUE(_xlfn.TEXTSPLIT(O1443, ";"))), "")</f>
        <v/>
      </c>
      <c r="DO1443" t="str">
        <f t="shared" si="44"/>
        <v/>
      </c>
      <c r="EG1443" s="33" t="str">
        <f>IF(NOT(ISBLANK($B1443)),VLOOKUP($B1443,AssetCategories!$A:$E,5,0),"")</f>
        <v/>
      </c>
      <c r="EH1443" t="str">
        <f>IF(NOT(ISBLANK($B1443)),VLOOKUP($B1443,AssetCategories!$A:$E,4,0),"")</f>
        <v/>
      </c>
      <c r="EM1443" t="str">
        <f>IF(NOT(ISBLANK($B1443)),VLOOKUP($B1443,AssetCategories!$A:$E,2,0),"")</f>
        <v/>
      </c>
      <c r="EN1443" t="str">
        <f>IF(NOT(ISBLANK($B1443)),VLOOKUP($B1443,AssetCategories!$A:$E,3,0),"")</f>
        <v/>
      </c>
      <c r="EP1443" s="33" t="str">
        <f t="shared" si="45"/>
        <v/>
      </c>
    </row>
    <row r="1444" spans="16:146" x14ac:dyDescent="0.25">
      <c r="P1444" s="33" t="str" cm="1">
        <f t="array" ref="P1444">IFERROR(SUM(VALUE(_xlfn.TEXTSPLIT(O1444, ";"))), "")</f>
        <v/>
      </c>
      <c r="DO1444" t="str">
        <f t="shared" si="44"/>
        <v/>
      </c>
      <c r="EG1444" s="33" t="str">
        <f>IF(NOT(ISBLANK($B1444)),VLOOKUP($B1444,AssetCategories!$A:$E,5,0),"")</f>
        <v/>
      </c>
      <c r="EH1444" t="str">
        <f>IF(NOT(ISBLANK($B1444)),VLOOKUP($B1444,AssetCategories!$A:$E,4,0),"")</f>
        <v/>
      </c>
      <c r="EM1444" t="str">
        <f>IF(NOT(ISBLANK($B1444)),VLOOKUP($B1444,AssetCategories!$A:$E,2,0),"")</f>
        <v/>
      </c>
      <c r="EN1444" t="str">
        <f>IF(NOT(ISBLANK($B1444)),VLOOKUP($B1444,AssetCategories!$A:$E,3,0),"")</f>
        <v/>
      </c>
      <c r="EP1444" s="33" t="str">
        <f t="shared" si="45"/>
        <v/>
      </c>
    </row>
    <row r="1445" spans="16:146" x14ac:dyDescent="0.25">
      <c r="P1445" s="33" t="str" cm="1">
        <f t="array" ref="P1445">IFERROR(SUM(VALUE(_xlfn.TEXTSPLIT(O1445, ";"))), "")</f>
        <v/>
      </c>
      <c r="DO1445" t="str">
        <f t="shared" si="44"/>
        <v/>
      </c>
      <c r="EG1445" s="33" t="str">
        <f>IF(NOT(ISBLANK($B1445)),VLOOKUP($B1445,AssetCategories!$A:$E,5,0),"")</f>
        <v/>
      </c>
      <c r="EH1445" t="str">
        <f>IF(NOT(ISBLANK($B1445)),VLOOKUP($B1445,AssetCategories!$A:$E,4,0),"")</f>
        <v/>
      </c>
      <c r="EM1445" t="str">
        <f>IF(NOT(ISBLANK($B1445)),VLOOKUP($B1445,AssetCategories!$A:$E,2,0),"")</f>
        <v/>
      </c>
      <c r="EN1445" t="str">
        <f>IF(NOT(ISBLANK($B1445)),VLOOKUP($B1445,AssetCategories!$A:$E,3,0),"")</f>
        <v/>
      </c>
      <c r="EP1445" s="33" t="str">
        <f t="shared" si="45"/>
        <v/>
      </c>
    </row>
    <row r="1446" spans="16:146" x14ac:dyDescent="0.25">
      <c r="P1446" s="33" t="str" cm="1">
        <f t="array" ref="P1446">IFERROR(SUM(VALUE(_xlfn.TEXTSPLIT(O1446, ";"))), "")</f>
        <v/>
      </c>
      <c r="DO1446" t="str">
        <f t="shared" si="44"/>
        <v/>
      </c>
      <c r="EG1446" s="33" t="str">
        <f>IF(NOT(ISBLANK($B1446)),VLOOKUP($B1446,AssetCategories!$A:$E,5,0),"")</f>
        <v/>
      </c>
      <c r="EH1446" t="str">
        <f>IF(NOT(ISBLANK($B1446)),VLOOKUP($B1446,AssetCategories!$A:$E,4,0),"")</f>
        <v/>
      </c>
      <c r="EM1446" t="str">
        <f>IF(NOT(ISBLANK($B1446)),VLOOKUP($B1446,AssetCategories!$A:$E,2,0),"")</f>
        <v/>
      </c>
      <c r="EN1446" t="str">
        <f>IF(NOT(ISBLANK($B1446)),VLOOKUP($B1446,AssetCategories!$A:$E,3,0),"")</f>
        <v/>
      </c>
      <c r="EP1446" s="33" t="str">
        <f t="shared" si="45"/>
        <v/>
      </c>
    </row>
    <row r="1447" spans="16:146" x14ac:dyDescent="0.25">
      <c r="P1447" s="33" t="str" cm="1">
        <f t="array" ref="P1447">IFERROR(SUM(VALUE(_xlfn.TEXTSPLIT(O1447, ";"))), "")</f>
        <v/>
      </c>
      <c r="DO1447" t="str">
        <f t="shared" si="44"/>
        <v/>
      </c>
      <c r="EG1447" s="33" t="str">
        <f>IF(NOT(ISBLANK($B1447)),VLOOKUP($B1447,AssetCategories!$A:$E,5,0),"")</f>
        <v/>
      </c>
      <c r="EH1447" t="str">
        <f>IF(NOT(ISBLANK($B1447)),VLOOKUP($B1447,AssetCategories!$A:$E,4,0),"")</f>
        <v/>
      </c>
      <c r="EM1447" t="str">
        <f>IF(NOT(ISBLANK($B1447)),VLOOKUP($B1447,AssetCategories!$A:$E,2,0),"")</f>
        <v/>
      </c>
      <c r="EN1447" t="str">
        <f>IF(NOT(ISBLANK($B1447)),VLOOKUP($B1447,AssetCategories!$A:$E,3,0),"")</f>
        <v/>
      </c>
      <c r="EP1447" s="33" t="str">
        <f t="shared" si="45"/>
        <v/>
      </c>
    </row>
    <row r="1448" spans="16:146" x14ac:dyDescent="0.25">
      <c r="P1448" s="33" t="str" cm="1">
        <f t="array" ref="P1448">IFERROR(SUM(VALUE(_xlfn.TEXTSPLIT(O1448, ";"))), "")</f>
        <v/>
      </c>
      <c r="DO1448" t="str">
        <f t="shared" si="44"/>
        <v/>
      </c>
      <c r="EG1448" s="33" t="str">
        <f>IF(NOT(ISBLANK($B1448)),VLOOKUP($B1448,AssetCategories!$A:$E,5,0),"")</f>
        <v/>
      </c>
      <c r="EH1448" t="str">
        <f>IF(NOT(ISBLANK($B1448)),VLOOKUP($B1448,AssetCategories!$A:$E,4,0),"")</f>
        <v/>
      </c>
      <c r="EM1448" t="str">
        <f>IF(NOT(ISBLANK($B1448)),VLOOKUP($B1448,AssetCategories!$A:$E,2,0),"")</f>
        <v/>
      </c>
      <c r="EN1448" t="str">
        <f>IF(NOT(ISBLANK($B1448)),VLOOKUP($B1448,AssetCategories!$A:$E,3,0),"")</f>
        <v/>
      </c>
      <c r="EP1448" s="33" t="str">
        <f t="shared" si="45"/>
        <v/>
      </c>
    </row>
    <row r="1449" spans="16:146" x14ac:dyDescent="0.25">
      <c r="P1449" s="33" t="str" cm="1">
        <f t="array" ref="P1449">IFERROR(SUM(VALUE(_xlfn.TEXTSPLIT(O1449, ";"))), "")</f>
        <v/>
      </c>
      <c r="DO1449" t="str">
        <f t="shared" si="44"/>
        <v/>
      </c>
      <c r="EG1449" s="33" t="str">
        <f>IF(NOT(ISBLANK($B1449)),VLOOKUP($B1449,AssetCategories!$A:$E,5,0),"")</f>
        <v/>
      </c>
      <c r="EH1449" t="str">
        <f>IF(NOT(ISBLANK($B1449)),VLOOKUP($B1449,AssetCategories!$A:$E,4,0),"")</f>
        <v/>
      </c>
      <c r="EM1449" t="str">
        <f>IF(NOT(ISBLANK($B1449)),VLOOKUP($B1449,AssetCategories!$A:$E,2,0),"")</f>
        <v/>
      </c>
      <c r="EN1449" t="str">
        <f>IF(NOT(ISBLANK($B1449)),VLOOKUP($B1449,AssetCategories!$A:$E,3,0),"")</f>
        <v/>
      </c>
      <c r="EP1449" s="33" t="str">
        <f t="shared" si="45"/>
        <v/>
      </c>
    </row>
    <row r="1450" spans="16:146" x14ac:dyDescent="0.25">
      <c r="P1450" s="33" t="str" cm="1">
        <f t="array" ref="P1450">IFERROR(SUM(VALUE(_xlfn.TEXTSPLIT(O1450, ";"))), "")</f>
        <v/>
      </c>
      <c r="DO1450" t="str">
        <f t="shared" si="44"/>
        <v/>
      </c>
      <c r="EG1450" s="33" t="str">
        <f>IF(NOT(ISBLANK($B1450)),VLOOKUP($B1450,AssetCategories!$A:$E,5,0),"")</f>
        <v/>
      </c>
      <c r="EH1450" t="str">
        <f>IF(NOT(ISBLANK($B1450)),VLOOKUP($B1450,AssetCategories!$A:$E,4,0),"")</f>
        <v/>
      </c>
      <c r="EM1450" t="str">
        <f>IF(NOT(ISBLANK($B1450)),VLOOKUP($B1450,AssetCategories!$A:$E,2,0),"")</f>
        <v/>
      </c>
      <c r="EN1450" t="str">
        <f>IF(NOT(ISBLANK($B1450)),VLOOKUP($B1450,AssetCategories!$A:$E,3,0),"")</f>
        <v/>
      </c>
      <c r="EP1450" s="33" t="str">
        <f t="shared" si="45"/>
        <v/>
      </c>
    </row>
    <row r="1451" spans="16:146" x14ac:dyDescent="0.25">
      <c r="P1451" s="33" t="str" cm="1">
        <f t="array" ref="P1451">IFERROR(SUM(VALUE(_xlfn.TEXTSPLIT(O1451, ";"))), "")</f>
        <v/>
      </c>
      <c r="DO1451" t="str">
        <f t="shared" si="44"/>
        <v/>
      </c>
      <c r="EG1451" s="33" t="str">
        <f>IF(NOT(ISBLANK($B1451)),VLOOKUP($B1451,AssetCategories!$A:$E,5,0),"")</f>
        <v/>
      </c>
      <c r="EH1451" t="str">
        <f>IF(NOT(ISBLANK($B1451)),VLOOKUP($B1451,AssetCategories!$A:$E,4,0),"")</f>
        <v/>
      </c>
      <c r="EM1451" t="str">
        <f>IF(NOT(ISBLANK($B1451)),VLOOKUP($B1451,AssetCategories!$A:$E,2,0),"")</f>
        <v/>
      </c>
      <c r="EN1451" t="str">
        <f>IF(NOT(ISBLANK($B1451)),VLOOKUP($B1451,AssetCategories!$A:$E,3,0),"")</f>
        <v/>
      </c>
      <c r="EP1451" s="33" t="str">
        <f t="shared" si="45"/>
        <v/>
      </c>
    </row>
    <row r="1452" spans="16:146" x14ac:dyDescent="0.25">
      <c r="P1452" s="33" t="str" cm="1">
        <f t="array" ref="P1452">IFERROR(SUM(VALUE(_xlfn.TEXTSPLIT(O1452, ";"))), "")</f>
        <v/>
      </c>
      <c r="DO1452" t="str">
        <f t="shared" si="44"/>
        <v/>
      </c>
      <c r="EG1452" s="33" t="str">
        <f>IF(NOT(ISBLANK($B1452)),VLOOKUP($B1452,AssetCategories!$A:$E,5,0),"")</f>
        <v/>
      </c>
      <c r="EH1452" t="str">
        <f>IF(NOT(ISBLANK($B1452)),VLOOKUP($B1452,AssetCategories!$A:$E,4,0),"")</f>
        <v/>
      </c>
      <c r="EM1452" t="str">
        <f>IF(NOT(ISBLANK($B1452)),VLOOKUP($B1452,AssetCategories!$A:$E,2,0),"")</f>
        <v/>
      </c>
      <c r="EN1452" t="str">
        <f>IF(NOT(ISBLANK($B1452)),VLOOKUP($B1452,AssetCategories!$A:$E,3,0),"")</f>
        <v/>
      </c>
      <c r="EP1452" s="33" t="str">
        <f t="shared" si="45"/>
        <v/>
      </c>
    </row>
    <row r="1453" spans="16:146" x14ac:dyDescent="0.25">
      <c r="P1453" s="33" t="str" cm="1">
        <f t="array" ref="P1453">IFERROR(SUM(VALUE(_xlfn.TEXTSPLIT(O1453, ";"))), "")</f>
        <v/>
      </c>
      <c r="DO1453" t="str">
        <f t="shared" si="44"/>
        <v/>
      </c>
      <c r="EG1453" s="33" t="str">
        <f>IF(NOT(ISBLANK($B1453)),VLOOKUP($B1453,AssetCategories!$A:$E,5,0),"")</f>
        <v/>
      </c>
      <c r="EH1453" t="str">
        <f>IF(NOT(ISBLANK($B1453)),VLOOKUP($B1453,AssetCategories!$A:$E,4,0),"")</f>
        <v/>
      </c>
      <c r="EM1453" t="str">
        <f>IF(NOT(ISBLANK($B1453)),VLOOKUP($B1453,AssetCategories!$A:$E,2,0),"")</f>
        <v/>
      </c>
      <c r="EN1453" t="str">
        <f>IF(NOT(ISBLANK($B1453)),VLOOKUP($B1453,AssetCategories!$A:$E,3,0),"")</f>
        <v/>
      </c>
      <c r="EP1453" s="33" t="str">
        <f t="shared" si="45"/>
        <v/>
      </c>
    </row>
    <row r="1454" spans="16:146" x14ac:dyDescent="0.25">
      <c r="P1454" s="33" t="str" cm="1">
        <f t="array" ref="P1454">IFERROR(SUM(VALUE(_xlfn.TEXTSPLIT(O1454, ";"))), "")</f>
        <v/>
      </c>
      <c r="DO1454" t="str">
        <f t="shared" si="44"/>
        <v/>
      </c>
      <c r="EG1454" s="33" t="str">
        <f>IF(NOT(ISBLANK($B1454)),VLOOKUP($B1454,AssetCategories!$A:$E,5,0),"")</f>
        <v/>
      </c>
      <c r="EH1454" t="str">
        <f>IF(NOT(ISBLANK($B1454)),VLOOKUP($B1454,AssetCategories!$A:$E,4,0),"")</f>
        <v/>
      </c>
      <c r="EM1454" t="str">
        <f>IF(NOT(ISBLANK($B1454)),VLOOKUP($B1454,AssetCategories!$A:$E,2,0),"")</f>
        <v/>
      </c>
      <c r="EN1454" t="str">
        <f>IF(NOT(ISBLANK($B1454)),VLOOKUP($B1454,AssetCategories!$A:$E,3,0),"")</f>
        <v/>
      </c>
      <c r="EP1454" s="33" t="str">
        <f t="shared" si="45"/>
        <v/>
      </c>
    </row>
    <row r="1455" spans="16:146" x14ac:dyDescent="0.25">
      <c r="P1455" s="33" t="str" cm="1">
        <f t="array" ref="P1455">IFERROR(SUM(VALUE(_xlfn.TEXTSPLIT(O1455, ";"))), "")</f>
        <v/>
      </c>
      <c r="DO1455" t="str">
        <f t="shared" si="44"/>
        <v/>
      </c>
      <c r="EG1455" s="33" t="str">
        <f>IF(NOT(ISBLANK($B1455)),VLOOKUP($B1455,AssetCategories!$A:$E,5,0),"")</f>
        <v/>
      </c>
      <c r="EH1455" t="str">
        <f>IF(NOT(ISBLANK($B1455)),VLOOKUP($B1455,AssetCategories!$A:$E,4,0),"")</f>
        <v/>
      </c>
      <c r="EM1455" t="str">
        <f>IF(NOT(ISBLANK($B1455)),VLOOKUP($B1455,AssetCategories!$A:$E,2,0),"")</f>
        <v/>
      </c>
      <c r="EN1455" t="str">
        <f>IF(NOT(ISBLANK($B1455)),VLOOKUP($B1455,AssetCategories!$A:$E,3,0),"")</f>
        <v/>
      </c>
      <c r="EP1455" s="33" t="str">
        <f t="shared" si="45"/>
        <v/>
      </c>
    </row>
    <row r="1456" spans="16:146" x14ac:dyDescent="0.25">
      <c r="P1456" s="33" t="str" cm="1">
        <f t="array" ref="P1456">IFERROR(SUM(VALUE(_xlfn.TEXTSPLIT(O1456, ";"))), "")</f>
        <v/>
      </c>
      <c r="DO1456" t="str">
        <f t="shared" si="44"/>
        <v/>
      </c>
      <c r="EG1456" s="33" t="str">
        <f>IF(NOT(ISBLANK($B1456)),VLOOKUP($B1456,AssetCategories!$A:$E,5,0),"")</f>
        <v/>
      </c>
      <c r="EH1456" t="str">
        <f>IF(NOT(ISBLANK($B1456)),VLOOKUP($B1456,AssetCategories!$A:$E,4,0),"")</f>
        <v/>
      </c>
      <c r="EM1456" t="str">
        <f>IF(NOT(ISBLANK($B1456)),VLOOKUP($B1456,AssetCategories!$A:$E,2,0),"")</f>
        <v/>
      </c>
      <c r="EN1456" t="str">
        <f>IF(NOT(ISBLANK($B1456)),VLOOKUP($B1456,AssetCategories!$A:$E,3,0),"")</f>
        <v/>
      </c>
      <c r="EP1456" s="33" t="str">
        <f t="shared" si="45"/>
        <v/>
      </c>
    </row>
    <row r="1457" spans="16:146" x14ac:dyDescent="0.25">
      <c r="P1457" s="33" t="str" cm="1">
        <f t="array" ref="P1457">IFERROR(SUM(VALUE(_xlfn.TEXTSPLIT(O1457, ";"))), "")</f>
        <v/>
      </c>
      <c r="DO1457" t="str">
        <f t="shared" si="44"/>
        <v/>
      </c>
      <c r="EG1457" s="33" t="str">
        <f>IF(NOT(ISBLANK($B1457)),VLOOKUP($B1457,AssetCategories!$A:$E,5,0),"")</f>
        <v/>
      </c>
      <c r="EH1457" t="str">
        <f>IF(NOT(ISBLANK($B1457)),VLOOKUP($B1457,AssetCategories!$A:$E,4,0),"")</f>
        <v/>
      </c>
      <c r="EM1457" t="str">
        <f>IF(NOT(ISBLANK($B1457)),VLOOKUP($B1457,AssetCategories!$A:$E,2,0),"")</f>
        <v/>
      </c>
      <c r="EN1457" t="str">
        <f>IF(NOT(ISBLANK($B1457)),VLOOKUP($B1457,AssetCategories!$A:$E,3,0),"")</f>
        <v/>
      </c>
      <c r="EP1457" s="33" t="str">
        <f t="shared" si="45"/>
        <v/>
      </c>
    </row>
    <row r="1458" spans="16:146" x14ac:dyDescent="0.25">
      <c r="P1458" s="33" t="str" cm="1">
        <f t="array" ref="P1458">IFERROR(SUM(VALUE(_xlfn.TEXTSPLIT(O1458, ";"))), "")</f>
        <v/>
      </c>
      <c r="DO1458" t="str">
        <f t="shared" si="44"/>
        <v/>
      </c>
      <c r="EG1458" s="33" t="str">
        <f>IF(NOT(ISBLANK($B1458)),VLOOKUP($B1458,AssetCategories!$A:$E,5,0),"")</f>
        <v/>
      </c>
      <c r="EH1458" t="str">
        <f>IF(NOT(ISBLANK($B1458)),VLOOKUP($B1458,AssetCategories!$A:$E,4,0),"")</f>
        <v/>
      </c>
      <c r="EM1458" t="str">
        <f>IF(NOT(ISBLANK($B1458)),VLOOKUP($B1458,AssetCategories!$A:$E,2,0),"")</f>
        <v/>
      </c>
      <c r="EN1458" t="str">
        <f>IF(NOT(ISBLANK($B1458)),VLOOKUP($B1458,AssetCategories!$A:$E,3,0),"")</f>
        <v/>
      </c>
      <c r="EP1458" s="33" t="str">
        <f t="shared" si="45"/>
        <v/>
      </c>
    </row>
    <row r="1459" spans="16:146" x14ac:dyDescent="0.25">
      <c r="P1459" s="33" t="str" cm="1">
        <f t="array" ref="P1459">IFERROR(SUM(VALUE(_xlfn.TEXTSPLIT(O1459, ";"))), "")</f>
        <v/>
      </c>
      <c r="DO1459" t="str">
        <f t="shared" si="44"/>
        <v/>
      </c>
      <c r="EG1459" s="33" t="str">
        <f>IF(NOT(ISBLANK($B1459)),VLOOKUP($B1459,AssetCategories!$A:$E,5,0),"")</f>
        <v/>
      </c>
      <c r="EH1459" t="str">
        <f>IF(NOT(ISBLANK($B1459)),VLOOKUP($B1459,AssetCategories!$A:$E,4,0),"")</f>
        <v/>
      </c>
      <c r="EM1459" t="str">
        <f>IF(NOT(ISBLANK($B1459)),VLOOKUP($B1459,AssetCategories!$A:$E,2,0),"")</f>
        <v/>
      </c>
      <c r="EN1459" t="str">
        <f>IF(NOT(ISBLANK($B1459)),VLOOKUP($B1459,AssetCategories!$A:$E,3,0),"")</f>
        <v/>
      </c>
      <c r="EP1459" s="33" t="str">
        <f t="shared" si="45"/>
        <v/>
      </c>
    </row>
    <row r="1460" spans="16:146" x14ac:dyDescent="0.25">
      <c r="P1460" s="33" t="str" cm="1">
        <f t="array" ref="P1460">IFERROR(SUM(VALUE(_xlfn.TEXTSPLIT(O1460, ";"))), "")</f>
        <v/>
      </c>
      <c r="DO1460" t="str">
        <f t="shared" si="44"/>
        <v/>
      </c>
      <c r="EG1460" s="33" t="str">
        <f>IF(NOT(ISBLANK($B1460)),VLOOKUP($B1460,AssetCategories!$A:$E,5,0),"")</f>
        <v/>
      </c>
      <c r="EH1460" t="str">
        <f>IF(NOT(ISBLANK($B1460)),VLOOKUP($B1460,AssetCategories!$A:$E,4,0),"")</f>
        <v/>
      </c>
      <c r="EM1460" t="str">
        <f>IF(NOT(ISBLANK($B1460)),VLOOKUP($B1460,AssetCategories!$A:$E,2,0),"")</f>
        <v/>
      </c>
      <c r="EN1460" t="str">
        <f>IF(NOT(ISBLANK($B1460)),VLOOKUP($B1460,AssetCategories!$A:$E,3,0),"")</f>
        <v/>
      </c>
      <c r="EP1460" s="33" t="str">
        <f t="shared" si="45"/>
        <v/>
      </c>
    </row>
    <row r="1461" spans="16:146" x14ac:dyDescent="0.25">
      <c r="P1461" s="33" t="str" cm="1">
        <f t="array" ref="P1461">IFERROR(SUM(VALUE(_xlfn.TEXTSPLIT(O1461, ";"))), "")</f>
        <v/>
      </c>
      <c r="DO1461" t="str">
        <f t="shared" si="44"/>
        <v/>
      </c>
      <c r="EG1461" s="33" t="str">
        <f>IF(NOT(ISBLANK($B1461)),VLOOKUP($B1461,AssetCategories!$A:$E,5,0),"")</f>
        <v/>
      </c>
      <c r="EH1461" t="str">
        <f>IF(NOT(ISBLANK($B1461)),VLOOKUP($B1461,AssetCategories!$A:$E,4,0),"")</f>
        <v/>
      </c>
      <c r="EM1461" t="str">
        <f>IF(NOT(ISBLANK($B1461)),VLOOKUP($B1461,AssetCategories!$A:$E,2,0),"")</f>
        <v/>
      </c>
      <c r="EN1461" t="str">
        <f>IF(NOT(ISBLANK($B1461)),VLOOKUP($B1461,AssetCategories!$A:$E,3,0),"")</f>
        <v/>
      </c>
      <c r="EP1461" s="33" t="str">
        <f t="shared" si="45"/>
        <v/>
      </c>
    </row>
    <row r="1462" spans="16:146" x14ac:dyDescent="0.25">
      <c r="P1462" s="33" t="str" cm="1">
        <f t="array" ref="P1462">IFERROR(SUM(VALUE(_xlfn.TEXTSPLIT(O1462, ";"))), "")</f>
        <v/>
      </c>
      <c r="DO1462" t="str">
        <f t="shared" si="44"/>
        <v/>
      </c>
      <c r="EG1462" s="33" t="str">
        <f>IF(NOT(ISBLANK($B1462)),VLOOKUP($B1462,AssetCategories!$A:$E,5,0),"")</f>
        <v/>
      </c>
      <c r="EH1462" t="str">
        <f>IF(NOT(ISBLANK($B1462)),VLOOKUP($B1462,AssetCategories!$A:$E,4,0),"")</f>
        <v/>
      </c>
      <c r="EM1462" t="str">
        <f>IF(NOT(ISBLANK($B1462)),VLOOKUP($B1462,AssetCategories!$A:$E,2,0),"")</f>
        <v/>
      </c>
      <c r="EN1462" t="str">
        <f>IF(NOT(ISBLANK($B1462)),VLOOKUP($B1462,AssetCategories!$A:$E,3,0),"")</f>
        <v/>
      </c>
      <c r="EP1462" s="33" t="str">
        <f t="shared" si="45"/>
        <v/>
      </c>
    </row>
    <row r="1463" spans="16:146" x14ac:dyDescent="0.25">
      <c r="P1463" s="33" t="str" cm="1">
        <f t="array" ref="P1463">IFERROR(SUM(VALUE(_xlfn.TEXTSPLIT(O1463, ";"))), "")</f>
        <v/>
      </c>
      <c r="DO1463" t="str">
        <f t="shared" si="44"/>
        <v/>
      </c>
      <c r="EG1463" s="33" t="str">
        <f>IF(NOT(ISBLANK($B1463)),VLOOKUP($B1463,AssetCategories!$A:$E,5,0),"")</f>
        <v/>
      </c>
      <c r="EH1463" t="str">
        <f>IF(NOT(ISBLANK($B1463)),VLOOKUP($B1463,AssetCategories!$A:$E,4,0),"")</f>
        <v/>
      </c>
      <c r="EM1463" t="str">
        <f>IF(NOT(ISBLANK($B1463)),VLOOKUP($B1463,AssetCategories!$A:$E,2,0),"")</f>
        <v/>
      </c>
      <c r="EN1463" t="str">
        <f>IF(NOT(ISBLANK($B1463)),VLOOKUP($B1463,AssetCategories!$A:$E,3,0),"")</f>
        <v/>
      </c>
      <c r="EP1463" s="33" t="str">
        <f t="shared" si="45"/>
        <v/>
      </c>
    </row>
    <row r="1464" spans="16:146" x14ac:dyDescent="0.25">
      <c r="P1464" s="33" t="str" cm="1">
        <f t="array" ref="P1464">IFERROR(SUM(VALUE(_xlfn.TEXTSPLIT(O1464, ";"))), "")</f>
        <v/>
      </c>
      <c r="DO1464" t="str">
        <f t="shared" si="44"/>
        <v/>
      </c>
      <c r="EG1464" s="33" t="str">
        <f>IF(NOT(ISBLANK($B1464)),VLOOKUP($B1464,AssetCategories!$A:$E,5,0),"")</f>
        <v/>
      </c>
      <c r="EH1464" t="str">
        <f>IF(NOT(ISBLANK($B1464)),VLOOKUP($B1464,AssetCategories!$A:$E,4,0),"")</f>
        <v/>
      </c>
      <c r="EM1464" t="str">
        <f>IF(NOT(ISBLANK($B1464)),VLOOKUP($B1464,AssetCategories!$A:$E,2,0),"")</f>
        <v/>
      </c>
      <c r="EN1464" t="str">
        <f>IF(NOT(ISBLANK($B1464)),VLOOKUP($B1464,AssetCategories!$A:$E,3,0),"")</f>
        <v/>
      </c>
      <c r="EP1464" s="33" t="str">
        <f t="shared" si="45"/>
        <v/>
      </c>
    </row>
    <row r="1465" spans="16:146" x14ac:dyDescent="0.25">
      <c r="P1465" s="33" t="str" cm="1">
        <f t="array" ref="P1465">IFERROR(SUM(VALUE(_xlfn.TEXTSPLIT(O1465, ";"))), "")</f>
        <v/>
      </c>
      <c r="DO1465" t="str">
        <f t="shared" si="44"/>
        <v/>
      </c>
      <c r="EG1465" s="33" t="str">
        <f>IF(NOT(ISBLANK($B1465)),VLOOKUP($B1465,AssetCategories!$A:$E,5,0),"")</f>
        <v/>
      </c>
      <c r="EH1465" t="str">
        <f>IF(NOT(ISBLANK($B1465)),VLOOKUP($B1465,AssetCategories!$A:$E,4,0),"")</f>
        <v/>
      </c>
      <c r="EM1465" t="str">
        <f>IF(NOT(ISBLANK($B1465)),VLOOKUP($B1465,AssetCategories!$A:$E,2,0),"")</f>
        <v/>
      </c>
      <c r="EN1465" t="str">
        <f>IF(NOT(ISBLANK($B1465)),VLOOKUP($B1465,AssetCategories!$A:$E,3,0),"")</f>
        <v/>
      </c>
      <c r="EP1465" s="33" t="str">
        <f t="shared" si="45"/>
        <v/>
      </c>
    </row>
    <row r="1466" spans="16:146" x14ac:dyDescent="0.25">
      <c r="P1466" s="33" t="str" cm="1">
        <f t="array" ref="P1466">IFERROR(SUM(VALUE(_xlfn.TEXTSPLIT(O1466, ";"))), "")</f>
        <v/>
      </c>
      <c r="DO1466" t="str">
        <f t="shared" si="44"/>
        <v/>
      </c>
      <c r="EG1466" s="33" t="str">
        <f>IF(NOT(ISBLANK($B1466)),VLOOKUP($B1466,AssetCategories!$A:$E,5,0),"")</f>
        <v/>
      </c>
      <c r="EH1466" t="str">
        <f>IF(NOT(ISBLANK($B1466)),VLOOKUP($B1466,AssetCategories!$A:$E,4,0),"")</f>
        <v/>
      </c>
      <c r="EM1466" t="str">
        <f>IF(NOT(ISBLANK($B1466)),VLOOKUP($B1466,AssetCategories!$A:$E,2,0),"")</f>
        <v/>
      </c>
      <c r="EN1466" t="str">
        <f>IF(NOT(ISBLANK($B1466)),VLOOKUP($B1466,AssetCategories!$A:$E,3,0),"")</f>
        <v/>
      </c>
      <c r="EP1466" s="33" t="str">
        <f t="shared" si="45"/>
        <v/>
      </c>
    </row>
    <row r="1467" spans="16:146" x14ac:dyDescent="0.25">
      <c r="P1467" s="33" t="str" cm="1">
        <f t="array" ref="P1467">IFERROR(SUM(VALUE(_xlfn.TEXTSPLIT(O1467, ";"))), "")</f>
        <v/>
      </c>
      <c r="DO1467" t="str">
        <f t="shared" si="44"/>
        <v/>
      </c>
      <c r="EG1467" s="33" t="str">
        <f>IF(NOT(ISBLANK($B1467)),VLOOKUP($B1467,AssetCategories!$A:$E,5,0),"")</f>
        <v/>
      </c>
      <c r="EH1467" t="str">
        <f>IF(NOT(ISBLANK($B1467)),VLOOKUP($B1467,AssetCategories!$A:$E,4,0),"")</f>
        <v/>
      </c>
      <c r="EM1467" t="str">
        <f>IF(NOT(ISBLANK($B1467)),VLOOKUP($B1467,AssetCategories!$A:$E,2,0),"")</f>
        <v/>
      </c>
      <c r="EN1467" t="str">
        <f>IF(NOT(ISBLANK($B1467)),VLOOKUP($B1467,AssetCategories!$A:$E,3,0),"")</f>
        <v/>
      </c>
      <c r="EP1467" s="33" t="str">
        <f t="shared" si="45"/>
        <v/>
      </c>
    </row>
    <row r="1468" spans="16:146" x14ac:dyDescent="0.25">
      <c r="P1468" s="33" t="str" cm="1">
        <f t="array" ref="P1468">IFERROR(SUM(VALUE(_xlfn.TEXTSPLIT(O1468, ";"))), "")</f>
        <v/>
      </c>
      <c r="DO1468" t="str">
        <f t="shared" si="44"/>
        <v/>
      </c>
      <c r="EG1468" s="33" t="str">
        <f>IF(NOT(ISBLANK($B1468)),VLOOKUP($B1468,AssetCategories!$A:$E,5,0),"")</f>
        <v/>
      </c>
      <c r="EH1468" t="str">
        <f>IF(NOT(ISBLANK($B1468)),VLOOKUP($B1468,AssetCategories!$A:$E,4,0),"")</f>
        <v/>
      </c>
      <c r="EM1468" t="str">
        <f>IF(NOT(ISBLANK($B1468)),VLOOKUP($B1468,AssetCategories!$A:$E,2,0),"")</f>
        <v/>
      </c>
      <c r="EN1468" t="str">
        <f>IF(NOT(ISBLANK($B1468)),VLOOKUP($B1468,AssetCategories!$A:$E,3,0),"")</f>
        <v/>
      </c>
      <c r="EP1468" s="33" t="str">
        <f t="shared" si="45"/>
        <v/>
      </c>
    </row>
    <row r="1469" spans="16:146" x14ac:dyDescent="0.25">
      <c r="P1469" s="33" t="str" cm="1">
        <f t="array" ref="P1469">IFERROR(SUM(VALUE(_xlfn.TEXTSPLIT(O1469, ";"))), "")</f>
        <v/>
      </c>
      <c r="DO1469" t="str">
        <f t="shared" si="44"/>
        <v/>
      </c>
      <c r="EG1469" s="33" t="str">
        <f>IF(NOT(ISBLANK($B1469)),VLOOKUP($B1469,AssetCategories!$A:$E,5,0),"")</f>
        <v/>
      </c>
      <c r="EH1469" t="str">
        <f>IF(NOT(ISBLANK($B1469)),VLOOKUP($B1469,AssetCategories!$A:$E,4,0),"")</f>
        <v/>
      </c>
      <c r="EM1469" t="str">
        <f>IF(NOT(ISBLANK($B1469)),VLOOKUP($B1469,AssetCategories!$A:$E,2,0),"")</f>
        <v/>
      </c>
      <c r="EN1469" t="str">
        <f>IF(NOT(ISBLANK($B1469)),VLOOKUP($B1469,AssetCategories!$A:$E,3,0),"")</f>
        <v/>
      </c>
      <c r="EP1469" s="33" t="str">
        <f t="shared" si="45"/>
        <v/>
      </c>
    </row>
    <row r="1470" spans="16:146" x14ac:dyDescent="0.25">
      <c r="P1470" s="33" t="str" cm="1">
        <f t="array" ref="P1470">IFERROR(SUM(VALUE(_xlfn.TEXTSPLIT(O1470, ";"))), "")</f>
        <v/>
      </c>
      <c r="DO1470" t="str">
        <f t="shared" si="44"/>
        <v/>
      </c>
      <c r="EG1470" s="33" t="str">
        <f>IF(NOT(ISBLANK($B1470)),VLOOKUP($B1470,AssetCategories!$A:$E,5,0),"")</f>
        <v/>
      </c>
      <c r="EH1470" t="str">
        <f>IF(NOT(ISBLANK($B1470)),VLOOKUP($B1470,AssetCategories!$A:$E,4,0),"")</f>
        <v/>
      </c>
      <c r="EM1470" t="str">
        <f>IF(NOT(ISBLANK($B1470)),VLOOKUP($B1470,AssetCategories!$A:$E,2,0),"")</f>
        <v/>
      </c>
      <c r="EN1470" t="str">
        <f>IF(NOT(ISBLANK($B1470)),VLOOKUP($B1470,AssetCategories!$A:$E,3,0),"")</f>
        <v/>
      </c>
      <c r="EP1470" s="33" t="str">
        <f t="shared" si="45"/>
        <v/>
      </c>
    </row>
    <row r="1471" spans="16:146" x14ac:dyDescent="0.25">
      <c r="P1471" s="33" t="str" cm="1">
        <f t="array" ref="P1471">IFERROR(SUM(VALUE(_xlfn.TEXTSPLIT(O1471, ";"))), "")</f>
        <v/>
      </c>
      <c r="DO1471" t="str">
        <f t="shared" si="44"/>
        <v/>
      </c>
      <c r="EG1471" s="33" t="str">
        <f>IF(NOT(ISBLANK($B1471)),VLOOKUP($B1471,AssetCategories!$A:$E,5,0),"")</f>
        <v/>
      </c>
      <c r="EH1471" t="str">
        <f>IF(NOT(ISBLANK($B1471)),VLOOKUP($B1471,AssetCategories!$A:$E,4,0),"")</f>
        <v/>
      </c>
      <c r="EM1471" t="str">
        <f>IF(NOT(ISBLANK($B1471)),VLOOKUP($B1471,AssetCategories!$A:$E,2,0),"")</f>
        <v/>
      </c>
      <c r="EN1471" t="str">
        <f>IF(NOT(ISBLANK($B1471)),VLOOKUP($B1471,AssetCategories!$A:$E,3,0),"")</f>
        <v/>
      </c>
      <c r="EP1471" s="33" t="str">
        <f t="shared" si="45"/>
        <v/>
      </c>
    </row>
    <row r="1472" spans="16:146" x14ac:dyDescent="0.25">
      <c r="P1472" s="33" t="str" cm="1">
        <f t="array" ref="P1472">IFERROR(SUM(VALUE(_xlfn.TEXTSPLIT(O1472, ";"))), "")</f>
        <v/>
      </c>
      <c r="DO1472" t="str">
        <f t="shared" si="44"/>
        <v/>
      </c>
      <c r="EG1472" s="33" t="str">
        <f>IF(NOT(ISBLANK($B1472)),VLOOKUP($B1472,AssetCategories!$A:$E,5,0),"")</f>
        <v/>
      </c>
      <c r="EH1472" t="str">
        <f>IF(NOT(ISBLANK($B1472)),VLOOKUP($B1472,AssetCategories!$A:$E,4,0),"")</f>
        <v/>
      </c>
      <c r="EM1472" t="str">
        <f>IF(NOT(ISBLANK($B1472)),VLOOKUP($B1472,AssetCategories!$A:$E,2,0),"")</f>
        <v/>
      </c>
      <c r="EN1472" t="str">
        <f>IF(NOT(ISBLANK($B1472)),VLOOKUP($B1472,AssetCategories!$A:$E,3,0),"")</f>
        <v/>
      </c>
      <c r="EP1472" s="33" t="str">
        <f t="shared" si="45"/>
        <v/>
      </c>
    </row>
    <row r="1473" spans="16:146" x14ac:dyDescent="0.25">
      <c r="P1473" s="33" t="str" cm="1">
        <f t="array" ref="P1473">IFERROR(SUM(VALUE(_xlfn.TEXTSPLIT(O1473, ";"))), "")</f>
        <v/>
      </c>
      <c r="DO1473" t="str">
        <f t="shared" si="44"/>
        <v/>
      </c>
      <c r="EG1473" s="33" t="str">
        <f>IF(NOT(ISBLANK($B1473)),VLOOKUP($B1473,AssetCategories!$A:$E,5,0),"")</f>
        <v/>
      </c>
      <c r="EH1473" t="str">
        <f>IF(NOT(ISBLANK($B1473)),VLOOKUP($B1473,AssetCategories!$A:$E,4,0),"")</f>
        <v/>
      </c>
      <c r="EM1473" t="str">
        <f>IF(NOT(ISBLANK($B1473)),VLOOKUP($B1473,AssetCategories!$A:$E,2,0),"")</f>
        <v/>
      </c>
      <c r="EN1473" t="str">
        <f>IF(NOT(ISBLANK($B1473)),VLOOKUP($B1473,AssetCategories!$A:$E,3,0),"")</f>
        <v/>
      </c>
      <c r="EP1473" s="33" t="str">
        <f t="shared" si="45"/>
        <v/>
      </c>
    </row>
    <row r="1474" spans="16:146" x14ac:dyDescent="0.25">
      <c r="P1474" s="33" t="str" cm="1">
        <f t="array" ref="P1474">IFERROR(SUM(VALUE(_xlfn.TEXTSPLIT(O1474, ";"))), "")</f>
        <v/>
      </c>
      <c r="DO1474" t="str">
        <f t="shared" si="44"/>
        <v/>
      </c>
      <c r="EG1474" s="33" t="str">
        <f>IF(NOT(ISBLANK($B1474)),VLOOKUP($B1474,AssetCategories!$A:$E,5,0),"")</f>
        <v/>
      </c>
      <c r="EH1474" t="str">
        <f>IF(NOT(ISBLANK($B1474)),VLOOKUP($B1474,AssetCategories!$A:$E,4,0),"")</f>
        <v/>
      </c>
      <c r="EM1474" t="str">
        <f>IF(NOT(ISBLANK($B1474)),VLOOKUP($B1474,AssetCategories!$A:$E,2,0),"")</f>
        <v/>
      </c>
      <c r="EN1474" t="str">
        <f>IF(NOT(ISBLANK($B1474)),VLOOKUP($B1474,AssetCategories!$A:$E,3,0),"")</f>
        <v/>
      </c>
      <c r="EP1474" s="33" t="str">
        <f t="shared" si="45"/>
        <v/>
      </c>
    </row>
    <row r="1475" spans="16:146" x14ac:dyDescent="0.25">
      <c r="P1475" s="33" t="str" cm="1">
        <f t="array" ref="P1475">IFERROR(SUM(VALUE(_xlfn.TEXTSPLIT(O1475, ";"))), "")</f>
        <v/>
      </c>
      <c r="DO1475" t="str">
        <f t="shared" si="44"/>
        <v/>
      </c>
      <c r="EG1475" s="33" t="str">
        <f>IF(NOT(ISBLANK($B1475)),VLOOKUP($B1475,AssetCategories!$A:$E,5,0),"")</f>
        <v/>
      </c>
      <c r="EH1475" t="str">
        <f>IF(NOT(ISBLANK($B1475)),VLOOKUP($B1475,AssetCategories!$A:$E,4,0),"")</f>
        <v/>
      </c>
      <c r="EM1475" t="str">
        <f>IF(NOT(ISBLANK($B1475)),VLOOKUP($B1475,AssetCategories!$A:$E,2,0),"")</f>
        <v/>
      </c>
      <c r="EN1475" t="str">
        <f>IF(NOT(ISBLANK($B1475)),VLOOKUP($B1475,AssetCategories!$A:$E,3,0),"")</f>
        <v/>
      </c>
      <c r="EP1475" s="33" t="str">
        <f t="shared" si="45"/>
        <v/>
      </c>
    </row>
    <row r="1476" spans="16:146" x14ac:dyDescent="0.25">
      <c r="P1476" s="33" t="str" cm="1">
        <f t="array" ref="P1476">IFERROR(SUM(VALUE(_xlfn.TEXTSPLIT(O1476, ";"))), "")</f>
        <v/>
      </c>
      <c r="DO1476" t="str">
        <f t="shared" si="44"/>
        <v/>
      </c>
      <c r="EG1476" s="33" t="str">
        <f>IF(NOT(ISBLANK($B1476)),VLOOKUP($B1476,AssetCategories!$A:$E,5,0),"")</f>
        <v/>
      </c>
      <c r="EH1476" t="str">
        <f>IF(NOT(ISBLANK($B1476)),VLOOKUP($B1476,AssetCategories!$A:$E,4,0),"")</f>
        <v/>
      </c>
      <c r="EM1476" t="str">
        <f>IF(NOT(ISBLANK($B1476)),VLOOKUP($B1476,AssetCategories!$A:$E,2,0),"")</f>
        <v/>
      </c>
      <c r="EN1476" t="str">
        <f>IF(NOT(ISBLANK($B1476)),VLOOKUP($B1476,AssetCategories!$A:$E,3,0),"")</f>
        <v/>
      </c>
      <c r="EP1476" s="33" t="str">
        <f t="shared" si="45"/>
        <v/>
      </c>
    </row>
    <row r="1477" spans="16:146" x14ac:dyDescent="0.25">
      <c r="P1477" s="33" t="str" cm="1">
        <f t="array" ref="P1477">IFERROR(SUM(VALUE(_xlfn.TEXTSPLIT(O1477, ";"))), "")</f>
        <v/>
      </c>
      <c r="DO1477" t="str">
        <f t="shared" ref="DO1477:DO1540" si="46">IF(SUM(DE1477:DN1477)=0, "", SUM(DE1477:DN1477))</f>
        <v/>
      </c>
      <c r="EG1477" s="33" t="str">
        <f>IF(NOT(ISBLANK($B1477)),VLOOKUP($B1477,AssetCategories!$A:$E,5,0),"")</f>
        <v/>
      </c>
      <c r="EH1477" t="str">
        <f>IF(NOT(ISBLANK($B1477)),VLOOKUP($B1477,AssetCategories!$A:$E,4,0),"")</f>
        <v/>
      </c>
      <c r="EM1477" t="str">
        <f>IF(NOT(ISBLANK($B1477)),VLOOKUP($B1477,AssetCategories!$A:$E,2,0),"")</f>
        <v/>
      </c>
      <c r="EN1477" t="str">
        <f>IF(NOT(ISBLANK($B1477)),VLOOKUP($B1477,AssetCategories!$A:$E,3,0),"")</f>
        <v/>
      </c>
      <c r="EP1477" s="33" t="str">
        <f t="shared" ref="EP1477:EP1540" si="47">IFERROR(P1477-EO1477, "")</f>
        <v/>
      </c>
    </row>
    <row r="1478" spans="16:146" x14ac:dyDescent="0.25">
      <c r="P1478" s="33" t="str" cm="1">
        <f t="array" ref="P1478">IFERROR(SUM(VALUE(_xlfn.TEXTSPLIT(O1478, ";"))), "")</f>
        <v/>
      </c>
      <c r="DO1478" t="str">
        <f t="shared" si="46"/>
        <v/>
      </c>
      <c r="EG1478" s="33" t="str">
        <f>IF(NOT(ISBLANK($B1478)),VLOOKUP($B1478,AssetCategories!$A:$E,5,0),"")</f>
        <v/>
      </c>
      <c r="EH1478" t="str">
        <f>IF(NOT(ISBLANK($B1478)),VLOOKUP($B1478,AssetCategories!$A:$E,4,0),"")</f>
        <v/>
      </c>
      <c r="EM1478" t="str">
        <f>IF(NOT(ISBLANK($B1478)),VLOOKUP($B1478,AssetCategories!$A:$E,2,0),"")</f>
        <v/>
      </c>
      <c r="EN1478" t="str">
        <f>IF(NOT(ISBLANK($B1478)),VLOOKUP($B1478,AssetCategories!$A:$E,3,0),"")</f>
        <v/>
      </c>
      <c r="EP1478" s="33" t="str">
        <f t="shared" si="47"/>
        <v/>
      </c>
    </row>
    <row r="1479" spans="16:146" x14ac:dyDescent="0.25">
      <c r="P1479" s="33" t="str" cm="1">
        <f t="array" ref="P1479">IFERROR(SUM(VALUE(_xlfn.TEXTSPLIT(O1479, ";"))), "")</f>
        <v/>
      </c>
      <c r="DO1479" t="str">
        <f t="shared" si="46"/>
        <v/>
      </c>
      <c r="EG1479" s="33" t="str">
        <f>IF(NOT(ISBLANK($B1479)),VLOOKUP($B1479,AssetCategories!$A:$E,5,0),"")</f>
        <v/>
      </c>
      <c r="EH1479" t="str">
        <f>IF(NOT(ISBLANK($B1479)),VLOOKUP($B1479,AssetCategories!$A:$E,4,0),"")</f>
        <v/>
      </c>
      <c r="EM1479" t="str">
        <f>IF(NOT(ISBLANK($B1479)),VLOOKUP($B1479,AssetCategories!$A:$E,2,0),"")</f>
        <v/>
      </c>
      <c r="EN1479" t="str">
        <f>IF(NOT(ISBLANK($B1479)),VLOOKUP($B1479,AssetCategories!$A:$E,3,0),"")</f>
        <v/>
      </c>
      <c r="EP1479" s="33" t="str">
        <f t="shared" si="47"/>
        <v/>
      </c>
    </row>
    <row r="1480" spans="16:146" x14ac:dyDescent="0.25">
      <c r="P1480" s="33" t="str" cm="1">
        <f t="array" ref="P1480">IFERROR(SUM(VALUE(_xlfn.TEXTSPLIT(O1480, ";"))), "")</f>
        <v/>
      </c>
      <c r="DO1480" t="str">
        <f t="shared" si="46"/>
        <v/>
      </c>
      <c r="EG1480" s="33" t="str">
        <f>IF(NOT(ISBLANK($B1480)),VLOOKUP($B1480,AssetCategories!$A:$E,5,0),"")</f>
        <v/>
      </c>
      <c r="EH1480" t="str">
        <f>IF(NOT(ISBLANK($B1480)),VLOOKUP($B1480,AssetCategories!$A:$E,4,0),"")</f>
        <v/>
      </c>
      <c r="EM1480" t="str">
        <f>IF(NOT(ISBLANK($B1480)),VLOOKUP($B1480,AssetCategories!$A:$E,2,0),"")</f>
        <v/>
      </c>
      <c r="EN1480" t="str">
        <f>IF(NOT(ISBLANK($B1480)),VLOOKUP($B1480,AssetCategories!$A:$E,3,0),"")</f>
        <v/>
      </c>
      <c r="EP1480" s="33" t="str">
        <f t="shared" si="47"/>
        <v/>
      </c>
    </row>
    <row r="1481" spans="16:146" x14ac:dyDescent="0.25">
      <c r="P1481" s="33" t="str" cm="1">
        <f t="array" ref="P1481">IFERROR(SUM(VALUE(_xlfn.TEXTSPLIT(O1481, ";"))), "")</f>
        <v/>
      </c>
      <c r="DO1481" t="str">
        <f t="shared" si="46"/>
        <v/>
      </c>
      <c r="EG1481" s="33" t="str">
        <f>IF(NOT(ISBLANK($B1481)),VLOOKUP($B1481,AssetCategories!$A:$E,5,0),"")</f>
        <v/>
      </c>
      <c r="EH1481" t="str">
        <f>IF(NOT(ISBLANK($B1481)),VLOOKUP($B1481,AssetCategories!$A:$E,4,0),"")</f>
        <v/>
      </c>
      <c r="EM1481" t="str">
        <f>IF(NOT(ISBLANK($B1481)),VLOOKUP($B1481,AssetCategories!$A:$E,2,0),"")</f>
        <v/>
      </c>
      <c r="EN1481" t="str">
        <f>IF(NOT(ISBLANK($B1481)),VLOOKUP($B1481,AssetCategories!$A:$E,3,0),"")</f>
        <v/>
      </c>
      <c r="EP1481" s="33" t="str">
        <f t="shared" si="47"/>
        <v/>
      </c>
    </row>
    <row r="1482" spans="16:146" x14ac:dyDescent="0.25">
      <c r="P1482" s="33" t="str" cm="1">
        <f t="array" ref="P1482">IFERROR(SUM(VALUE(_xlfn.TEXTSPLIT(O1482, ";"))), "")</f>
        <v/>
      </c>
      <c r="DO1482" t="str">
        <f t="shared" si="46"/>
        <v/>
      </c>
      <c r="EG1482" s="33" t="str">
        <f>IF(NOT(ISBLANK($B1482)),VLOOKUP($B1482,AssetCategories!$A:$E,5,0),"")</f>
        <v/>
      </c>
      <c r="EH1482" t="str">
        <f>IF(NOT(ISBLANK($B1482)),VLOOKUP($B1482,AssetCategories!$A:$E,4,0),"")</f>
        <v/>
      </c>
      <c r="EM1482" t="str">
        <f>IF(NOT(ISBLANK($B1482)),VLOOKUP($B1482,AssetCategories!$A:$E,2,0),"")</f>
        <v/>
      </c>
      <c r="EN1482" t="str">
        <f>IF(NOT(ISBLANK($B1482)),VLOOKUP($B1482,AssetCategories!$A:$E,3,0),"")</f>
        <v/>
      </c>
      <c r="EP1482" s="33" t="str">
        <f t="shared" si="47"/>
        <v/>
      </c>
    </row>
    <row r="1483" spans="16:146" x14ac:dyDescent="0.25">
      <c r="P1483" s="33" t="str" cm="1">
        <f t="array" ref="P1483">IFERROR(SUM(VALUE(_xlfn.TEXTSPLIT(O1483, ";"))), "")</f>
        <v/>
      </c>
      <c r="DO1483" t="str">
        <f t="shared" si="46"/>
        <v/>
      </c>
      <c r="EG1483" s="33" t="str">
        <f>IF(NOT(ISBLANK($B1483)),VLOOKUP($B1483,AssetCategories!$A:$E,5,0),"")</f>
        <v/>
      </c>
      <c r="EH1483" t="str">
        <f>IF(NOT(ISBLANK($B1483)),VLOOKUP($B1483,AssetCategories!$A:$E,4,0),"")</f>
        <v/>
      </c>
      <c r="EM1483" t="str">
        <f>IF(NOT(ISBLANK($B1483)),VLOOKUP($B1483,AssetCategories!$A:$E,2,0),"")</f>
        <v/>
      </c>
      <c r="EN1483" t="str">
        <f>IF(NOT(ISBLANK($B1483)),VLOOKUP($B1483,AssetCategories!$A:$E,3,0),"")</f>
        <v/>
      </c>
      <c r="EP1483" s="33" t="str">
        <f t="shared" si="47"/>
        <v/>
      </c>
    </row>
    <row r="1484" spans="16:146" x14ac:dyDescent="0.25">
      <c r="P1484" s="33" t="str" cm="1">
        <f t="array" ref="P1484">IFERROR(SUM(VALUE(_xlfn.TEXTSPLIT(O1484, ";"))), "")</f>
        <v/>
      </c>
      <c r="DO1484" t="str">
        <f t="shared" si="46"/>
        <v/>
      </c>
      <c r="EG1484" s="33" t="str">
        <f>IF(NOT(ISBLANK($B1484)),VLOOKUP($B1484,AssetCategories!$A:$E,5,0),"")</f>
        <v/>
      </c>
      <c r="EH1484" t="str">
        <f>IF(NOT(ISBLANK($B1484)),VLOOKUP($B1484,AssetCategories!$A:$E,4,0),"")</f>
        <v/>
      </c>
      <c r="EM1484" t="str">
        <f>IF(NOT(ISBLANK($B1484)),VLOOKUP($B1484,AssetCategories!$A:$E,2,0),"")</f>
        <v/>
      </c>
      <c r="EN1484" t="str">
        <f>IF(NOT(ISBLANK($B1484)),VLOOKUP($B1484,AssetCategories!$A:$E,3,0),"")</f>
        <v/>
      </c>
      <c r="EP1484" s="33" t="str">
        <f t="shared" si="47"/>
        <v/>
      </c>
    </row>
    <row r="1485" spans="16:146" x14ac:dyDescent="0.25">
      <c r="P1485" s="33" t="str" cm="1">
        <f t="array" ref="P1485">IFERROR(SUM(VALUE(_xlfn.TEXTSPLIT(O1485, ";"))), "")</f>
        <v/>
      </c>
      <c r="DO1485" t="str">
        <f t="shared" si="46"/>
        <v/>
      </c>
      <c r="EG1485" s="33" t="str">
        <f>IF(NOT(ISBLANK($B1485)),VLOOKUP($B1485,AssetCategories!$A:$E,5,0),"")</f>
        <v/>
      </c>
      <c r="EH1485" t="str">
        <f>IF(NOT(ISBLANK($B1485)),VLOOKUP($B1485,AssetCategories!$A:$E,4,0),"")</f>
        <v/>
      </c>
      <c r="EM1485" t="str">
        <f>IF(NOT(ISBLANK($B1485)),VLOOKUP($B1485,AssetCategories!$A:$E,2,0),"")</f>
        <v/>
      </c>
      <c r="EN1485" t="str">
        <f>IF(NOT(ISBLANK($B1485)),VLOOKUP($B1485,AssetCategories!$A:$E,3,0),"")</f>
        <v/>
      </c>
      <c r="EP1485" s="33" t="str">
        <f t="shared" si="47"/>
        <v/>
      </c>
    </row>
    <row r="1486" spans="16:146" x14ac:dyDescent="0.25">
      <c r="P1486" s="33" t="str" cm="1">
        <f t="array" ref="P1486">IFERROR(SUM(VALUE(_xlfn.TEXTSPLIT(O1486, ";"))), "")</f>
        <v/>
      </c>
      <c r="DO1486" t="str">
        <f t="shared" si="46"/>
        <v/>
      </c>
      <c r="EG1486" s="33" t="str">
        <f>IF(NOT(ISBLANK($B1486)),VLOOKUP($B1486,AssetCategories!$A:$E,5,0),"")</f>
        <v/>
      </c>
      <c r="EH1486" t="str">
        <f>IF(NOT(ISBLANK($B1486)),VLOOKUP($B1486,AssetCategories!$A:$E,4,0),"")</f>
        <v/>
      </c>
      <c r="EM1486" t="str">
        <f>IF(NOT(ISBLANK($B1486)),VLOOKUP($B1486,AssetCategories!$A:$E,2,0),"")</f>
        <v/>
      </c>
      <c r="EN1486" t="str">
        <f>IF(NOT(ISBLANK($B1486)),VLOOKUP($B1486,AssetCategories!$A:$E,3,0),"")</f>
        <v/>
      </c>
      <c r="EP1486" s="33" t="str">
        <f t="shared" si="47"/>
        <v/>
      </c>
    </row>
    <row r="1487" spans="16:146" x14ac:dyDescent="0.25">
      <c r="P1487" s="33" t="str" cm="1">
        <f t="array" ref="P1487">IFERROR(SUM(VALUE(_xlfn.TEXTSPLIT(O1487, ";"))), "")</f>
        <v/>
      </c>
      <c r="DO1487" t="str">
        <f t="shared" si="46"/>
        <v/>
      </c>
      <c r="EG1487" s="33" t="str">
        <f>IF(NOT(ISBLANK($B1487)),VLOOKUP($B1487,AssetCategories!$A:$E,5,0),"")</f>
        <v/>
      </c>
      <c r="EH1487" t="str">
        <f>IF(NOT(ISBLANK($B1487)),VLOOKUP($B1487,AssetCategories!$A:$E,4,0),"")</f>
        <v/>
      </c>
      <c r="EM1487" t="str">
        <f>IF(NOT(ISBLANK($B1487)),VLOOKUP($B1487,AssetCategories!$A:$E,2,0),"")</f>
        <v/>
      </c>
      <c r="EN1487" t="str">
        <f>IF(NOT(ISBLANK($B1487)),VLOOKUP($B1487,AssetCategories!$A:$E,3,0),"")</f>
        <v/>
      </c>
      <c r="EP1487" s="33" t="str">
        <f t="shared" si="47"/>
        <v/>
      </c>
    </row>
    <row r="1488" spans="16:146" x14ac:dyDescent="0.25">
      <c r="P1488" s="33" t="str" cm="1">
        <f t="array" ref="P1488">IFERROR(SUM(VALUE(_xlfn.TEXTSPLIT(O1488, ";"))), "")</f>
        <v/>
      </c>
      <c r="DO1488" t="str">
        <f t="shared" si="46"/>
        <v/>
      </c>
      <c r="EG1488" s="33" t="str">
        <f>IF(NOT(ISBLANK($B1488)),VLOOKUP($B1488,AssetCategories!$A:$E,5,0),"")</f>
        <v/>
      </c>
      <c r="EH1488" t="str">
        <f>IF(NOT(ISBLANK($B1488)),VLOOKUP($B1488,AssetCategories!$A:$E,4,0),"")</f>
        <v/>
      </c>
      <c r="EM1488" t="str">
        <f>IF(NOT(ISBLANK($B1488)),VLOOKUP($B1488,AssetCategories!$A:$E,2,0),"")</f>
        <v/>
      </c>
      <c r="EN1488" t="str">
        <f>IF(NOT(ISBLANK($B1488)),VLOOKUP($B1488,AssetCategories!$A:$E,3,0),"")</f>
        <v/>
      </c>
      <c r="EP1488" s="33" t="str">
        <f t="shared" si="47"/>
        <v/>
      </c>
    </row>
    <row r="1489" spans="16:146" x14ac:dyDescent="0.25">
      <c r="P1489" s="33" t="str" cm="1">
        <f t="array" ref="P1489">IFERROR(SUM(VALUE(_xlfn.TEXTSPLIT(O1489, ";"))), "")</f>
        <v/>
      </c>
      <c r="DO1489" t="str">
        <f t="shared" si="46"/>
        <v/>
      </c>
      <c r="EG1489" s="33" t="str">
        <f>IF(NOT(ISBLANK($B1489)),VLOOKUP($B1489,AssetCategories!$A:$E,5,0),"")</f>
        <v/>
      </c>
      <c r="EH1489" t="str">
        <f>IF(NOT(ISBLANK($B1489)),VLOOKUP($B1489,AssetCategories!$A:$E,4,0),"")</f>
        <v/>
      </c>
      <c r="EM1489" t="str">
        <f>IF(NOT(ISBLANK($B1489)),VLOOKUP($B1489,AssetCategories!$A:$E,2,0),"")</f>
        <v/>
      </c>
      <c r="EN1489" t="str">
        <f>IF(NOT(ISBLANK($B1489)),VLOOKUP($B1489,AssetCategories!$A:$E,3,0),"")</f>
        <v/>
      </c>
      <c r="EP1489" s="33" t="str">
        <f t="shared" si="47"/>
        <v/>
      </c>
    </row>
    <row r="1490" spans="16:146" x14ac:dyDescent="0.25">
      <c r="P1490" s="33" t="str" cm="1">
        <f t="array" ref="P1490">IFERROR(SUM(VALUE(_xlfn.TEXTSPLIT(O1490, ";"))), "")</f>
        <v/>
      </c>
      <c r="DO1490" t="str">
        <f t="shared" si="46"/>
        <v/>
      </c>
      <c r="EG1490" s="33" t="str">
        <f>IF(NOT(ISBLANK($B1490)),VLOOKUP($B1490,AssetCategories!$A:$E,5,0),"")</f>
        <v/>
      </c>
      <c r="EH1490" t="str">
        <f>IF(NOT(ISBLANK($B1490)),VLOOKUP($B1490,AssetCategories!$A:$E,4,0),"")</f>
        <v/>
      </c>
      <c r="EM1490" t="str">
        <f>IF(NOT(ISBLANK($B1490)),VLOOKUP($B1490,AssetCategories!$A:$E,2,0),"")</f>
        <v/>
      </c>
      <c r="EN1490" t="str">
        <f>IF(NOT(ISBLANK($B1490)),VLOOKUP($B1490,AssetCategories!$A:$E,3,0),"")</f>
        <v/>
      </c>
      <c r="EP1490" s="33" t="str">
        <f t="shared" si="47"/>
        <v/>
      </c>
    </row>
    <row r="1491" spans="16:146" x14ac:dyDescent="0.25">
      <c r="P1491" s="33" t="str" cm="1">
        <f t="array" ref="P1491">IFERROR(SUM(VALUE(_xlfn.TEXTSPLIT(O1491, ";"))), "")</f>
        <v/>
      </c>
      <c r="DO1491" t="str">
        <f t="shared" si="46"/>
        <v/>
      </c>
      <c r="EG1491" s="33" t="str">
        <f>IF(NOT(ISBLANK($B1491)),VLOOKUP($B1491,AssetCategories!$A:$E,5,0),"")</f>
        <v/>
      </c>
      <c r="EH1491" t="str">
        <f>IF(NOT(ISBLANK($B1491)),VLOOKUP($B1491,AssetCategories!$A:$E,4,0),"")</f>
        <v/>
      </c>
      <c r="EM1491" t="str">
        <f>IF(NOT(ISBLANK($B1491)),VLOOKUP($B1491,AssetCategories!$A:$E,2,0),"")</f>
        <v/>
      </c>
      <c r="EN1491" t="str">
        <f>IF(NOT(ISBLANK($B1491)),VLOOKUP($B1491,AssetCategories!$A:$E,3,0),"")</f>
        <v/>
      </c>
      <c r="EP1491" s="33" t="str">
        <f t="shared" si="47"/>
        <v/>
      </c>
    </row>
    <row r="1492" spans="16:146" x14ac:dyDescent="0.25">
      <c r="P1492" s="33" t="str" cm="1">
        <f t="array" ref="P1492">IFERROR(SUM(VALUE(_xlfn.TEXTSPLIT(O1492, ";"))), "")</f>
        <v/>
      </c>
      <c r="DO1492" t="str">
        <f t="shared" si="46"/>
        <v/>
      </c>
      <c r="EG1492" s="33" t="str">
        <f>IF(NOT(ISBLANK($B1492)),VLOOKUP($B1492,AssetCategories!$A:$E,5,0),"")</f>
        <v/>
      </c>
      <c r="EH1492" t="str">
        <f>IF(NOT(ISBLANK($B1492)),VLOOKUP($B1492,AssetCategories!$A:$E,4,0),"")</f>
        <v/>
      </c>
      <c r="EM1492" t="str">
        <f>IF(NOT(ISBLANK($B1492)),VLOOKUP($B1492,AssetCategories!$A:$E,2,0),"")</f>
        <v/>
      </c>
      <c r="EN1492" t="str">
        <f>IF(NOT(ISBLANK($B1492)),VLOOKUP($B1492,AssetCategories!$A:$E,3,0),"")</f>
        <v/>
      </c>
      <c r="EP1492" s="33" t="str">
        <f t="shared" si="47"/>
        <v/>
      </c>
    </row>
    <row r="1493" spans="16:146" x14ac:dyDescent="0.25">
      <c r="P1493" s="33" t="str" cm="1">
        <f t="array" ref="P1493">IFERROR(SUM(VALUE(_xlfn.TEXTSPLIT(O1493, ";"))), "")</f>
        <v/>
      </c>
      <c r="DO1493" t="str">
        <f t="shared" si="46"/>
        <v/>
      </c>
      <c r="EG1493" s="33" t="str">
        <f>IF(NOT(ISBLANK($B1493)),VLOOKUP($B1493,AssetCategories!$A:$E,5,0),"")</f>
        <v/>
      </c>
      <c r="EH1493" t="str">
        <f>IF(NOT(ISBLANK($B1493)),VLOOKUP($B1493,AssetCategories!$A:$E,4,0),"")</f>
        <v/>
      </c>
      <c r="EM1493" t="str">
        <f>IF(NOT(ISBLANK($B1493)),VLOOKUP($B1493,AssetCategories!$A:$E,2,0),"")</f>
        <v/>
      </c>
      <c r="EN1493" t="str">
        <f>IF(NOT(ISBLANK($B1493)),VLOOKUP($B1493,AssetCategories!$A:$E,3,0),"")</f>
        <v/>
      </c>
      <c r="EP1493" s="33" t="str">
        <f t="shared" si="47"/>
        <v/>
      </c>
    </row>
    <row r="1494" spans="16:146" x14ac:dyDescent="0.25">
      <c r="P1494" s="33" t="str" cm="1">
        <f t="array" ref="P1494">IFERROR(SUM(VALUE(_xlfn.TEXTSPLIT(O1494, ";"))), "")</f>
        <v/>
      </c>
      <c r="DO1494" t="str">
        <f t="shared" si="46"/>
        <v/>
      </c>
      <c r="EG1494" s="33" t="str">
        <f>IF(NOT(ISBLANK($B1494)),VLOOKUP($B1494,AssetCategories!$A:$E,5,0),"")</f>
        <v/>
      </c>
      <c r="EH1494" t="str">
        <f>IF(NOT(ISBLANK($B1494)),VLOOKUP($B1494,AssetCategories!$A:$E,4,0),"")</f>
        <v/>
      </c>
      <c r="EM1494" t="str">
        <f>IF(NOT(ISBLANK($B1494)),VLOOKUP($B1494,AssetCategories!$A:$E,2,0),"")</f>
        <v/>
      </c>
      <c r="EN1494" t="str">
        <f>IF(NOT(ISBLANK($B1494)),VLOOKUP($B1494,AssetCategories!$A:$E,3,0),"")</f>
        <v/>
      </c>
      <c r="EP1494" s="33" t="str">
        <f t="shared" si="47"/>
        <v/>
      </c>
    </row>
    <row r="1495" spans="16:146" x14ac:dyDescent="0.25">
      <c r="P1495" s="33" t="str" cm="1">
        <f t="array" ref="P1495">IFERROR(SUM(VALUE(_xlfn.TEXTSPLIT(O1495, ";"))), "")</f>
        <v/>
      </c>
      <c r="DO1495" t="str">
        <f t="shared" si="46"/>
        <v/>
      </c>
      <c r="EG1495" s="33" t="str">
        <f>IF(NOT(ISBLANK($B1495)),VLOOKUP($B1495,AssetCategories!$A:$E,5,0),"")</f>
        <v/>
      </c>
      <c r="EH1495" t="str">
        <f>IF(NOT(ISBLANK($B1495)),VLOOKUP($B1495,AssetCategories!$A:$E,4,0),"")</f>
        <v/>
      </c>
      <c r="EM1495" t="str">
        <f>IF(NOT(ISBLANK($B1495)),VLOOKUP($B1495,AssetCategories!$A:$E,2,0),"")</f>
        <v/>
      </c>
      <c r="EN1495" t="str">
        <f>IF(NOT(ISBLANK($B1495)),VLOOKUP($B1495,AssetCategories!$A:$E,3,0),"")</f>
        <v/>
      </c>
      <c r="EP1495" s="33" t="str">
        <f t="shared" si="47"/>
        <v/>
      </c>
    </row>
    <row r="1496" spans="16:146" x14ac:dyDescent="0.25">
      <c r="P1496" s="33" t="str" cm="1">
        <f t="array" ref="P1496">IFERROR(SUM(VALUE(_xlfn.TEXTSPLIT(O1496, ";"))), "")</f>
        <v/>
      </c>
      <c r="DO1496" t="str">
        <f t="shared" si="46"/>
        <v/>
      </c>
      <c r="EG1496" s="33" t="str">
        <f>IF(NOT(ISBLANK($B1496)),VLOOKUP($B1496,AssetCategories!$A:$E,5,0),"")</f>
        <v/>
      </c>
      <c r="EH1496" t="str">
        <f>IF(NOT(ISBLANK($B1496)),VLOOKUP($B1496,AssetCategories!$A:$E,4,0),"")</f>
        <v/>
      </c>
      <c r="EM1496" t="str">
        <f>IF(NOT(ISBLANK($B1496)),VLOOKUP($B1496,AssetCategories!$A:$E,2,0),"")</f>
        <v/>
      </c>
      <c r="EN1496" t="str">
        <f>IF(NOT(ISBLANK($B1496)),VLOOKUP($B1496,AssetCategories!$A:$E,3,0),"")</f>
        <v/>
      </c>
      <c r="EP1496" s="33" t="str">
        <f t="shared" si="47"/>
        <v/>
      </c>
    </row>
    <row r="1497" spans="16:146" x14ac:dyDescent="0.25">
      <c r="P1497" s="33" t="str" cm="1">
        <f t="array" ref="P1497">IFERROR(SUM(VALUE(_xlfn.TEXTSPLIT(O1497, ";"))), "")</f>
        <v/>
      </c>
      <c r="DO1497" t="str">
        <f t="shared" si="46"/>
        <v/>
      </c>
      <c r="EG1497" s="33" t="str">
        <f>IF(NOT(ISBLANK($B1497)),VLOOKUP($B1497,AssetCategories!$A:$E,5,0),"")</f>
        <v/>
      </c>
      <c r="EH1497" t="str">
        <f>IF(NOT(ISBLANK($B1497)),VLOOKUP($B1497,AssetCategories!$A:$E,4,0),"")</f>
        <v/>
      </c>
      <c r="EM1497" t="str">
        <f>IF(NOT(ISBLANK($B1497)),VLOOKUP($B1497,AssetCategories!$A:$E,2,0),"")</f>
        <v/>
      </c>
      <c r="EN1497" t="str">
        <f>IF(NOT(ISBLANK($B1497)),VLOOKUP($B1497,AssetCategories!$A:$E,3,0),"")</f>
        <v/>
      </c>
      <c r="EP1497" s="33" t="str">
        <f t="shared" si="47"/>
        <v/>
      </c>
    </row>
    <row r="1498" spans="16:146" x14ac:dyDescent="0.25">
      <c r="P1498" s="33" t="str" cm="1">
        <f t="array" ref="P1498">IFERROR(SUM(VALUE(_xlfn.TEXTSPLIT(O1498, ";"))), "")</f>
        <v/>
      </c>
      <c r="DO1498" t="str">
        <f t="shared" si="46"/>
        <v/>
      </c>
      <c r="EG1498" s="33" t="str">
        <f>IF(NOT(ISBLANK($B1498)),VLOOKUP($B1498,AssetCategories!$A:$E,5,0),"")</f>
        <v/>
      </c>
      <c r="EH1498" t="str">
        <f>IF(NOT(ISBLANK($B1498)),VLOOKUP($B1498,AssetCategories!$A:$E,4,0),"")</f>
        <v/>
      </c>
      <c r="EM1498" t="str">
        <f>IF(NOT(ISBLANK($B1498)),VLOOKUP($B1498,AssetCategories!$A:$E,2,0),"")</f>
        <v/>
      </c>
      <c r="EN1498" t="str">
        <f>IF(NOT(ISBLANK($B1498)),VLOOKUP($B1498,AssetCategories!$A:$E,3,0),"")</f>
        <v/>
      </c>
      <c r="EP1498" s="33" t="str">
        <f t="shared" si="47"/>
        <v/>
      </c>
    </row>
    <row r="1499" spans="16:146" x14ac:dyDescent="0.25">
      <c r="P1499" s="33" t="str" cm="1">
        <f t="array" ref="P1499">IFERROR(SUM(VALUE(_xlfn.TEXTSPLIT(O1499, ";"))), "")</f>
        <v/>
      </c>
      <c r="DO1499" t="str">
        <f t="shared" si="46"/>
        <v/>
      </c>
      <c r="EG1499" s="33" t="str">
        <f>IF(NOT(ISBLANK($B1499)),VLOOKUP($B1499,AssetCategories!$A:$E,5,0),"")</f>
        <v/>
      </c>
      <c r="EH1499" t="str">
        <f>IF(NOT(ISBLANK($B1499)),VLOOKUP($B1499,AssetCategories!$A:$E,4,0),"")</f>
        <v/>
      </c>
      <c r="EM1499" t="str">
        <f>IF(NOT(ISBLANK($B1499)),VLOOKUP($B1499,AssetCategories!$A:$E,2,0),"")</f>
        <v/>
      </c>
      <c r="EN1499" t="str">
        <f>IF(NOT(ISBLANK($B1499)),VLOOKUP($B1499,AssetCategories!$A:$E,3,0),"")</f>
        <v/>
      </c>
      <c r="EP1499" s="33" t="str">
        <f t="shared" si="47"/>
        <v/>
      </c>
    </row>
    <row r="1500" spans="16:146" x14ac:dyDescent="0.25">
      <c r="P1500" s="33" t="str" cm="1">
        <f t="array" ref="P1500">IFERROR(SUM(VALUE(_xlfn.TEXTSPLIT(O1500, ";"))), "")</f>
        <v/>
      </c>
      <c r="DO1500" t="str">
        <f t="shared" si="46"/>
        <v/>
      </c>
      <c r="EG1500" s="33" t="str">
        <f>IF(NOT(ISBLANK($B1500)),VLOOKUP($B1500,AssetCategories!$A:$E,5,0),"")</f>
        <v/>
      </c>
      <c r="EH1500" t="str">
        <f>IF(NOT(ISBLANK($B1500)),VLOOKUP($B1500,AssetCategories!$A:$E,4,0),"")</f>
        <v/>
      </c>
      <c r="EM1500" t="str">
        <f>IF(NOT(ISBLANK($B1500)),VLOOKUP($B1500,AssetCategories!$A:$E,2,0),"")</f>
        <v/>
      </c>
      <c r="EN1500" t="str">
        <f>IF(NOT(ISBLANK($B1500)),VLOOKUP($B1500,AssetCategories!$A:$E,3,0),"")</f>
        <v/>
      </c>
      <c r="EP1500" s="33" t="str">
        <f t="shared" si="47"/>
        <v/>
      </c>
    </row>
    <row r="1501" spans="16:146" x14ac:dyDescent="0.25">
      <c r="P1501" s="33" t="str" cm="1">
        <f t="array" ref="P1501">IFERROR(SUM(VALUE(_xlfn.TEXTSPLIT(O1501, ";"))), "")</f>
        <v/>
      </c>
      <c r="DO1501" t="str">
        <f t="shared" si="46"/>
        <v/>
      </c>
      <c r="EG1501" s="33" t="str">
        <f>IF(NOT(ISBLANK($B1501)),VLOOKUP($B1501,AssetCategories!$A:$E,5,0),"")</f>
        <v/>
      </c>
      <c r="EH1501" t="str">
        <f>IF(NOT(ISBLANK($B1501)),VLOOKUP($B1501,AssetCategories!$A:$E,4,0),"")</f>
        <v/>
      </c>
      <c r="EM1501" t="str">
        <f>IF(NOT(ISBLANK($B1501)),VLOOKUP($B1501,AssetCategories!$A:$E,2,0),"")</f>
        <v/>
      </c>
      <c r="EN1501" t="str">
        <f>IF(NOT(ISBLANK($B1501)),VLOOKUP($B1501,AssetCategories!$A:$E,3,0),"")</f>
        <v/>
      </c>
      <c r="EP1501" s="33" t="str">
        <f t="shared" si="47"/>
        <v/>
      </c>
    </row>
    <row r="1502" spans="16:146" x14ac:dyDescent="0.25">
      <c r="P1502" s="33" t="str" cm="1">
        <f t="array" ref="P1502">IFERROR(SUM(VALUE(_xlfn.TEXTSPLIT(O1502, ";"))), "")</f>
        <v/>
      </c>
      <c r="DO1502" t="str">
        <f t="shared" si="46"/>
        <v/>
      </c>
      <c r="EG1502" s="33" t="str">
        <f>IF(NOT(ISBLANK($B1502)),VLOOKUP($B1502,AssetCategories!$A:$E,5,0),"")</f>
        <v/>
      </c>
      <c r="EH1502" t="str">
        <f>IF(NOT(ISBLANK($B1502)),VLOOKUP($B1502,AssetCategories!$A:$E,4,0),"")</f>
        <v/>
      </c>
      <c r="EM1502" t="str">
        <f>IF(NOT(ISBLANK($B1502)),VLOOKUP($B1502,AssetCategories!$A:$E,2,0),"")</f>
        <v/>
      </c>
      <c r="EN1502" t="str">
        <f>IF(NOT(ISBLANK($B1502)),VLOOKUP($B1502,AssetCategories!$A:$E,3,0),"")</f>
        <v/>
      </c>
      <c r="EP1502" s="33" t="str">
        <f t="shared" si="47"/>
        <v/>
      </c>
    </row>
    <row r="1503" spans="16:146" x14ac:dyDescent="0.25">
      <c r="P1503" s="33" t="str" cm="1">
        <f t="array" ref="P1503">IFERROR(SUM(VALUE(_xlfn.TEXTSPLIT(O1503, ";"))), "")</f>
        <v/>
      </c>
      <c r="DO1503" t="str">
        <f t="shared" si="46"/>
        <v/>
      </c>
      <c r="EG1503" s="33" t="str">
        <f>IF(NOT(ISBLANK($B1503)),VLOOKUP($B1503,AssetCategories!$A:$E,5,0),"")</f>
        <v/>
      </c>
      <c r="EH1503" t="str">
        <f>IF(NOT(ISBLANK($B1503)),VLOOKUP($B1503,AssetCategories!$A:$E,4,0),"")</f>
        <v/>
      </c>
      <c r="EM1503" t="str">
        <f>IF(NOT(ISBLANK($B1503)),VLOOKUP($B1503,AssetCategories!$A:$E,2,0),"")</f>
        <v/>
      </c>
      <c r="EN1503" t="str">
        <f>IF(NOT(ISBLANK($B1503)),VLOOKUP($B1503,AssetCategories!$A:$E,3,0),"")</f>
        <v/>
      </c>
      <c r="EP1503" s="33" t="str">
        <f t="shared" si="47"/>
        <v/>
      </c>
    </row>
    <row r="1504" spans="16:146" x14ac:dyDescent="0.25">
      <c r="P1504" s="33" t="str" cm="1">
        <f t="array" ref="P1504">IFERROR(SUM(VALUE(_xlfn.TEXTSPLIT(O1504, ";"))), "")</f>
        <v/>
      </c>
      <c r="DO1504" t="str">
        <f t="shared" si="46"/>
        <v/>
      </c>
      <c r="EG1504" s="33" t="str">
        <f>IF(NOT(ISBLANK($B1504)),VLOOKUP($B1504,AssetCategories!$A:$E,5,0),"")</f>
        <v/>
      </c>
      <c r="EH1504" t="str">
        <f>IF(NOT(ISBLANK($B1504)),VLOOKUP($B1504,AssetCategories!$A:$E,4,0),"")</f>
        <v/>
      </c>
      <c r="EM1504" t="str">
        <f>IF(NOT(ISBLANK($B1504)),VLOOKUP($B1504,AssetCategories!$A:$E,2,0),"")</f>
        <v/>
      </c>
      <c r="EN1504" t="str">
        <f>IF(NOT(ISBLANK($B1504)),VLOOKUP($B1504,AssetCategories!$A:$E,3,0),"")</f>
        <v/>
      </c>
      <c r="EP1504" s="33" t="str">
        <f t="shared" si="47"/>
        <v/>
      </c>
    </row>
    <row r="1505" spans="16:146" x14ac:dyDescent="0.25">
      <c r="P1505" s="33" t="str" cm="1">
        <f t="array" ref="P1505">IFERROR(SUM(VALUE(_xlfn.TEXTSPLIT(O1505, ";"))), "")</f>
        <v/>
      </c>
      <c r="DO1505" t="str">
        <f t="shared" si="46"/>
        <v/>
      </c>
      <c r="EG1505" s="33" t="str">
        <f>IF(NOT(ISBLANK($B1505)),VLOOKUP($B1505,AssetCategories!$A:$E,5,0),"")</f>
        <v/>
      </c>
      <c r="EH1505" t="str">
        <f>IF(NOT(ISBLANK($B1505)),VLOOKUP($B1505,AssetCategories!$A:$E,4,0),"")</f>
        <v/>
      </c>
      <c r="EM1505" t="str">
        <f>IF(NOT(ISBLANK($B1505)),VLOOKUP($B1505,AssetCategories!$A:$E,2,0),"")</f>
        <v/>
      </c>
      <c r="EN1505" t="str">
        <f>IF(NOT(ISBLANK($B1505)),VLOOKUP($B1505,AssetCategories!$A:$E,3,0),"")</f>
        <v/>
      </c>
      <c r="EP1505" s="33" t="str">
        <f t="shared" si="47"/>
        <v/>
      </c>
    </row>
    <row r="1506" spans="16:146" x14ac:dyDescent="0.25">
      <c r="P1506" s="33" t="str" cm="1">
        <f t="array" ref="P1506">IFERROR(SUM(VALUE(_xlfn.TEXTSPLIT(O1506, ";"))), "")</f>
        <v/>
      </c>
      <c r="DO1506" t="str">
        <f t="shared" si="46"/>
        <v/>
      </c>
      <c r="EG1506" s="33" t="str">
        <f>IF(NOT(ISBLANK($B1506)),VLOOKUP($B1506,AssetCategories!$A:$E,5,0),"")</f>
        <v/>
      </c>
      <c r="EH1506" t="str">
        <f>IF(NOT(ISBLANK($B1506)),VLOOKUP($B1506,AssetCategories!$A:$E,4,0),"")</f>
        <v/>
      </c>
      <c r="EM1506" t="str">
        <f>IF(NOT(ISBLANK($B1506)),VLOOKUP($B1506,AssetCategories!$A:$E,2,0),"")</f>
        <v/>
      </c>
      <c r="EN1506" t="str">
        <f>IF(NOT(ISBLANK($B1506)),VLOOKUP($B1506,AssetCategories!$A:$E,3,0),"")</f>
        <v/>
      </c>
      <c r="EP1506" s="33" t="str">
        <f t="shared" si="47"/>
        <v/>
      </c>
    </row>
    <row r="1507" spans="16:146" x14ac:dyDescent="0.25">
      <c r="P1507" s="33" t="str" cm="1">
        <f t="array" ref="P1507">IFERROR(SUM(VALUE(_xlfn.TEXTSPLIT(O1507, ";"))), "")</f>
        <v/>
      </c>
      <c r="DO1507" t="str">
        <f t="shared" si="46"/>
        <v/>
      </c>
      <c r="EG1507" s="33" t="str">
        <f>IF(NOT(ISBLANK($B1507)),VLOOKUP($B1507,AssetCategories!$A:$E,5,0),"")</f>
        <v/>
      </c>
      <c r="EH1507" t="str">
        <f>IF(NOT(ISBLANK($B1507)),VLOOKUP($B1507,AssetCategories!$A:$E,4,0),"")</f>
        <v/>
      </c>
      <c r="EM1507" t="str">
        <f>IF(NOT(ISBLANK($B1507)),VLOOKUP($B1507,AssetCategories!$A:$E,2,0),"")</f>
        <v/>
      </c>
      <c r="EN1507" t="str">
        <f>IF(NOT(ISBLANK($B1507)),VLOOKUP($B1507,AssetCategories!$A:$E,3,0),"")</f>
        <v/>
      </c>
      <c r="EP1507" s="33" t="str">
        <f t="shared" si="47"/>
        <v/>
      </c>
    </row>
    <row r="1508" spans="16:146" x14ac:dyDescent="0.25">
      <c r="P1508" s="33" t="str" cm="1">
        <f t="array" ref="P1508">IFERROR(SUM(VALUE(_xlfn.TEXTSPLIT(O1508, ";"))), "")</f>
        <v/>
      </c>
      <c r="DO1508" t="str">
        <f t="shared" si="46"/>
        <v/>
      </c>
      <c r="EG1508" s="33" t="str">
        <f>IF(NOT(ISBLANK($B1508)),VLOOKUP($B1508,AssetCategories!$A:$E,5,0),"")</f>
        <v/>
      </c>
      <c r="EH1508" t="str">
        <f>IF(NOT(ISBLANK($B1508)),VLOOKUP($B1508,AssetCategories!$A:$E,4,0),"")</f>
        <v/>
      </c>
      <c r="EM1508" t="str">
        <f>IF(NOT(ISBLANK($B1508)),VLOOKUP($B1508,AssetCategories!$A:$E,2,0),"")</f>
        <v/>
      </c>
      <c r="EN1508" t="str">
        <f>IF(NOT(ISBLANK($B1508)),VLOOKUP($B1508,AssetCategories!$A:$E,3,0),"")</f>
        <v/>
      </c>
      <c r="EP1508" s="33" t="str">
        <f t="shared" si="47"/>
        <v/>
      </c>
    </row>
    <row r="1509" spans="16:146" x14ac:dyDescent="0.25">
      <c r="P1509" s="33" t="str" cm="1">
        <f t="array" ref="P1509">IFERROR(SUM(VALUE(_xlfn.TEXTSPLIT(O1509, ";"))), "")</f>
        <v/>
      </c>
      <c r="DO1509" t="str">
        <f t="shared" si="46"/>
        <v/>
      </c>
      <c r="EG1509" s="33" t="str">
        <f>IF(NOT(ISBLANK($B1509)),VLOOKUP($B1509,AssetCategories!$A:$E,5,0),"")</f>
        <v/>
      </c>
      <c r="EH1509" t="str">
        <f>IF(NOT(ISBLANK($B1509)),VLOOKUP($B1509,AssetCategories!$A:$E,4,0),"")</f>
        <v/>
      </c>
      <c r="EM1509" t="str">
        <f>IF(NOT(ISBLANK($B1509)),VLOOKUP($B1509,AssetCategories!$A:$E,2,0),"")</f>
        <v/>
      </c>
      <c r="EN1509" t="str">
        <f>IF(NOT(ISBLANK($B1509)),VLOOKUP($B1509,AssetCategories!$A:$E,3,0),"")</f>
        <v/>
      </c>
      <c r="EP1509" s="33" t="str">
        <f t="shared" si="47"/>
        <v/>
      </c>
    </row>
    <row r="1510" spans="16:146" x14ac:dyDescent="0.25">
      <c r="P1510" s="33" t="str" cm="1">
        <f t="array" ref="P1510">IFERROR(SUM(VALUE(_xlfn.TEXTSPLIT(O1510, ";"))), "")</f>
        <v/>
      </c>
      <c r="DO1510" t="str">
        <f t="shared" si="46"/>
        <v/>
      </c>
      <c r="EG1510" s="33" t="str">
        <f>IF(NOT(ISBLANK($B1510)),VLOOKUP($B1510,AssetCategories!$A:$E,5,0),"")</f>
        <v/>
      </c>
      <c r="EH1510" t="str">
        <f>IF(NOT(ISBLANK($B1510)),VLOOKUP($B1510,AssetCategories!$A:$E,4,0),"")</f>
        <v/>
      </c>
      <c r="EM1510" t="str">
        <f>IF(NOT(ISBLANK($B1510)),VLOOKUP($B1510,AssetCategories!$A:$E,2,0),"")</f>
        <v/>
      </c>
      <c r="EN1510" t="str">
        <f>IF(NOT(ISBLANK($B1510)),VLOOKUP($B1510,AssetCategories!$A:$E,3,0),"")</f>
        <v/>
      </c>
      <c r="EP1510" s="33" t="str">
        <f t="shared" si="47"/>
        <v/>
      </c>
    </row>
    <row r="1511" spans="16:146" x14ac:dyDescent="0.25">
      <c r="P1511" s="33" t="str" cm="1">
        <f t="array" ref="P1511">IFERROR(SUM(VALUE(_xlfn.TEXTSPLIT(O1511, ";"))), "")</f>
        <v/>
      </c>
      <c r="DO1511" t="str">
        <f t="shared" si="46"/>
        <v/>
      </c>
      <c r="EG1511" s="33" t="str">
        <f>IF(NOT(ISBLANK($B1511)),VLOOKUP($B1511,AssetCategories!$A:$E,5,0),"")</f>
        <v/>
      </c>
      <c r="EH1511" t="str">
        <f>IF(NOT(ISBLANK($B1511)),VLOOKUP($B1511,AssetCategories!$A:$E,4,0),"")</f>
        <v/>
      </c>
      <c r="EM1511" t="str">
        <f>IF(NOT(ISBLANK($B1511)),VLOOKUP($B1511,AssetCategories!$A:$E,2,0),"")</f>
        <v/>
      </c>
      <c r="EN1511" t="str">
        <f>IF(NOT(ISBLANK($B1511)),VLOOKUP($B1511,AssetCategories!$A:$E,3,0),"")</f>
        <v/>
      </c>
      <c r="EP1511" s="33" t="str">
        <f t="shared" si="47"/>
        <v/>
      </c>
    </row>
    <row r="1512" spans="16:146" x14ac:dyDescent="0.25">
      <c r="P1512" s="33" t="str" cm="1">
        <f t="array" ref="P1512">IFERROR(SUM(VALUE(_xlfn.TEXTSPLIT(O1512, ";"))), "")</f>
        <v/>
      </c>
      <c r="DO1512" t="str">
        <f t="shared" si="46"/>
        <v/>
      </c>
      <c r="EG1512" s="33" t="str">
        <f>IF(NOT(ISBLANK($B1512)),VLOOKUP($B1512,AssetCategories!$A:$E,5,0),"")</f>
        <v/>
      </c>
      <c r="EH1512" t="str">
        <f>IF(NOT(ISBLANK($B1512)),VLOOKUP($B1512,AssetCategories!$A:$E,4,0),"")</f>
        <v/>
      </c>
      <c r="EM1512" t="str">
        <f>IF(NOT(ISBLANK($B1512)),VLOOKUP($B1512,AssetCategories!$A:$E,2,0),"")</f>
        <v/>
      </c>
      <c r="EN1512" t="str">
        <f>IF(NOT(ISBLANK($B1512)),VLOOKUP($B1512,AssetCategories!$A:$E,3,0),"")</f>
        <v/>
      </c>
      <c r="EP1512" s="33" t="str">
        <f t="shared" si="47"/>
        <v/>
      </c>
    </row>
    <row r="1513" spans="16:146" x14ac:dyDescent="0.25">
      <c r="P1513" s="33" t="str" cm="1">
        <f t="array" ref="P1513">IFERROR(SUM(VALUE(_xlfn.TEXTSPLIT(O1513, ";"))), "")</f>
        <v/>
      </c>
      <c r="DO1513" t="str">
        <f t="shared" si="46"/>
        <v/>
      </c>
      <c r="EG1513" s="33" t="str">
        <f>IF(NOT(ISBLANK($B1513)),VLOOKUP($B1513,AssetCategories!$A:$E,5,0),"")</f>
        <v/>
      </c>
      <c r="EH1513" t="str">
        <f>IF(NOT(ISBLANK($B1513)),VLOOKUP($B1513,AssetCategories!$A:$E,4,0),"")</f>
        <v/>
      </c>
      <c r="EM1513" t="str">
        <f>IF(NOT(ISBLANK($B1513)),VLOOKUP($B1513,AssetCategories!$A:$E,2,0),"")</f>
        <v/>
      </c>
      <c r="EN1513" t="str">
        <f>IF(NOT(ISBLANK($B1513)),VLOOKUP($B1513,AssetCategories!$A:$E,3,0),"")</f>
        <v/>
      </c>
      <c r="EP1513" s="33" t="str">
        <f t="shared" si="47"/>
        <v/>
      </c>
    </row>
    <row r="1514" spans="16:146" x14ac:dyDescent="0.25">
      <c r="P1514" s="33" t="str" cm="1">
        <f t="array" ref="P1514">IFERROR(SUM(VALUE(_xlfn.TEXTSPLIT(O1514, ";"))), "")</f>
        <v/>
      </c>
      <c r="DO1514" t="str">
        <f t="shared" si="46"/>
        <v/>
      </c>
      <c r="EG1514" s="33" t="str">
        <f>IF(NOT(ISBLANK($B1514)),VLOOKUP($B1514,AssetCategories!$A:$E,5,0),"")</f>
        <v/>
      </c>
      <c r="EH1514" t="str">
        <f>IF(NOT(ISBLANK($B1514)),VLOOKUP($B1514,AssetCategories!$A:$E,4,0),"")</f>
        <v/>
      </c>
      <c r="EM1514" t="str">
        <f>IF(NOT(ISBLANK($B1514)),VLOOKUP($B1514,AssetCategories!$A:$E,2,0),"")</f>
        <v/>
      </c>
      <c r="EN1514" t="str">
        <f>IF(NOT(ISBLANK($B1514)),VLOOKUP($B1514,AssetCategories!$A:$E,3,0),"")</f>
        <v/>
      </c>
      <c r="EP1514" s="33" t="str">
        <f t="shared" si="47"/>
        <v/>
      </c>
    </row>
    <row r="1515" spans="16:146" x14ac:dyDescent="0.25">
      <c r="P1515" s="33" t="str" cm="1">
        <f t="array" ref="P1515">IFERROR(SUM(VALUE(_xlfn.TEXTSPLIT(O1515, ";"))), "")</f>
        <v/>
      </c>
      <c r="DO1515" t="str">
        <f t="shared" si="46"/>
        <v/>
      </c>
      <c r="EG1515" s="33" t="str">
        <f>IF(NOT(ISBLANK($B1515)),VLOOKUP($B1515,AssetCategories!$A:$E,5,0),"")</f>
        <v/>
      </c>
      <c r="EH1515" t="str">
        <f>IF(NOT(ISBLANK($B1515)),VLOOKUP($B1515,AssetCategories!$A:$E,4,0),"")</f>
        <v/>
      </c>
      <c r="EM1515" t="str">
        <f>IF(NOT(ISBLANK($B1515)),VLOOKUP($B1515,AssetCategories!$A:$E,2,0),"")</f>
        <v/>
      </c>
      <c r="EN1515" t="str">
        <f>IF(NOT(ISBLANK($B1515)),VLOOKUP($B1515,AssetCategories!$A:$E,3,0),"")</f>
        <v/>
      </c>
      <c r="EP1515" s="33" t="str">
        <f t="shared" si="47"/>
        <v/>
      </c>
    </row>
    <row r="1516" spans="16:146" x14ac:dyDescent="0.25">
      <c r="P1516" s="33" t="str" cm="1">
        <f t="array" ref="P1516">IFERROR(SUM(VALUE(_xlfn.TEXTSPLIT(O1516, ";"))), "")</f>
        <v/>
      </c>
      <c r="DO1516" t="str">
        <f t="shared" si="46"/>
        <v/>
      </c>
      <c r="EG1516" s="33" t="str">
        <f>IF(NOT(ISBLANK($B1516)),VLOOKUP($B1516,AssetCategories!$A:$E,5,0),"")</f>
        <v/>
      </c>
      <c r="EH1516" t="str">
        <f>IF(NOT(ISBLANK($B1516)),VLOOKUP($B1516,AssetCategories!$A:$E,4,0),"")</f>
        <v/>
      </c>
      <c r="EM1516" t="str">
        <f>IF(NOT(ISBLANK($B1516)),VLOOKUP($B1516,AssetCategories!$A:$E,2,0),"")</f>
        <v/>
      </c>
      <c r="EN1516" t="str">
        <f>IF(NOT(ISBLANK($B1516)),VLOOKUP($B1516,AssetCategories!$A:$E,3,0),"")</f>
        <v/>
      </c>
      <c r="EP1516" s="33" t="str">
        <f t="shared" si="47"/>
        <v/>
      </c>
    </row>
    <row r="1517" spans="16:146" x14ac:dyDescent="0.25">
      <c r="P1517" s="33" t="str" cm="1">
        <f t="array" ref="P1517">IFERROR(SUM(VALUE(_xlfn.TEXTSPLIT(O1517, ";"))), "")</f>
        <v/>
      </c>
      <c r="DO1517" t="str">
        <f t="shared" si="46"/>
        <v/>
      </c>
      <c r="EG1517" s="33" t="str">
        <f>IF(NOT(ISBLANK($B1517)),VLOOKUP($B1517,AssetCategories!$A:$E,5,0),"")</f>
        <v/>
      </c>
      <c r="EH1517" t="str">
        <f>IF(NOT(ISBLANK($B1517)),VLOOKUP($B1517,AssetCategories!$A:$E,4,0),"")</f>
        <v/>
      </c>
      <c r="EM1517" t="str">
        <f>IF(NOT(ISBLANK($B1517)),VLOOKUP($B1517,AssetCategories!$A:$E,2,0),"")</f>
        <v/>
      </c>
      <c r="EN1517" t="str">
        <f>IF(NOT(ISBLANK($B1517)),VLOOKUP($B1517,AssetCategories!$A:$E,3,0),"")</f>
        <v/>
      </c>
      <c r="EP1517" s="33" t="str">
        <f t="shared" si="47"/>
        <v/>
      </c>
    </row>
    <row r="1518" spans="16:146" x14ac:dyDescent="0.25">
      <c r="P1518" s="33" t="str" cm="1">
        <f t="array" ref="P1518">IFERROR(SUM(VALUE(_xlfn.TEXTSPLIT(O1518, ";"))), "")</f>
        <v/>
      </c>
      <c r="DO1518" t="str">
        <f t="shared" si="46"/>
        <v/>
      </c>
      <c r="EG1518" s="33" t="str">
        <f>IF(NOT(ISBLANK($B1518)),VLOOKUP($B1518,AssetCategories!$A:$E,5,0),"")</f>
        <v/>
      </c>
      <c r="EH1518" t="str">
        <f>IF(NOT(ISBLANK($B1518)),VLOOKUP($B1518,AssetCategories!$A:$E,4,0),"")</f>
        <v/>
      </c>
      <c r="EM1518" t="str">
        <f>IF(NOT(ISBLANK($B1518)),VLOOKUP($B1518,AssetCategories!$A:$E,2,0),"")</f>
        <v/>
      </c>
      <c r="EN1518" t="str">
        <f>IF(NOT(ISBLANK($B1518)),VLOOKUP($B1518,AssetCategories!$A:$E,3,0),"")</f>
        <v/>
      </c>
      <c r="EP1518" s="33" t="str">
        <f t="shared" si="47"/>
        <v/>
      </c>
    </row>
    <row r="1519" spans="16:146" x14ac:dyDescent="0.25">
      <c r="P1519" s="33" t="str" cm="1">
        <f t="array" ref="P1519">IFERROR(SUM(VALUE(_xlfn.TEXTSPLIT(O1519, ";"))), "")</f>
        <v/>
      </c>
      <c r="DO1519" t="str">
        <f t="shared" si="46"/>
        <v/>
      </c>
      <c r="EG1519" s="33" t="str">
        <f>IF(NOT(ISBLANK($B1519)),VLOOKUP($B1519,AssetCategories!$A:$E,5,0),"")</f>
        <v/>
      </c>
      <c r="EH1519" t="str">
        <f>IF(NOT(ISBLANK($B1519)),VLOOKUP($B1519,AssetCategories!$A:$E,4,0),"")</f>
        <v/>
      </c>
      <c r="EM1519" t="str">
        <f>IF(NOT(ISBLANK($B1519)),VLOOKUP($B1519,AssetCategories!$A:$E,2,0),"")</f>
        <v/>
      </c>
      <c r="EN1519" t="str">
        <f>IF(NOT(ISBLANK($B1519)),VLOOKUP($B1519,AssetCategories!$A:$E,3,0),"")</f>
        <v/>
      </c>
      <c r="EP1519" s="33" t="str">
        <f t="shared" si="47"/>
        <v/>
      </c>
    </row>
    <row r="1520" spans="16:146" x14ac:dyDescent="0.25">
      <c r="P1520" s="33" t="str" cm="1">
        <f t="array" ref="P1520">IFERROR(SUM(VALUE(_xlfn.TEXTSPLIT(O1520, ";"))), "")</f>
        <v/>
      </c>
      <c r="DO1520" t="str">
        <f t="shared" si="46"/>
        <v/>
      </c>
      <c r="EG1520" s="33" t="str">
        <f>IF(NOT(ISBLANK($B1520)),VLOOKUP($B1520,AssetCategories!$A:$E,5,0),"")</f>
        <v/>
      </c>
      <c r="EH1520" t="str">
        <f>IF(NOT(ISBLANK($B1520)),VLOOKUP($B1520,AssetCategories!$A:$E,4,0),"")</f>
        <v/>
      </c>
      <c r="EM1520" t="str">
        <f>IF(NOT(ISBLANK($B1520)),VLOOKUP($B1520,AssetCategories!$A:$E,2,0),"")</f>
        <v/>
      </c>
      <c r="EN1520" t="str">
        <f>IF(NOT(ISBLANK($B1520)),VLOOKUP($B1520,AssetCategories!$A:$E,3,0),"")</f>
        <v/>
      </c>
      <c r="EP1520" s="33" t="str">
        <f t="shared" si="47"/>
        <v/>
      </c>
    </row>
    <row r="1521" spans="16:146" x14ac:dyDescent="0.25">
      <c r="P1521" s="33" t="str" cm="1">
        <f t="array" ref="P1521">IFERROR(SUM(VALUE(_xlfn.TEXTSPLIT(O1521, ";"))), "")</f>
        <v/>
      </c>
      <c r="DO1521" t="str">
        <f t="shared" si="46"/>
        <v/>
      </c>
      <c r="EG1521" s="33" t="str">
        <f>IF(NOT(ISBLANK($B1521)),VLOOKUP($B1521,AssetCategories!$A:$E,5,0),"")</f>
        <v/>
      </c>
      <c r="EH1521" t="str">
        <f>IF(NOT(ISBLANK($B1521)),VLOOKUP($B1521,AssetCategories!$A:$E,4,0),"")</f>
        <v/>
      </c>
      <c r="EM1521" t="str">
        <f>IF(NOT(ISBLANK($B1521)),VLOOKUP($B1521,AssetCategories!$A:$E,2,0),"")</f>
        <v/>
      </c>
      <c r="EN1521" t="str">
        <f>IF(NOT(ISBLANK($B1521)),VLOOKUP($B1521,AssetCategories!$A:$E,3,0),"")</f>
        <v/>
      </c>
      <c r="EP1521" s="33" t="str">
        <f t="shared" si="47"/>
        <v/>
      </c>
    </row>
    <row r="1522" spans="16:146" x14ac:dyDescent="0.25">
      <c r="P1522" s="33" t="str" cm="1">
        <f t="array" ref="P1522">IFERROR(SUM(VALUE(_xlfn.TEXTSPLIT(O1522, ";"))), "")</f>
        <v/>
      </c>
      <c r="DO1522" t="str">
        <f t="shared" si="46"/>
        <v/>
      </c>
      <c r="EG1522" s="33" t="str">
        <f>IF(NOT(ISBLANK($B1522)),VLOOKUP($B1522,AssetCategories!$A:$E,5,0),"")</f>
        <v/>
      </c>
      <c r="EH1522" t="str">
        <f>IF(NOT(ISBLANK($B1522)),VLOOKUP($B1522,AssetCategories!$A:$E,4,0),"")</f>
        <v/>
      </c>
      <c r="EM1522" t="str">
        <f>IF(NOT(ISBLANK($B1522)),VLOOKUP($B1522,AssetCategories!$A:$E,2,0),"")</f>
        <v/>
      </c>
      <c r="EN1522" t="str">
        <f>IF(NOT(ISBLANK($B1522)),VLOOKUP($B1522,AssetCategories!$A:$E,3,0),"")</f>
        <v/>
      </c>
      <c r="EP1522" s="33" t="str">
        <f t="shared" si="47"/>
        <v/>
      </c>
    </row>
    <row r="1523" spans="16:146" x14ac:dyDescent="0.25">
      <c r="P1523" s="33" t="str" cm="1">
        <f t="array" ref="P1523">IFERROR(SUM(VALUE(_xlfn.TEXTSPLIT(O1523, ";"))), "")</f>
        <v/>
      </c>
      <c r="DO1523" t="str">
        <f t="shared" si="46"/>
        <v/>
      </c>
      <c r="EG1523" s="33" t="str">
        <f>IF(NOT(ISBLANK($B1523)),VLOOKUP($B1523,AssetCategories!$A:$E,5,0),"")</f>
        <v/>
      </c>
      <c r="EH1523" t="str">
        <f>IF(NOT(ISBLANK($B1523)),VLOOKUP($B1523,AssetCategories!$A:$E,4,0),"")</f>
        <v/>
      </c>
      <c r="EM1523" t="str">
        <f>IF(NOT(ISBLANK($B1523)),VLOOKUP($B1523,AssetCategories!$A:$E,2,0),"")</f>
        <v/>
      </c>
      <c r="EN1523" t="str">
        <f>IF(NOT(ISBLANK($B1523)),VLOOKUP($B1523,AssetCategories!$A:$E,3,0),"")</f>
        <v/>
      </c>
      <c r="EP1523" s="33" t="str">
        <f t="shared" si="47"/>
        <v/>
      </c>
    </row>
    <row r="1524" spans="16:146" x14ac:dyDescent="0.25">
      <c r="P1524" s="33" t="str" cm="1">
        <f t="array" ref="P1524">IFERROR(SUM(VALUE(_xlfn.TEXTSPLIT(O1524, ";"))), "")</f>
        <v/>
      </c>
      <c r="DO1524" t="str">
        <f t="shared" si="46"/>
        <v/>
      </c>
      <c r="EG1524" s="33" t="str">
        <f>IF(NOT(ISBLANK($B1524)),VLOOKUP($B1524,AssetCategories!$A:$E,5,0),"")</f>
        <v/>
      </c>
      <c r="EH1524" t="str">
        <f>IF(NOT(ISBLANK($B1524)),VLOOKUP($B1524,AssetCategories!$A:$E,4,0),"")</f>
        <v/>
      </c>
      <c r="EM1524" t="str">
        <f>IF(NOT(ISBLANK($B1524)),VLOOKUP($B1524,AssetCategories!$A:$E,2,0),"")</f>
        <v/>
      </c>
      <c r="EN1524" t="str">
        <f>IF(NOT(ISBLANK($B1524)),VLOOKUP($B1524,AssetCategories!$A:$E,3,0),"")</f>
        <v/>
      </c>
      <c r="EP1524" s="33" t="str">
        <f t="shared" si="47"/>
        <v/>
      </c>
    </row>
    <row r="1525" spans="16:146" x14ac:dyDescent="0.25">
      <c r="P1525" s="33" t="str" cm="1">
        <f t="array" ref="P1525">IFERROR(SUM(VALUE(_xlfn.TEXTSPLIT(O1525, ";"))), "")</f>
        <v/>
      </c>
      <c r="DO1525" t="str">
        <f t="shared" si="46"/>
        <v/>
      </c>
      <c r="EG1525" s="33" t="str">
        <f>IF(NOT(ISBLANK($B1525)),VLOOKUP($B1525,AssetCategories!$A:$E,5,0),"")</f>
        <v/>
      </c>
      <c r="EH1525" t="str">
        <f>IF(NOT(ISBLANK($B1525)),VLOOKUP($B1525,AssetCategories!$A:$E,4,0),"")</f>
        <v/>
      </c>
      <c r="EM1525" t="str">
        <f>IF(NOT(ISBLANK($B1525)),VLOOKUP($B1525,AssetCategories!$A:$E,2,0),"")</f>
        <v/>
      </c>
      <c r="EN1525" t="str">
        <f>IF(NOT(ISBLANK($B1525)),VLOOKUP($B1525,AssetCategories!$A:$E,3,0),"")</f>
        <v/>
      </c>
      <c r="EP1525" s="33" t="str">
        <f t="shared" si="47"/>
        <v/>
      </c>
    </row>
    <row r="1526" spans="16:146" x14ac:dyDescent="0.25">
      <c r="P1526" s="33" t="str" cm="1">
        <f t="array" ref="P1526">IFERROR(SUM(VALUE(_xlfn.TEXTSPLIT(O1526, ";"))), "")</f>
        <v/>
      </c>
      <c r="DO1526" t="str">
        <f t="shared" si="46"/>
        <v/>
      </c>
      <c r="EG1526" s="33" t="str">
        <f>IF(NOT(ISBLANK($B1526)),VLOOKUP($B1526,AssetCategories!$A:$E,5,0),"")</f>
        <v/>
      </c>
      <c r="EH1526" t="str">
        <f>IF(NOT(ISBLANK($B1526)),VLOOKUP($B1526,AssetCategories!$A:$E,4,0),"")</f>
        <v/>
      </c>
      <c r="EM1526" t="str">
        <f>IF(NOT(ISBLANK($B1526)),VLOOKUP($B1526,AssetCategories!$A:$E,2,0),"")</f>
        <v/>
      </c>
      <c r="EN1526" t="str">
        <f>IF(NOT(ISBLANK($B1526)),VLOOKUP($B1526,AssetCategories!$A:$E,3,0),"")</f>
        <v/>
      </c>
      <c r="EP1526" s="33" t="str">
        <f t="shared" si="47"/>
        <v/>
      </c>
    </row>
    <row r="1527" spans="16:146" x14ac:dyDescent="0.25">
      <c r="P1527" s="33" t="str" cm="1">
        <f t="array" ref="P1527">IFERROR(SUM(VALUE(_xlfn.TEXTSPLIT(O1527, ";"))), "")</f>
        <v/>
      </c>
      <c r="DO1527" t="str">
        <f t="shared" si="46"/>
        <v/>
      </c>
      <c r="EG1527" s="33" t="str">
        <f>IF(NOT(ISBLANK($B1527)),VLOOKUP($B1527,AssetCategories!$A:$E,5,0),"")</f>
        <v/>
      </c>
      <c r="EH1527" t="str">
        <f>IF(NOT(ISBLANK($B1527)),VLOOKUP($B1527,AssetCategories!$A:$E,4,0),"")</f>
        <v/>
      </c>
      <c r="EM1527" t="str">
        <f>IF(NOT(ISBLANK($B1527)),VLOOKUP($B1527,AssetCategories!$A:$E,2,0),"")</f>
        <v/>
      </c>
      <c r="EN1527" t="str">
        <f>IF(NOT(ISBLANK($B1527)),VLOOKUP($B1527,AssetCategories!$A:$E,3,0),"")</f>
        <v/>
      </c>
      <c r="EP1527" s="33" t="str">
        <f t="shared" si="47"/>
        <v/>
      </c>
    </row>
    <row r="1528" spans="16:146" x14ac:dyDescent="0.25">
      <c r="P1528" s="33" t="str" cm="1">
        <f t="array" ref="P1528">IFERROR(SUM(VALUE(_xlfn.TEXTSPLIT(O1528, ";"))), "")</f>
        <v/>
      </c>
      <c r="DO1528" t="str">
        <f t="shared" si="46"/>
        <v/>
      </c>
      <c r="EG1528" s="33" t="str">
        <f>IF(NOT(ISBLANK($B1528)),VLOOKUP($B1528,AssetCategories!$A:$E,5,0),"")</f>
        <v/>
      </c>
      <c r="EH1528" t="str">
        <f>IF(NOT(ISBLANK($B1528)),VLOOKUP($B1528,AssetCategories!$A:$E,4,0),"")</f>
        <v/>
      </c>
      <c r="EM1528" t="str">
        <f>IF(NOT(ISBLANK($B1528)),VLOOKUP($B1528,AssetCategories!$A:$E,2,0),"")</f>
        <v/>
      </c>
      <c r="EN1528" t="str">
        <f>IF(NOT(ISBLANK($B1528)),VLOOKUP($B1528,AssetCategories!$A:$E,3,0),"")</f>
        <v/>
      </c>
      <c r="EP1528" s="33" t="str">
        <f t="shared" si="47"/>
        <v/>
      </c>
    </row>
    <row r="1529" spans="16:146" x14ac:dyDescent="0.25">
      <c r="P1529" s="33" t="str" cm="1">
        <f t="array" ref="P1529">IFERROR(SUM(VALUE(_xlfn.TEXTSPLIT(O1529, ";"))), "")</f>
        <v/>
      </c>
      <c r="DO1529" t="str">
        <f t="shared" si="46"/>
        <v/>
      </c>
      <c r="EG1529" s="33" t="str">
        <f>IF(NOT(ISBLANK($B1529)),VLOOKUP($B1529,AssetCategories!$A:$E,5,0),"")</f>
        <v/>
      </c>
      <c r="EH1529" t="str">
        <f>IF(NOT(ISBLANK($B1529)),VLOOKUP($B1529,AssetCategories!$A:$E,4,0),"")</f>
        <v/>
      </c>
      <c r="EM1529" t="str">
        <f>IF(NOT(ISBLANK($B1529)),VLOOKUP($B1529,AssetCategories!$A:$E,2,0),"")</f>
        <v/>
      </c>
      <c r="EN1529" t="str">
        <f>IF(NOT(ISBLANK($B1529)),VLOOKUP($B1529,AssetCategories!$A:$E,3,0),"")</f>
        <v/>
      </c>
      <c r="EP1529" s="33" t="str">
        <f t="shared" si="47"/>
        <v/>
      </c>
    </row>
    <row r="1530" spans="16:146" x14ac:dyDescent="0.25">
      <c r="P1530" s="33" t="str" cm="1">
        <f t="array" ref="P1530">IFERROR(SUM(VALUE(_xlfn.TEXTSPLIT(O1530, ";"))), "")</f>
        <v/>
      </c>
      <c r="DO1530" t="str">
        <f t="shared" si="46"/>
        <v/>
      </c>
      <c r="EG1530" s="33" t="str">
        <f>IF(NOT(ISBLANK($B1530)),VLOOKUP($B1530,AssetCategories!$A:$E,5,0),"")</f>
        <v/>
      </c>
      <c r="EH1530" t="str">
        <f>IF(NOT(ISBLANK($B1530)),VLOOKUP($B1530,AssetCategories!$A:$E,4,0),"")</f>
        <v/>
      </c>
      <c r="EM1530" t="str">
        <f>IF(NOT(ISBLANK($B1530)),VLOOKUP($B1530,AssetCategories!$A:$E,2,0),"")</f>
        <v/>
      </c>
      <c r="EN1530" t="str">
        <f>IF(NOT(ISBLANK($B1530)),VLOOKUP($B1530,AssetCategories!$A:$E,3,0),"")</f>
        <v/>
      </c>
      <c r="EP1530" s="33" t="str">
        <f t="shared" si="47"/>
        <v/>
      </c>
    </row>
    <row r="1531" spans="16:146" x14ac:dyDescent="0.25">
      <c r="P1531" s="33" t="str" cm="1">
        <f t="array" ref="P1531">IFERROR(SUM(VALUE(_xlfn.TEXTSPLIT(O1531, ";"))), "")</f>
        <v/>
      </c>
      <c r="DO1531" t="str">
        <f t="shared" si="46"/>
        <v/>
      </c>
      <c r="EG1531" s="33" t="str">
        <f>IF(NOT(ISBLANK($B1531)),VLOOKUP($B1531,AssetCategories!$A:$E,5,0),"")</f>
        <v/>
      </c>
      <c r="EH1531" t="str">
        <f>IF(NOT(ISBLANK($B1531)),VLOOKUP($B1531,AssetCategories!$A:$E,4,0),"")</f>
        <v/>
      </c>
      <c r="EM1531" t="str">
        <f>IF(NOT(ISBLANK($B1531)),VLOOKUP($B1531,AssetCategories!$A:$E,2,0),"")</f>
        <v/>
      </c>
      <c r="EN1531" t="str">
        <f>IF(NOT(ISBLANK($B1531)),VLOOKUP($B1531,AssetCategories!$A:$E,3,0),"")</f>
        <v/>
      </c>
      <c r="EP1531" s="33" t="str">
        <f t="shared" si="47"/>
        <v/>
      </c>
    </row>
    <row r="1532" spans="16:146" x14ac:dyDescent="0.25">
      <c r="P1532" s="33" t="str" cm="1">
        <f t="array" ref="P1532">IFERROR(SUM(VALUE(_xlfn.TEXTSPLIT(O1532, ";"))), "")</f>
        <v/>
      </c>
      <c r="DO1532" t="str">
        <f t="shared" si="46"/>
        <v/>
      </c>
      <c r="EG1532" s="33" t="str">
        <f>IF(NOT(ISBLANK($B1532)),VLOOKUP($B1532,AssetCategories!$A:$E,5,0),"")</f>
        <v/>
      </c>
      <c r="EH1532" t="str">
        <f>IF(NOT(ISBLANK($B1532)),VLOOKUP($B1532,AssetCategories!$A:$E,4,0),"")</f>
        <v/>
      </c>
      <c r="EM1532" t="str">
        <f>IF(NOT(ISBLANK($B1532)),VLOOKUP($B1532,AssetCategories!$A:$E,2,0),"")</f>
        <v/>
      </c>
      <c r="EN1532" t="str">
        <f>IF(NOT(ISBLANK($B1532)),VLOOKUP($B1532,AssetCategories!$A:$E,3,0),"")</f>
        <v/>
      </c>
      <c r="EP1532" s="33" t="str">
        <f t="shared" si="47"/>
        <v/>
      </c>
    </row>
    <row r="1533" spans="16:146" x14ac:dyDescent="0.25">
      <c r="P1533" s="33" t="str" cm="1">
        <f t="array" ref="P1533">IFERROR(SUM(VALUE(_xlfn.TEXTSPLIT(O1533, ";"))), "")</f>
        <v/>
      </c>
      <c r="DO1533" t="str">
        <f t="shared" si="46"/>
        <v/>
      </c>
      <c r="EG1533" s="33" t="str">
        <f>IF(NOT(ISBLANK($B1533)),VLOOKUP($B1533,AssetCategories!$A:$E,5,0),"")</f>
        <v/>
      </c>
      <c r="EH1533" t="str">
        <f>IF(NOT(ISBLANK($B1533)),VLOOKUP($B1533,AssetCategories!$A:$E,4,0),"")</f>
        <v/>
      </c>
      <c r="EM1533" t="str">
        <f>IF(NOT(ISBLANK($B1533)),VLOOKUP($B1533,AssetCategories!$A:$E,2,0),"")</f>
        <v/>
      </c>
      <c r="EN1533" t="str">
        <f>IF(NOT(ISBLANK($B1533)),VLOOKUP($B1533,AssetCategories!$A:$E,3,0),"")</f>
        <v/>
      </c>
      <c r="EP1533" s="33" t="str">
        <f t="shared" si="47"/>
        <v/>
      </c>
    </row>
    <row r="1534" spans="16:146" x14ac:dyDescent="0.25">
      <c r="P1534" s="33" t="str" cm="1">
        <f t="array" ref="P1534">IFERROR(SUM(VALUE(_xlfn.TEXTSPLIT(O1534, ";"))), "")</f>
        <v/>
      </c>
      <c r="DO1534" t="str">
        <f t="shared" si="46"/>
        <v/>
      </c>
      <c r="EG1534" s="33" t="str">
        <f>IF(NOT(ISBLANK($B1534)),VLOOKUP($B1534,AssetCategories!$A:$E,5,0),"")</f>
        <v/>
      </c>
      <c r="EH1534" t="str">
        <f>IF(NOT(ISBLANK($B1534)),VLOOKUP($B1534,AssetCategories!$A:$E,4,0),"")</f>
        <v/>
      </c>
      <c r="EM1534" t="str">
        <f>IF(NOT(ISBLANK($B1534)),VLOOKUP($B1534,AssetCategories!$A:$E,2,0),"")</f>
        <v/>
      </c>
      <c r="EN1534" t="str">
        <f>IF(NOT(ISBLANK($B1534)),VLOOKUP($B1534,AssetCategories!$A:$E,3,0),"")</f>
        <v/>
      </c>
      <c r="EP1534" s="33" t="str">
        <f t="shared" si="47"/>
        <v/>
      </c>
    </row>
    <row r="1535" spans="16:146" x14ac:dyDescent="0.25">
      <c r="P1535" s="33" t="str" cm="1">
        <f t="array" ref="P1535">IFERROR(SUM(VALUE(_xlfn.TEXTSPLIT(O1535, ";"))), "")</f>
        <v/>
      </c>
      <c r="DO1535" t="str">
        <f t="shared" si="46"/>
        <v/>
      </c>
      <c r="EG1535" s="33" t="str">
        <f>IF(NOT(ISBLANK($B1535)),VLOOKUP($B1535,AssetCategories!$A:$E,5,0),"")</f>
        <v/>
      </c>
      <c r="EH1535" t="str">
        <f>IF(NOT(ISBLANK($B1535)),VLOOKUP($B1535,AssetCategories!$A:$E,4,0),"")</f>
        <v/>
      </c>
      <c r="EM1535" t="str">
        <f>IF(NOT(ISBLANK($B1535)),VLOOKUP($B1535,AssetCategories!$A:$E,2,0),"")</f>
        <v/>
      </c>
      <c r="EN1535" t="str">
        <f>IF(NOT(ISBLANK($B1535)),VLOOKUP($B1535,AssetCategories!$A:$E,3,0),"")</f>
        <v/>
      </c>
      <c r="EP1535" s="33" t="str">
        <f t="shared" si="47"/>
        <v/>
      </c>
    </row>
    <row r="1536" spans="16:146" x14ac:dyDescent="0.25">
      <c r="P1536" s="33" t="str" cm="1">
        <f t="array" ref="P1536">IFERROR(SUM(VALUE(_xlfn.TEXTSPLIT(O1536, ";"))), "")</f>
        <v/>
      </c>
      <c r="DO1536" t="str">
        <f t="shared" si="46"/>
        <v/>
      </c>
      <c r="EG1536" s="33" t="str">
        <f>IF(NOT(ISBLANK($B1536)),VLOOKUP($B1536,AssetCategories!$A:$E,5,0),"")</f>
        <v/>
      </c>
      <c r="EH1536" t="str">
        <f>IF(NOT(ISBLANK($B1536)),VLOOKUP($B1536,AssetCategories!$A:$E,4,0),"")</f>
        <v/>
      </c>
      <c r="EM1536" t="str">
        <f>IF(NOT(ISBLANK($B1536)),VLOOKUP($B1536,AssetCategories!$A:$E,2,0),"")</f>
        <v/>
      </c>
      <c r="EN1536" t="str">
        <f>IF(NOT(ISBLANK($B1536)),VLOOKUP($B1536,AssetCategories!$A:$E,3,0),"")</f>
        <v/>
      </c>
      <c r="EP1536" s="33" t="str">
        <f t="shared" si="47"/>
        <v/>
      </c>
    </row>
    <row r="1537" spans="16:146" x14ac:dyDescent="0.25">
      <c r="P1537" s="33" t="str" cm="1">
        <f t="array" ref="P1537">IFERROR(SUM(VALUE(_xlfn.TEXTSPLIT(O1537, ";"))), "")</f>
        <v/>
      </c>
      <c r="DO1537" t="str">
        <f t="shared" si="46"/>
        <v/>
      </c>
      <c r="EG1537" s="33" t="str">
        <f>IF(NOT(ISBLANK($B1537)),VLOOKUP($B1537,AssetCategories!$A:$E,5,0),"")</f>
        <v/>
      </c>
      <c r="EH1537" t="str">
        <f>IF(NOT(ISBLANK($B1537)),VLOOKUP($B1537,AssetCategories!$A:$E,4,0),"")</f>
        <v/>
      </c>
      <c r="EM1537" t="str">
        <f>IF(NOT(ISBLANK($B1537)),VLOOKUP($B1537,AssetCategories!$A:$E,2,0),"")</f>
        <v/>
      </c>
      <c r="EN1537" t="str">
        <f>IF(NOT(ISBLANK($B1537)),VLOOKUP($B1537,AssetCategories!$A:$E,3,0),"")</f>
        <v/>
      </c>
      <c r="EP1537" s="33" t="str">
        <f t="shared" si="47"/>
        <v/>
      </c>
    </row>
    <row r="1538" spans="16:146" x14ac:dyDescent="0.25">
      <c r="P1538" s="33" t="str" cm="1">
        <f t="array" ref="P1538">IFERROR(SUM(VALUE(_xlfn.TEXTSPLIT(O1538, ";"))), "")</f>
        <v/>
      </c>
      <c r="DO1538" t="str">
        <f t="shared" si="46"/>
        <v/>
      </c>
      <c r="EG1538" s="33" t="str">
        <f>IF(NOT(ISBLANK($B1538)),VLOOKUP($B1538,AssetCategories!$A:$E,5,0),"")</f>
        <v/>
      </c>
      <c r="EH1538" t="str">
        <f>IF(NOT(ISBLANK($B1538)),VLOOKUP($B1538,AssetCategories!$A:$E,4,0),"")</f>
        <v/>
      </c>
      <c r="EM1538" t="str">
        <f>IF(NOT(ISBLANK($B1538)),VLOOKUP($B1538,AssetCategories!$A:$E,2,0),"")</f>
        <v/>
      </c>
      <c r="EN1538" t="str">
        <f>IF(NOT(ISBLANK($B1538)),VLOOKUP($B1538,AssetCategories!$A:$E,3,0),"")</f>
        <v/>
      </c>
      <c r="EP1538" s="33" t="str">
        <f t="shared" si="47"/>
        <v/>
      </c>
    </row>
    <row r="1539" spans="16:146" x14ac:dyDescent="0.25">
      <c r="P1539" s="33" t="str" cm="1">
        <f t="array" ref="P1539">IFERROR(SUM(VALUE(_xlfn.TEXTSPLIT(O1539, ";"))), "")</f>
        <v/>
      </c>
      <c r="DO1539" t="str">
        <f t="shared" si="46"/>
        <v/>
      </c>
      <c r="EG1539" s="33" t="str">
        <f>IF(NOT(ISBLANK($B1539)),VLOOKUP($B1539,AssetCategories!$A:$E,5,0),"")</f>
        <v/>
      </c>
      <c r="EH1539" t="str">
        <f>IF(NOT(ISBLANK($B1539)),VLOOKUP($B1539,AssetCategories!$A:$E,4,0),"")</f>
        <v/>
      </c>
      <c r="EM1539" t="str">
        <f>IF(NOT(ISBLANK($B1539)),VLOOKUP($B1539,AssetCategories!$A:$E,2,0),"")</f>
        <v/>
      </c>
      <c r="EN1539" t="str">
        <f>IF(NOT(ISBLANK($B1539)),VLOOKUP($B1539,AssetCategories!$A:$E,3,0),"")</f>
        <v/>
      </c>
      <c r="EP1539" s="33" t="str">
        <f t="shared" si="47"/>
        <v/>
      </c>
    </row>
    <row r="1540" spans="16:146" x14ac:dyDescent="0.25">
      <c r="P1540" s="33" t="str" cm="1">
        <f t="array" ref="P1540">IFERROR(SUM(VALUE(_xlfn.TEXTSPLIT(O1540, ";"))), "")</f>
        <v/>
      </c>
      <c r="DO1540" t="str">
        <f t="shared" si="46"/>
        <v/>
      </c>
      <c r="EG1540" s="33" t="str">
        <f>IF(NOT(ISBLANK($B1540)),VLOOKUP($B1540,AssetCategories!$A:$E,5,0),"")</f>
        <v/>
      </c>
      <c r="EH1540" t="str">
        <f>IF(NOT(ISBLANK($B1540)),VLOOKUP($B1540,AssetCategories!$A:$E,4,0),"")</f>
        <v/>
      </c>
      <c r="EM1540" t="str">
        <f>IF(NOT(ISBLANK($B1540)),VLOOKUP($B1540,AssetCategories!$A:$E,2,0),"")</f>
        <v/>
      </c>
      <c r="EN1540" t="str">
        <f>IF(NOT(ISBLANK($B1540)),VLOOKUP($B1540,AssetCategories!$A:$E,3,0),"")</f>
        <v/>
      </c>
      <c r="EP1540" s="33" t="str">
        <f t="shared" si="47"/>
        <v/>
      </c>
    </row>
    <row r="1541" spans="16:146" x14ac:dyDescent="0.25">
      <c r="P1541" s="33" t="str" cm="1">
        <f t="array" ref="P1541">IFERROR(SUM(VALUE(_xlfn.TEXTSPLIT(O1541, ";"))), "")</f>
        <v/>
      </c>
      <c r="DO1541" t="str">
        <f t="shared" ref="DO1541:DO1604" si="48">IF(SUM(DE1541:DN1541)=0, "", SUM(DE1541:DN1541))</f>
        <v/>
      </c>
      <c r="EG1541" s="33" t="str">
        <f>IF(NOT(ISBLANK($B1541)),VLOOKUP($B1541,AssetCategories!$A:$E,5,0),"")</f>
        <v/>
      </c>
      <c r="EH1541" t="str">
        <f>IF(NOT(ISBLANK($B1541)),VLOOKUP($B1541,AssetCategories!$A:$E,4,0),"")</f>
        <v/>
      </c>
      <c r="EM1541" t="str">
        <f>IF(NOT(ISBLANK($B1541)),VLOOKUP($B1541,AssetCategories!$A:$E,2,0),"")</f>
        <v/>
      </c>
      <c r="EN1541" t="str">
        <f>IF(NOT(ISBLANK($B1541)),VLOOKUP($B1541,AssetCategories!$A:$E,3,0),"")</f>
        <v/>
      </c>
      <c r="EP1541" s="33" t="str">
        <f t="shared" ref="EP1541:EP1604" si="49">IFERROR(P1541-EO1541, "")</f>
        <v/>
      </c>
    </row>
    <row r="1542" spans="16:146" x14ac:dyDescent="0.25">
      <c r="P1542" s="33" t="str" cm="1">
        <f t="array" ref="P1542">IFERROR(SUM(VALUE(_xlfn.TEXTSPLIT(O1542, ";"))), "")</f>
        <v/>
      </c>
      <c r="DO1542" t="str">
        <f t="shared" si="48"/>
        <v/>
      </c>
      <c r="EG1542" s="33" t="str">
        <f>IF(NOT(ISBLANK($B1542)),VLOOKUP($B1542,AssetCategories!$A:$E,5,0),"")</f>
        <v/>
      </c>
      <c r="EH1542" t="str">
        <f>IF(NOT(ISBLANK($B1542)),VLOOKUP($B1542,AssetCategories!$A:$E,4,0),"")</f>
        <v/>
      </c>
      <c r="EM1542" t="str">
        <f>IF(NOT(ISBLANK($B1542)),VLOOKUP($B1542,AssetCategories!$A:$E,2,0),"")</f>
        <v/>
      </c>
      <c r="EN1542" t="str">
        <f>IF(NOT(ISBLANK($B1542)),VLOOKUP($B1542,AssetCategories!$A:$E,3,0),"")</f>
        <v/>
      </c>
      <c r="EP1542" s="33" t="str">
        <f t="shared" si="49"/>
        <v/>
      </c>
    </row>
    <row r="1543" spans="16:146" x14ac:dyDescent="0.25">
      <c r="P1543" s="33" t="str" cm="1">
        <f t="array" ref="P1543">IFERROR(SUM(VALUE(_xlfn.TEXTSPLIT(O1543, ";"))), "")</f>
        <v/>
      </c>
      <c r="DO1543" t="str">
        <f t="shared" si="48"/>
        <v/>
      </c>
      <c r="EG1543" s="33" t="str">
        <f>IF(NOT(ISBLANK($B1543)),VLOOKUP($B1543,AssetCategories!$A:$E,5,0),"")</f>
        <v/>
      </c>
      <c r="EH1543" t="str">
        <f>IF(NOT(ISBLANK($B1543)),VLOOKUP($B1543,AssetCategories!$A:$E,4,0),"")</f>
        <v/>
      </c>
      <c r="EM1543" t="str">
        <f>IF(NOT(ISBLANK($B1543)),VLOOKUP($B1543,AssetCategories!$A:$E,2,0),"")</f>
        <v/>
      </c>
      <c r="EN1543" t="str">
        <f>IF(NOT(ISBLANK($B1543)),VLOOKUP($B1543,AssetCategories!$A:$E,3,0),"")</f>
        <v/>
      </c>
      <c r="EP1543" s="33" t="str">
        <f t="shared" si="49"/>
        <v/>
      </c>
    </row>
    <row r="1544" spans="16:146" x14ac:dyDescent="0.25">
      <c r="P1544" s="33" t="str" cm="1">
        <f t="array" ref="P1544">IFERROR(SUM(VALUE(_xlfn.TEXTSPLIT(O1544, ";"))), "")</f>
        <v/>
      </c>
      <c r="DO1544" t="str">
        <f t="shared" si="48"/>
        <v/>
      </c>
      <c r="EG1544" s="33" t="str">
        <f>IF(NOT(ISBLANK($B1544)),VLOOKUP($B1544,AssetCategories!$A:$E,5,0),"")</f>
        <v/>
      </c>
      <c r="EH1544" t="str">
        <f>IF(NOT(ISBLANK($B1544)),VLOOKUP($B1544,AssetCategories!$A:$E,4,0),"")</f>
        <v/>
      </c>
      <c r="EM1544" t="str">
        <f>IF(NOT(ISBLANK($B1544)),VLOOKUP($B1544,AssetCategories!$A:$E,2,0),"")</f>
        <v/>
      </c>
      <c r="EN1544" t="str">
        <f>IF(NOT(ISBLANK($B1544)),VLOOKUP($B1544,AssetCategories!$A:$E,3,0),"")</f>
        <v/>
      </c>
      <c r="EP1544" s="33" t="str">
        <f t="shared" si="49"/>
        <v/>
      </c>
    </row>
    <row r="1545" spans="16:146" x14ac:dyDescent="0.25">
      <c r="P1545" s="33" t="str" cm="1">
        <f t="array" ref="P1545">IFERROR(SUM(VALUE(_xlfn.TEXTSPLIT(O1545, ";"))), "")</f>
        <v/>
      </c>
      <c r="DO1545" t="str">
        <f t="shared" si="48"/>
        <v/>
      </c>
      <c r="EG1545" s="33" t="str">
        <f>IF(NOT(ISBLANK($B1545)),VLOOKUP($B1545,AssetCategories!$A:$E,5,0),"")</f>
        <v/>
      </c>
      <c r="EH1545" t="str">
        <f>IF(NOT(ISBLANK($B1545)),VLOOKUP($B1545,AssetCategories!$A:$E,4,0),"")</f>
        <v/>
      </c>
      <c r="EM1545" t="str">
        <f>IF(NOT(ISBLANK($B1545)),VLOOKUP($B1545,AssetCategories!$A:$E,2,0),"")</f>
        <v/>
      </c>
      <c r="EN1545" t="str">
        <f>IF(NOT(ISBLANK($B1545)),VLOOKUP($B1545,AssetCategories!$A:$E,3,0),"")</f>
        <v/>
      </c>
      <c r="EP1545" s="33" t="str">
        <f t="shared" si="49"/>
        <v/>
      </c>
    </row>
    <row r="1546" spans="16:146" x14ac:dyDescent="0.25">
      <c r="P1546" s="33" t="str" cm="1">
        <f t="array" ref="P1546">IFERROR(SUM(VALUE(_xlfn.TEXTSPLIT(O1546, ";"))), "")</f>
        <v/>
      </c>
      <c r="DO1546" t="str">
        <f t="shared" si="48"/>
        <v/>
      </c>
      <c r="EG1546" s="33" t="str">
        <f>IF(NOT(ISBLANK($B1546)),VLOOKUP($B1546,AssetCategories!$A:$E,5,0),"")</f>
        <v/>
      </c>
      <c r="EH1546" t="str">
        <f>IF(NOT(ISBLANK($B1546)),VLOOKUP($B1546,AssetCategories!$A:$E,4,0),"")</f>
        <v/>
      </c>
      <c r="EM1546" t="str">
        <f>IF(NOT(ISBLANK($B1546)),VLOOKUP($B1546,AssetCategories!$A:$E,2,0),"")</f>
        <v/>
      </c>
      <c r="EN1546" t="str">
        <f>IF(NOT(ISBLANK($B1546)),VLOOKUP($B1546,AssetCategories!$A:$E,3,0),"")</f>
        <v/>
      </c>
      <c r="EP1546" s="33" t="str">
        <f t="shared" si="49"/>
        <v/>
      </c>
    </row>
    <row r="1547" spans="16:146" x14ac:dyDescent="0.25">
      <c r="P1547" s="33" t="str" cm="1">
        <f t="array" ref="P1547">IFERROR(SUM(VALUE(_xlfn.TEXTSPLIT(O1547, ";"))), "")</f>
        <v/>
      </c>
      <c r="DO1547" t="str">
        <f t="shared" si="48"/>
        <v/>
      </c>
      <c r="EG1547" s="33" t="str">
        <f>IF(NOT(ISBLANK($B1547)),VLOOKUP($B1547,AssetCategories!$A:$E,5,0),"")</f>
        <v/>
      </c>
      <c r="EH1547" t="str">
        <f>IF(NOT(ISBLANK($B1547)),VLOOKUP($B1547,AssetCategories!$A:$E,4,0),"")</f>
        <v/>
      </c>
      <c r="EM1547" t="str">
        <f>IF(NOT(ISBLANK($B1547)),VLOOKUP($B1547,AssetCategories!$A:$E,2,0),"")</f>
        <v/>
      </c>
      <c r="EN1547" t="str">
        <f>IF(NOT(ISBLANK($B1547)),VLOOKUP($B1547,AssetCategories!$A:$E,3,0),"")</f>
        <v/>
      </c>
      <c r="EP1547" s="33" t="str">
        <f t="shared" si="49"/>
        <v/>
      </c>
    </row>
    <row r="1548" spans="16:146" x14ac:dyDescent="0.25">
      <c r="P1548" s="33" t="str" cm="1">
        <f t="array" ref="P1548">IFERROR(SUM(VALUE(_xlfn.TEXTSPLIT(O1548, ";"))), "")</f>
        <v/>
      </c>
      <c r="DO1548" t="str">
        <f t="shared" si="48"/>
        <v/>
      </c>
      <c r="EG1548" s="33" t="str">
        <f>IF(NOT(ISBLANK($B1548)),VLOOKUP($B1548,AssetCategories!$A:$E,5,0),"")</f>
        <v/>
      </c>
      <c r="EH1548" t="str">
        <f>IF(NOT(ISBLANK($B1548)),VLOOKUP($B1548,AssetCategories!$A:$E,4,0),"")</f>
        <v/>
      </c>
      <c r="EM1548" t="str">
        <f>IF(NOT(ISBLANK($B1548)),VLOOKUP($B1548,AssetCategories!$A:$E,2,0),"")</f>
        <v/>
      </c>
      <c r="EN1548" t="str">
        <f>IF(NOT(ISBLANK($B1548)),VLOOKUP($B1548,AssetCategories!$A:$E,3,0),"")</f>
        <v/>
      </c>
      <c r="EP1548" s="33" t="str">
        <f t="shared" si="49"/>
        <v/>
      </c>
    </row>
    <row r="1549" spans="16:146" x14ac:dyDescent="0.25">
      <c r="P1549" s="33" t="str" cm="1">
        <f t="array" ref="P1549">IFERROR(SUM(VALUE(_xlfn.TEXTSPLIT(O1549, ";"))), "")</f>
        <v/>
      </c>
      <c r="DO1549" t="str">
        <f t="shared" si="48"/>
        <v/>
      </c>
      <c r="EG1549" s="33" t="str">
        <f>IF(NOT(ISBLANK($B1549)),VLOOKUP($B1549,AssetCategories!$A:$E,5,0),"")</f>
        <v/>
      </c>
      <c r="EH1549" t="str">
        <f>IF(NOT(ISBLANK($B1549)),VLOOKUP($B1549,AssetCategories!$A:$E,4,0),"")</f>
        <v/>
      </c>
      <c r="EM1549" t="str">
        <f>IF(NOT(ISBLANK($B1549)),VLOOKUP($B1549,AssetCategories!$A:$E,2,0),"")</f>
        <v/>
      </c>
      <c r="EN1549" t="str">
        <f>IF(NOT(ISBLANK($B1549)),VLOOKUP($B1549,AssetCategories!$A:$E,3,0),"")</f>
        <v/>
      </c>
      <c r="EP1549" s="33" t="str">
        <f t="shared" si="49"/>
        <v/>
      </c>
    </row>
    <row r="1550" spans="16:146" x14ac:dyDescent="0.25">
      <c r="P1550" s="33" t="str" cm="1">
        <f t="array" ref="P1550">IFERROR(SUM(VALUE(_xlfn.TEXTSPLIT(O1550, ";"))), "")</f>
        <v/>
      </c>
      <c r="DO1550" t="str">
        <f t="shared" si="48"/>
        <v/>
      </c>
      <c r="EG1550" s="33" t="str">
        <f>IF(NOT(ISBLANK($B1550)),VLOOKUP($B1550,AssetCategories!$A:$E,5,0),"")</f>
        <v/>
      </c>
      <c r="EH1550" t="str">
        <f>IF(NOT(ISBLANK($B1550)),VLOOKUP($B1550,AssetCategories!$A:$E,4,0),"")</f>
        <v/>
      </c>
      <c r="EM1550" t="str">
        <f>IF(NOT(ISBLANK($B1550)),VLOOKUP($B1550,AssetCategories!$A:$E,2,0),"")</f>
        <v/>
      </c>
      <c r="EN1550" t="str">
        <f>IF(NOT(ISBLANK($B1550)),VLOOKUP($B1550,AssetCategories!$A:$E,3,0),"")</f>
        <v/>
      </c>
      <c r="EP1550" s="33" t="str">
        <f t="shared" si="49"/>
        <v/>
      </c>
    </row>
    <row r="1551" spans="16:146" x14ac:dyDescent="0.25">
      <c r="P1551" s="33" t="str" cm="1">
        <f t="array" ref="P1551">IFERROR(SUM(VALUE(_xlfn.TEXTSPLIT(O1551, ";"))), "")</f>
        <v/>
      </c>
      <c r="DO1551" t="str">
        <f t="shared" si="48"/>
        <v/>
      </c>
      <c r="EG1551" s="33" t="str">
        <f>IF(NOT(ISBLANK($B1551)),VLOOKUP($B1551,AssetCategories!$A:$E,5,0),"")</f>
        <v/>
      </c>
      <c r="EH1551" t="str">
        <f>IF(NOT(ISBLANK($B1551)),VLOOKUP($B1551,AssetCategories!$A:$E,4,0),"")</f>
        <v/>
      </c>
      <c r="EM1551" t="str">
        <f>IF(NOT(ISBLANK($B1551)),VLOOKUP($B1551,AssetCategories!$A:$E,2,0),"")</f>
        <v/>
      </c>
      <c r="EN1551" t="str">
        <f>IF(NOT(ISBLANK($B1551)),VLOOKUP($B1551,AssetCategories!$A:$E,3,0),"")</f>
        <v/>
      </c>
      <c r="EP1551" s="33" t="str">
        <f t="shared" si="49"/>
        <v/>
      </c>
    </row>
    <row r="1552" spans="16:146" x14ac:dyDescent="0.25">
      <c r="P1552" s="33" t="str" cm="1">
        <f t="array" ref="P1552">IFERROR(SUM(VALUE(_xlfn.TEXTSPLIT(O1552, ";"))), "")</f>
        <v/>
      </c>
      <c r="DO1552" t="str">
        <f t="shared" si="48"/>
        <v/>
      </c>
      <c r="EG1552" s="33" t="str">
        <f>IF(NOT(ISBLANK($B1552)),VLOOKUP($B1552,AssetCategories!$A:$E,5,0),"")</f>
        <v/>
      </c>
      <c r="EH1552" t="str">
        <f>IF(NOT(ISBLANK($B1552)),VLOOKUP($B1552,AssetCategories!$A:$E,4,0),"")</f>
        <v/>
      </c>
      <c r="EM1552" t="str">
        <f>IF(NOT(ISBLANK($B1552)),VLOOKUP($B1552,AssetCategories!$A:$E,2,0),"")</f>
        <v/>
      </c>
      <c r="EN1552" t="str">
        <f>IF(NOT(ISBLANK($B1552)),VLOOKUP($B1552,AssetCategories!$A:$E,3,0),"")</f>
        <v/>
      </c>
      <c r="EP1552" s="33" t="str">
        <f t="shared" si="49"/>
        <v/>
      </c>
    </row>
    <row r="1553" spans="16:146" x14ac:dyDescent="0.25">
      <c r="P1553" s="33" t="str" cm="1">
        <f t="array" ref="P1553">IFERROR(SUM(VALUE(_xlfn.TEXTSPLIT(O1553, ";"))), "")</f>
        <v/>
      </c>
      <c r="DO1553" t="str">
        <f t="shared" si="48"/>
        <v/>
      </c>
      <c r="EG1553" s="33" t="str">
        <f>IF(NOT(ISBLANK($B1553)),VLOOKUP($B1553,AssetCategories!$A:$E,5,0),"")</f>
        <v/>
      </c>
      <c r="EH1553" t="str">
        <f>IF(NOT(ISBLANK($B1553)),VLOOKUP($B1553,AssetCategories!$A:$E,4,0),"")</f>
        <v/>
      </c>
      <c r="EM1553" t="str">
        <f>IF(NOT(ISBLANK($B1553)),VLOOKUP($B1553,AssetCategories!$A:$E,2,0),"")</f>
        <v/>
      </c>
      <c r="EN1553" t="str">
        <f>IF(NOT(ISBLANK($B1553)),VLOOKUP($B1553,AssetCategories!$A:$E,3,0),"")</f>
        <v/>
      </c>
      <c r="EP1553" s="33" t="str">
        <f t="shared" si="49"/>
        <v/>
      </c>
    </row>
    <row r="1554" spans="16:146" x14ac:dyDescent="0.25">
      <c r="P1554" s="33" t="str" cm="1">
        <f t="array" ref="P1554">IFERROR(SUM(VALUE(_xlfn.TEXTSPLIT(O1554, ";"))), "")</f>
        <v/>
      </c>
      <c r="DO1554" t="str">
        <f t="shared" si="48"/>
        <v/>
      </c>
      <c r="EG1554" s="33" t="str">
        <f>IF(NOT(ISBLANK($B1554)),VLOOKUP($B1554,AssetCategories!$A:$E,5,0),"")</f>
        <v/>
      </c>
      <c r="EH1554" t="str">
        <f>IF(NOT(ISBLANK($B1554)),VLOOKUP($B1554,AssetCategories!$A:$E,4,0),"")</f>
        <v/>
      </c>
      <c r="EM1554" t="str">
        <f>IF(NOT(ISBLANK($B1554)),VLOOKUP($B1554,AssetCategories!$A:$E,2,0),"")</f>
        <v/>
      </c>
      <c r="EN1554" t="str">
        <f>IF(NOT(ISBLANK($B1554)),VLOOKUP($B1554,AssetCategories!$A:$E,3,0),"")</f>
        <v/>
      </c>
      <c r="EP1554" s="33" t="str">
        <f t="shared" si="49"/>
        <v/>
      </c>
    </row>
    <row r="1555" spans="16:146" x14ac:dyDescent="0.25">
      <c r="P1555" s="33" t="str" cm="1">
        <f t="array" ref="P1555">IFERROR(SUM(VALUE(_xlfn.TEXTSPLIT(O1555, ";"))), "")</f>
        <v/>
      </c>
      <c r="DO1555" t="str">
        <f t="shared" si="48"/>
        <v/>
      </c>
      <c r="EG1555" s="33" t="str">
        <f>IF(NOT(ISBLANK($B1555)),VLOOKUP($B1555,AssetCategories!$A:$E,5,0),"")</f>
        <v/>
      </c>
      <c r="EH1555" t="str">
        <f>IF(NOT(ISBLANK($B1555)),VLOOKUP($B1555,AssetCategories!$A:$E,4,0),"")</f>
        <v/>
      </c>
      <c r="EM1555" t="str">
        <f>IF(NOT(ISBLANK($B1555)),VLOOKUP($B1555,AssetCategories!$A:$E,2,0),"")</f>
        <v/>
      </c>
      <c r="EN1555" t="str">
        <f>IF(NOT(ISBLANK($B1555)),VLOOKUP($B1555,AssetCategories!$A:$E,3,0),"")</f>
        <v/>
      </c>
      <c r="EP1555" s="33" t="str">
        <f t="shared" si="49"/>
        <v/>
      </c>
    </row>
    <row r="1556" spans="16:146" x14ac:dyDescent="0.25">
      <c r="P1556" s="33" t="str" cm="1">
        <f t="array" ref="P1556">IFERROR(SUM(VALUE(_xlfn.TEXTSPLIT(O1556, ";"))), "")</f>
        <v/>
      </c>
      <c r="DO1556" t="str">
        <f t="shared" si="48"/>
        <v/>
      </c>
      <c r="EG1556" s="33" t="str">
        <f>IF(NOT(ISBLANK($B1556)),VLOOKUP($B1556,AssetCategories!$A:$E,5,0),"")</f>
        <v/>
      </c>
      <c r="EH1556" t="str">
        <f>IF(NOT(ISBLANK($B1556)),VLOOKUP($B1556,AssetCategories!$A:$E,4,0),"")</f>
        <v/>
      </c>
      <c r="EM1556" t="str">
        <f>IF(NOT(ISBLANK($B1556)),VLOOKUP($B1556,AssetCategories!$A:$E,2,0),"")</f>
        <v/>
      </c>
      <c r="EN1556" t="str">
        <f>IF(NOT(ISBLANK($B1556)),VLOOKUP($B1556,AssetCategories!$A:$E,3,0),"")</f>
        <v/>
      </c>
      <c r="EP1556" s="33" t="str">
        <f t="shared" si="49"/>
        <v/>
      </c>
    </row>
    <row r="1557" spans="16:146" x14ac:dyDescent="0.25">
      <c r="P1557" s="33" t="str" cm="1">
        <f t="array" ref="P1557">IFERROR(SUM(VALUE(_xlfn.TEXTSPLIT(O1557, ";"))), "")</f>
        <v/>
      </c>
      <c r="DO1557" t="str">
        <f t="shared" si="48"/>
        <v/>
      </c>
      <c r="EG1557" s="33" t="str">
        <f>IF(NOT(ISBLANK($B1557)),VLOOKUP($B1557,AssetCategories!$A:$E,5,0),"")</f>
        <v/>
      </c>
      <c r="EH1557" t="str">
        <f>IF(NOT(ISBLANK($B1557)),VLOOKUP($B1557,AssetCategories!$A:$E,4,0),"")</f>
        <v/>
      </c>
      <c r="EM1557" t="str">
        <f>IF(NOT(ISBLANK($B1557)),VLOOKUP($B1557,AssetCategories!$A:$E,2,0),"")</f>
        <v/>
      </c>
      <c r="EN1557" t="str">
        <f>IF(NOT(ISBLANK($B1557)),VLOOKUP($B1557,AssetCategories!$A:$E,3,0),"")</f>
        <v/>
      </c>
      <c r="EP1557" s="33" t="str">
        <f t="shared" si="49"/>
        <v/>
      </c>
    </row>
    <row r="1558" spans="16:146" x14ac:dyDescent="0.25">
      <c r="P1558" s="33" t="str" cm="1">
        <f t="array" ref="P1558">IFERROR(SUM(VALUE(_xlfn.TEXTSPLIT(O1558, ";"))), "")</f>
        <v/>
      </c>
      <c r="DO1558" t="str">
        <f t="shared" si="48"/>
        <v/>
      </c>
      <c r="EG1558" s="33" t="str">
        <f>IF(NOT(ISBLANK($B1558)),VLOOKUP($B1558,AssetCategories!$A:$E,5,0),"")</f>
        <v/>
      </c>
      <c r="EH1558" t="str">
        <f>IF(NOT(ISBLANK($B1558)),VLOOKUP($B1558,AssetCategories!$A:$E,4,0),"")</f>
        <v/>
      </c>
      <c r="EM1558" t="str">
        <f>IF(NOT(ISBLANK($B1558)),VLOOKUP($B1558,AssetCategories!$A:$E,2,0),"")</f>
        <v/>
      </c>
      <c r="EN1558" t="str">
        <f>IF(NOT(ISBLANK($B1558)),VLOOKUP($B1558,AssetCategories!$A:$E,3,0),"")</f>
        <v/>
      </c>
      <c r="EP1558" s="33" t="str">
        <f t="shared" si="49"/>
        <v/>
      </c>
    </row>
    <row r="1559" spans="16:146" x14ac:dyDescent="0.25">
      <c r="P1559" s="33" t="str" cm="1">
        <f t="array" ref="P1559">IFERROR(SUM(VALUE(_xlfn.TEXTSPLIT(O1559, ";"))), "")</f>
        <v/>
      </c>
      <c r="DO1559" t="str">
        <f t="shared" si="48"/>
        <v/>
      </c>
      <c r="EG1559" s="33" t="str">
        <f>IF(NOT(ISBLANK($B1559)),VLOOKUP($B1559,AssetCategories!$A:$E,5,0),"")</f>
        <v/>
      </c>
      <c r="EH1559" t="str">
        <f>IF(NOT(ISBLANK($B1559)),VLOOKUP($B1559,AssetCategories!$A:$E,4,0),"")</f>
        <v/>
      </c>
      <c r="EM1559" t="str">
        <f>IF(NOT(ISBLANK($B1559)),VLOOKUP($B1559,AssetCategories!$A:$E,2,0),"")</f>
        <v/>
      </c>
      <c r="EN1559" t="str">
        <f>IF(NOT(ISBLANK($B1559)),VLOOKUP($B1559,AssetCategories!$A:$E,3,0),"")</f>
        <v/>
      </c>
      <c r="EP1559" s="33" t="str">
        <f t="shared" si="49"/>
        <v/>
      </c>
    </row>
    <row r="1560" spans="16:146" x14ac:dyDescent="0.25">
      <c r="P1560" s="33" t="str" cm="1">
        <f t="array" ref="P1560">IFERROR(SUM(VALUE(_xlfn.TEXTSPLIT(O1560, ";"))), "")</f>
        <v/>
      </c>
      <c r="DO1560" t="str">
        <f t="shared" si="48"/>
        <v/>
      </c>
      <c r="EG1560" s="33" t="str">
        <f>IF(NOT(ISBLANK($B1560)),VLOOKUP($B1560,AssetCategories!$A:$E,5,0),"")</f>
        <v/>
      </c>
      <c r="EH1560" t="str">
        <f>IF(NOT(ISBLANK($B1560)),VLOOKUP($B1560,AssetCategories!$A:$E,4,0),"")</f>
        <v/>
      </c>
      <c r="EM1560" t="str">
        <f>IF(NOT(ISBLANK($B1560)),VLOOKUP($B1560,AssetCategories!$A:$E,2,0),"")</f>
        <v/>
      </c>
      <c r="EN1560" t="str">
        <f>IF(NOT(ISBLANK($B1560)),VLOOKUP($B1560,AssetCategories!$A:$E,3,0),"")</f>
        <v/>
      </c>
      <c r="EP1560" s="33" t="str">
        <f t="shared" si="49"/>
        <v/>
      </c>
    </row>
    <row r="1561" spans="16:146" x14ac:dyDescent="0.25">
      <c r="P1561" s="33" t="str" cm="1">
        <f t="array" ref="P1561">IFERROR(SUM(VALUE(_xlfn.TEXTSPLIT(O1561, ";"))), "")</f>
        <v/>
      </c>
      <c r="DO1561" t="str">
        <f t="shared" si="48"/>
        <v/>
      </c>
      <c r="EG1561" s="33" t="str">
        <f>IF(NOT(ISBLANK($B1561)),VLOOKUP($B1561,AssetCategories!$A:$E,5,0),"")</f>
        <v/>
      </c>
      <c r="EH1561" t="str">
        <f>IF(NOT(ISBLANK($B1561)),VLOOKUP($B1561,AssetCategories!$A:$E,4,0),"")</f>
        <v/>
      </c>
      <c r="EM1561" t="str">
        <f>IF(NOT(ISBLANK($B1561)),VLOOKUP($B1561,AssetCategories!$A:$E,2,0),"")</f>
        <v/>
      </c>
      <c r="EN1561" t="str">
        <f>IF(NOT(ISBLANK($B1561)),VLOOKUP($B1561,AssetCategories!$A:$E,3,0),"")</f>
        <v/>
      </c>
      <c r="EP1561" s="33" t="str">
        <f t="shared" si="49"/>
        <v/>
      </c>
    </row>
    <row r="1562" spans="16:146" x14ac:dyDescent="0.25">
      <c r="P1562" s="33" t="str" cm="1">
        <f t="array" ref="P1562">IFERROR(SUM(VALUE(_xlfn.TEXTSPLIT(O1562, ";"))), "")</f>
        <v/>
      </c>
      <c r="DO1562" t="str">
        <f t="shared" si="48"/>
        <v/>
      </c>
      <c r="EG1562" s="33" t="str">
        <f>IF(NOT(ISBLANK($B1562)),VLOOKUP($B1562,AssetCategories!$A:$E,5,0),"")</f>
        <v/>
      </c>
      <c r="EH1562" t="str">
        <f>IF(NOT(ISBLANK($B1562)),VLOOKUP($B1562,AssetCategories!$A:$E,4,0),"")</f>
        <v/>
      </c>
      <c r="EM1562" t="str">
        <f>IF(NOT(ISBLANK($B1562)),VLOOKUP($B1562,AssetCategories!$A:$E,2,0),"")</f>
        <v/>
      </c>
      <c r="EN1562" t="str">
        <f>IF(NOT(ISBLANK($B1562)),VLOOKUP($B1562,AssetCategories!$A:$E,3,0),"")</f>
        <v/>
      </c>
      <c r="EP1562" s="33" t="str">
        <f t="shared" si="49"/>
        <v/>
      </c>
    </row>
    <row r="1563" spans="16:146" x14ac:dyDescent="0.25">
      <c r="P1563" s="33" t="str" cm="1">
        <f t="array" ref="P1563">IFERROR(SUM(VALUE(_xlfn.TEXTSPLIT(O1563, ";"))), "")</f>
        <v/>
      </c>
      <c r="DO1563" t="str">
        <f t="shared" si="48"/>
        <v/>
      </c>
      <c r="EG1563" s="33" t="str">
        <f>IF(NOT(ISBLANK($B1563)),VLOOKUP($B1563,AssetCategories!$A:$E,5,0),"")</f>
        <v/>
      </c>
      <c r="EH1563" t="str">
        <f>IF(NOT(ISBLANK($B1563)),VLOOKUP($B1563,AssetCategories!$A:$E,4,0),"")</f>
        <v/>
      </c>
      <c r="EM1563" t="str">
        <f>IF(NOT(ISBLANK($B1563)),VLOOKUP($B1563,AssetCategories!$A:$E,2,0),"")</f>
        <v/>
      </c>
      <c r="EN1563" t="str">
        <f>IF(NOT(ISBLANK($B1563)),VLOOKUP($B1563,AssetCategories!$A:$E,3,0),"")</f>
        <v/>
      </c>
      <c r="EP1563" s="33" t="str">
        <f t="shared" si="49"/>
        <v/>
      </c>
    </row>
    <row r="1564" spans="16:146" x14ac:dyDescent="0.25">
      <c r="P1564" s="33" t="str" cm="1">
        <f t="array" ref="P1564">IFERROR(SUM(VALUE(_xlfn.TEXTSPLIT(O1564, ";"))), "")</f>
        <v/>
      </c>
      <c r="DO1564" t="str">
        <f t="shared" si="48"/>
        <v/>
      </c>
      <c r="EG1564" s="33" t="str">
        <f>IF(NOT(ISBLANK($B1564)),VLOOKUP($B1564,AssetCategories!$A:$E,5,0),"")</f>
        <v/>
      </c>
      <c r="EH1564" t="str">
        <f>IF(NOT(ISBLANK($B1564)),VLOOKUP($B1564,AssetCategories!$A:$E,4,0),"")</f>
        <v/>
      </c>
      <c r="EM1564" t="str">
        <f>IF(NOT(ISBLANK($B1564)),VLOOKUP($B1564,AssetCategories!$A:$E,2,0),"")</f>
        <v/>
      </c>
      <c r="EN1564" t="str">
        <f>IF(NOT(ISBLANK($B1564)),VLOOKUP($B1564,AssetCategories!$A:$E,3,0),"")</f>
        <v/>
      </c>
      <c r="EP1564" s="33" t="str">
        <f t="shared" si="49"/>
        <v/>
      </c>
    </row>
    <row r="1565" spans="16:146" x14ac:dyDescent="0.25">
      <c r="P1565" s="33" t="str" cm="1">
        <f t="array" ref="P1565">IFERROR(SUM(VALUE(_xlfn.TEXTSPLIT(O1565, ";"))), "")</f>
        <v/>
      </c>
      <c r="DO1565" t="str">
        <f t="shared" si="48"/>
        <v/>
      </c>
      <c r="EG1565" s="33" t="str">
        <f>IF(NOT(ISBLANK($B1565)),VLOOKUP($B1565,AssetCategories!$A:$E,5,0),"")</f>
        <v/>
      </c>
      <c r="EH1565" t="str">
        <f>IF(NOT(ISBLANK($B1565)),VLOOKUP($B1565,AssetCategories!$A:$E,4,0),"")</f>
        <v/>
      </c>
      <c r="EM1565" t="str">
        <f>IF(NOT(ISBLANK($B1565)),VLOOKUP($B1565,AssetCategories!$A:$E,2,0),"")</f>
        <v/>
      </c>
      <c r="EN1565" t="str">
        <f>IF(NOT(ISBLANK($B1565)),VLOOKUP($B1565,AssetCategories!$A:$E,3,0),"")</f>
        <v/>
      </c>
      <c r="EP1565" s="33" t="str">
        <f t="shared" si="49"/>
        <v/>
      </c>
    </row>
    <row r="1566" spans="16:146" x14ac:dyDescent="0.25">
      <c r="P1566" s="33" t="str" cm="1">
        <f t="array" ref="P1566">IFERROR(SUM(VALUE(_xlfn.TEXTSPLIT(O1566, ";"))), "")</f>
        <v/>
      </c>
      <c r="DO1566" t="str">
        <f t="shared" si="48"/>
        <v/>
      </c>
      <c r="EG1566" s="33" t="str">
        <f>IF(NOT(ISBLANK($B1566)),VLOOKUP($B1566,AssetCategories!$A:$E,5,0),"")</f>
        <v/>
      </c>
      <c r="EH1566" t="str">
        <f>IF(NOT(ISBLANK($B1566)),VLOOKUP($B1566,AssetCategories!$A:$E,4,0),"")</f>
        <v/>
      </c>
      <c r="EM1566" t="str">
        <f>IF(NOT(ISBLANK($B1566)),VLOOKUP($B1566,AssetCategories!$A:$E,2,0),"")</f>
        <v/>
      </c>
      <c r="EN1566" t="str">
        <f>IF(NOT(ISBLANK($B1566)),VLOOKUP($B1566,AssetCategories!$A:$E,3,0),"")</f>
        <v/>
      </c>
      <c r="EP1566" s="33" t="str">
        <f t="shared" si="49"/>
        <v/>
      </c>
    </row>
    <row r="1567" spans="16:146" x14ac:dyDescent="0.25">
      <c r="P1567" s="33" t="str" cm="1">
        <f t="array" ref="P1567">IFERROR(SUM(VALUE(_xlfn.TEXTSPLIT(O1567, ";"))), "")</f>
        <v/>
      </c>
      <c r="DO1567" t="str">
        <f t="shared" si="48"/>
        <v/>
      </c>
      <c r="EG1567" s="33" t="str">
        <f>IF(NOT(ISBLANK($B1567)),VLOOKUP($B1567,AssetCategories!$A:$E,5,0),"")</f>
        <v/>
      </c>
      <c r="EH1567" t="str">
        <f>IF(NOT(ISBLANK($B1567)),VLOOKUP($B1567,AssetCategories!$A:$E,4,0),"")</f>
        <v/>
      </c>
      <c r="EM1567" t="str">
        <f>IF(NOT(ISBLANK($B1567)),VLOOKUP($B1567,AssetCategories!$A:$E,2,0),"")</f>
        <v/>
      </c>
      <c r="EN1567" t="str">
        <f>IF(NOT(ISBLANK($B1567)),VLOOKUP($B1567,AssetCategories!$A:$E,3,0),"")</f>
        <v/>
      </c>
      <c r="EP1567" s="33" t="str">
        <f t="shared" si="49"/>
        <v/>
      </c>
    </row>
    <row r="1568" spans="16:146" x14ac:dyDescent="0.25">
      <c r="P1568" s="33" t="str" cm="1">
        <f t="array" ref="P1568">IFERROR(SUM(VALUE(_xlfn.TEXTSPLIT(O1568, ";"))), "")</f>
        <v/>
      </c>
      <c r="DO1568" t="str">
        <f t="shared" si="48"/>
        <v/>
      </c>
      <c r="EG1568" s="33" t="str">
        <f>IF(NOT(ISBLANK($B1568)),VLOOKUP($B1568,AssetCategories!$A:$E,5,0),"")</f>
        <v/>
      </c>
      <c r="EH1568" t="str">
        <f>IF(NOT(ISBLANK($B1568)),VLOOKUP($B1568,AssetCategories!$A:$E,4,0),"")</f>
        <v/>
      </c>
      <c r="EM1568" t="str">
        <f>IF(NOT(ISBLANK($B1568)),VLOOKUP($B1568,AssetCategories!$A:$E,2,0),"")</f>
        <v/>
      </c>
      <c r="EN1568" t="str">
        <f>IF(NOT(ISBLANK($B1568)),VLOOKUP($B1568,AssetCategories!$A:$E,3,0),"")</f>
        <v/>
      </c>
      <c r="EP1568" s="33" t="str">
        <f t="shared" si="49"/>
        <v/>
      </c>
    </row>
    <row r="1569" spans="16:146" x14ac:dyDescent="0.25">
      <c r="P1569" s="33" t="str" cm="1">
        <f t="array" ref="P1569">IFERROR(SUM(VALUE(_xlfn.TEXTSPLIT(O1569, ";"))), "")</f>
        <v/>
      </c>
      <c r="DO1569" t="str">
        <f t="shared" si="48"/>
        <v/>
      </c>
      <c r="EG1569" s="33" t="str">
        <f>IF(NOT(ISBLANK($B1569)),VLOOKUP($B1569,AssetCategories!$A:$E,5,0),"")</f>
        <v/>
      </c>
      <c r="EH1569" t="str">
        <f>IF(NOT(ISBLANK($B1569)),VLOOKUP($B1569,AssetCategories!$A:$E,4,0),"")</f>
        <v/>
      </c>
      <c r="EM1569" t="str">
        <f>IF(NOT(ISBLANK($B1569)),VLOOKUP($B1569,AssetCategories!$A:$E,2,0),"")</f>
        <v/>
      </c>
      <c r="EN1569" t="str">
        <f>IF(NOT(ISBLANK($B1569)),VLOOKUP($B1569,AssetCategories!$A:$E,3,0),"")</f>
        <v/>
      </c>
      <c r="EP1569" s="33" t="str">
        <f t="shared" si="49"/>
        <v/>
      </c>
    </row>
    <row r="1570" spans="16:146" x14ac:dyDescent="0.25">
      <c r="P1570" s="33" t="str" cm="1">
        <f t="array" ref="P1570">IFERROR(SUM(VALUE(_xlfn.TEXTSPLIT(O1570, ";"))), "")</f>
        <v/>
      </c>
      <c r="DO1570" t="str">
        <f t="shared" si="48"/>
        <v/>
      </c>
      <c r="EG1570" s="33" t="str">
        <f>IF(NOT(ISBLANK($B1570)),VLOOKUP($B1570,AssetCategories!$A:$E,5,0),"")</f>
        <v/>
      </c>
      <c r="EH1570" t="str">
        <f>IF(NOT(ISBLANK($B1570)),VLOOKUP($B1570,AssetCategories!$A:$E,4,0),"")</f>
        <v/>
      </c>
      <c r="EM1570" t="str">
        <f>IF(NOT(ISBLANK($B1570)),VLOOKUP($B1570,AssetCategories!$A:$E,2,0),"")</f>
        <v/>
      </c>
      <c r="EN1570" t="str">
        <f>IF(NOT(ISBLANK($B1570)),VLOOKUP($B1570,AssetCategories!$A:$E,3,0),"")</f>
        <v/>
      </c>
      <c r="EP1570" s="33" t="str">
        <f t="shared" si="49"/>
        <v/>
      </c>
    </row>
    <row r="1571" spans="16:146" x14ac:dyDescent="0.25">
      <c r="P1571" s="33" t="str" cm="1">
        <f t="array" ref="P1571">IFERROR(SUM(VALUE(_xlfn.TEXTSPLIT(O1571, ";"))), "")</f>
        <v/>
      </c>
      <c r="DO1571" t="str">
        <f t="shared" si="48"/>
        <v/>
      </c>
      <c r="EG1571" s="33" t="str">
        <f>IF(NOT(ISBLANK($B1571)),VLOOKUP($B1571,AssetCategories!$A:$E,5,0),"")</f>
        <v/>
      </c>
      <c r="EH1571" t="str">
        <f>IF(NOT(ISBLANK($B1571)),VLOOKUP($B1571,AssetCategories!$A:$E,4,0),"")</f>
        <v/>
      </c>
      <c r="EM1571" t="str">
        <f>IF(NOT(ISBLANK($B1571)),VLOOKUP($B1571,AssetCategories!$A:$E,2,0),"")</f>
        <v/>
      </c>
      <c r="EN1571" t="str">
        <f>IF(NOT(ISBLANK($B1571)),VLOOKUP($B1571,AssetCategories!$A:$E,3,0),"")</f>
        <v/>
      </c>
      <c r="EP1571" s="33" t="str">
        <f t="shared" si="49"/>
        <v/>
      </c>
    </row>
    <row r="1572" spans="16:146" x14ac:dyDescent="0.25">
      <c r="P1572" s="33" t="str" cm="1">
        <f t="array" ref="P1572">IFERROR(SUM(VALUE(_xlfn.TEXTSPLIT(O1572, ";"))), "")</f>
        <v/>
      </c>
      <c r="DO1572" t="str">
        <f t="shared" si="48"/>
        <v/>
      </c>
      <c r="EG1572" s="33" t="str">
        <f>IF(NOT(ISBLANK($B1572)),VLOOKUP($B1572,AssetCategories!$A:$E,5,0),"")</f>
        <v/>
      </c>
      <c r="EH1572" t="str">
        <f>IF(NOT(ISBLANK($B1572)),VLOOKUP($B1572,AssetCategories!$A:$E,4,0),"")</f>
        <v/>
      </c>
      <c r="EM1572" t="str">
        <f>IF(NOT(ISBLANK($B1572)),VLOOKUP($B1572,AssetCategories!$A:$E,2,0),"")</f>
        <v/>
      </c>
      <c r="EN1572" t="str">
        <f>IF(NOT(ISBLANK($B1572)),VLOOKUP($B1572,AssetCategories!$A:$E,3,0),"")</f>
        <v/>
      </c>
      <c r="EP1572" s="33" t="str">
        <f t="shared" si="49"/>
        <v/>
      </c>
    </row>
    <row r="1573" spans="16:146" x14ac:dyDescent="0.25">
      <c r="P1573" s="33" t="str" cm="1">
        <f t="array" ref="P1573">IFERROR(SUM(VALUE(_xlfn.TEXTSPLIT(O1573, ";"))), "")</f>
        <v/>
      </c>
      <c r="DO1573" t="str">
        <f t="shared" si="48"/>
        <v/>
      </c>
      <c r="EG1573" s="33" t="str">
        <f>IF(NOT(ISBLANK($B1573)),VLOOKUP($B1573,AssetCategories!$A:$E,5,0),"")</f>
        <v/>
      </c>
      <c r="EH1573" t="str">
        <f>IF(NOT(ISBLANK($B1573)),VLOOKUP($B1573,AssetCategories!$A:$E,4,0),"")</f>
        <v/>
      </c>
      <c r="EM1573" t="str">
        <f>IF(NOT(ISBLANK($B1573)),VLOOKUP($B1573,AssetCategories!$A:$E,2,0),"")</f>
        <v/>
      </c>
      <c r="EN1573" t="str">
        <f>IF(NOT(ISBLANK($B1573)),VLOOKUP($B1573,AssetCategories!$A:$E,3,0),"")</f>
        <v/>
      </c>
      <c r="EP1573" s="33" t="str">
        <f t="shared" si="49"/>
        <v/>
      </c>
    </row>
    <row r="1574" spans="16:146" x14ac:dyDescent="0.25">
      <c r="P1574" s="33" t="str" cm="1">
        <f t="array" ref="P1574">IFERROR(SUM(VALUE(_xlfn.TEXTSPLIT(O1574, ";"))), "")</f>
        <v/>
      </c>
      <c r="DO1574" t="str">
        <f t="shared" si="48"/>
        <v/>
      </c>
      <c r="EG1574" s="33" t="str">
        <f>IF(NOT(ISBLANK($B1574)),VLOOKUP($B1574,AssetCategories!$A:$E,5,0),"")</f>
        <v/>
      </c>
      <c r="EH1574" t="str">
        <f>IF(NOT(ISBLANK($B1574)),VLOOKUP($B1574,AssetCategories!$A:$E,4,0),"")</f>
        <v/>
      </c>
      <c r="EM1574" t="str">
        <f>IF(NOT(ISBLANK($B1574)),VLOOKUP($B1574,AssetCategories!$A:$E,2,0),"")</f>
        <v/>
      </c>
      <c r="EN1574" t="str">
        <f>IF(NOT(ISBLANK($B1574)),VLOOKUP($B1574,AssetCategories!$A:$E,3,0),"")</f>
        <v/>
      </c>
      <c r="EP1574" s="33" t="str">
        <f t="shared" si="49"/>
        <v/>
      </c>
    </row>
    <row r="1575" spans="16:146" x14ac:dyDescent="0.25">
      <c r="P1575" s="33" t="str" cm="1">
        <f t="array" ref="P1575">IFERROR(SUM(VALUE(_xlfn.TEXTSPLIT(O1575, ";"))), "")</f>
        <v/>
      </c>
      <c r="DO1575" t="str">
        <f t="shared" si="48"/>
        <v/>
      </c>
      <c r="EG1575" s="33" t="str">
        <f>IF(NOT(ISBLANK($B1575)),VLOOKUP($B1575,AssetCategories!$A:$E,5,0),"")</f>
        <v/>
      </c>
      <c r="EH1575" t="str">
        <f>IF(NOT(ISBLANK($B1575)),VLOOKUP($B1575,AssetCategories!$A:$E,4,0),"")</f>
        <v/>
      </c>
      <c r="EM1575" t="str">
        <f>IF(NOT(ISBLANK($B1575)),VLOOKUP($B1575,AssetCategories!$A:$E,2,0),"")</f>
        <v/>
      </c>
      <c r="EN1575" t="str">
        <f>IF(NOT(ISBLANK($B1575)),VLOOKUP($B1575,AssetCategories!$A:$E,3,0),"")</f>
        <v/>
      </c>
      <c r="EP1575" s="33" t="str">
        <f t="shared" si="49"/>
        <v/>
      </c>
    </row>
    <row r="1576" spans="16:146" x14ac:dyDescent="0.25">
      <c r="P1576" s="33" t="str" cm="1">
        <f t="array" ref="P1576">IFERROR(SUM(VALUE(_xlfn.TEXTSPLIT(O1576, ";"))), "")</f>
        <v/>
      </c>
      <c r="DO1576" t="str">
        <f t="shared" si="48"/>
        <v/>
      </c>
      <c r="EG1576" s="33" t="str">
        <f>IF(NOT(ISBLANK($B1576)),VLOOKUP($B1576,AssetCategories!$A:$E,5,0),"")</f>
        <v/>
      </c>
      <c r="EH1576" t="str">
        <f>IF(NOT(ISBLANK($B1576)),VLOOKUP($B1576,AssetCategories!$A:$E,4,0),"")</f>
        <v/>
      </c>
      <c r="EM1576" t="str">
        <f>IF(NOT(ISBLANK($B1576)),VLOOKUP($B1576,AssetCategories!$A:$E,2,0),"")</f>
        <v/>
      </c>
      <c r="EN1576" t="str">
        <f>IF(NOT(ISBLANK($B1576)),VLOOKUP($B1576,AssetCategories!$A:$E,3,0),"")</f>
        <v/>
      </c>
      <c r="EP1576" s="33" t="str">
        <f t="shared" si="49"/>
        <v/>
      </c>
    </row>
    <row r="1577" spans="16:146" x14ac:dyDescent="0.25">
      <c r="P1577" s="33" t="str" cm="1">
        <f t="array" ref="P1577">IFERROR(SUM(VALUE(_xlfn.TEXTSPLIT(O1577, ";"))), "")</f>
        <v/>
      </c>
      <c r="DO1577" t="str">
        <f t="shared" si="48"/>
        <v/>
      </c>
      <c r="EG1577" s="33" t="str">
        <f>IF(NOT(ISBLANK($B1577)),VLOOKUP($B1577,AssetCategories!$A:$E,5,0),"")</f>
        <v/>
      </c>
      <c r="EH1577" t="str">
        <f>IF(NOT(ISBLANK($B1577)),VLOOKUP($B1577,AssetCategories!$A:$E,4,0),"")</f>
        <v/>
      </c>
      <c r="EM1577" t="str">
        <f>IF(NOT(ISBLANK($B1577)),VLOOKUP($B1577,AssetCategories!$A:$E,2,0),"")</f>
        <v/>
      </c>
      <c r="EN1577" t="str">
        <f>IF(NOT(ISBLANK($B1577)),VLOOKUP($B1577,AssetCategories!$A:$E,3,0),"")</f>
        <v/>
      </c>
      <c r="EP1577" s="33" t="str">
        <f t="shared" si="49"/>
        <v/>
      </c>
    </row>
    <row r="1578" spans="16:146" x14ac:dyDescent="0.25">
      <c r="P1578" s="33" t="str" cm="1">
        <f t="array" ref="P1578">IFERROR(SUM(VALUE(_xlfn.TEXTSPLIT(O1578, ";"))), "")</f>
        <v/>
      </c>
      <c r="DO1578" t="str">
        <f t="shared" si="48"/>
        <v/>
      </c>
      <c r="EG1578" s="33" t="str">
        <f>IF(NOT(ISBLANK($B1578)),VLOOKUP($B1578,AssetCategories!$A:$E,5,0),"")</f>
        <v/>
      </c>
      <c r="EH1578" t="str">
        <f>IF(NOT(ISBLANK($B1578)),VLOOKUP($B1578,AssetCategories!$A:$E,4,0),"")</f>
        <v/>
      </c>
      <c r="EM1578" t="str">
        <f>IF(NOT(ISBLANK($B1578)),VLOOKUP($B1578,AssetCategories!$A:$E,2,0),"")</f>
        <v/>
      </c>
      <c r="EN1578" t="str">
        <f>IF(NOT(ISBLANK($B1578)),VLOOKUP($B1578,AssetCategories!$A:$E,3,0),"")</f>
        <v/>
      </c>
      <c r="EP1578" s="33" t="str">
        <f t="shared" si="49"/>
        <v/>
      </c>
    </row>
    <row r="1579" spans="16:146" x14ac:dyDescent="0.25">
      <c r="P1579" s="33" t="str" cm="1">
        <f t="array" ref="P1579">IFERROR(SUM(VALUE(_xlfn.TEXTSPLIT(O1579, ";"))), "")</f>
        <v/>
      </c>
      <c r="DO1579" t="str">
        <f t="shared" si="48"/>
        <v/>
      </c>
      <c r="EG1579" s="33" t="str">
        <f>IF(NOT(ISBLANK($B1579)),VLOOKUP($B1579,AssetCategories!$A:$E,5,0),"")</f>
        <v/>
      </c>
      <c r="EH1579" t="str">
        <f>IF(NOT(ISBLANK($B1579)),VLOOKUP($B1579,AssetCategories!$A:$E,4,0),"")</f>
        <v/>
      </c>
      <c r="EM1579" t="str">
        <f>IF(NOT(ISBLANK($B1579)),VLOOKUP($B1579,AssetCategories!$A:$E,2,0),"")</f>
        <v/>
      </c>
      <c r="EN1579" t="str">
        <f>IF(NOT(ISBLANK($B1579)),VLOOKUP($B1579,AssetCategories!$A:$E,3,0),"")</f>
        <v/>
      </c>
      <c r="EP1579" s="33" t="str">
        <f t="shared" si="49"/>
        <v/>
      </c>
    </row>
    <row r="1580" spans="16:146" x14ac:dyDescent="0.25">
      <c r="P1580" s="33" t="str" cm="1">
        <f t="array" ref="P1580">IFERROR(SUM(VALUE(_xlfn.TEXTSPLIT(O1580, ";"))), "")</f>
        <v/>
      </c>
      <c r="DO1580" t="str">
        <f t="shared" si="48"/>
        <v/>
      </c>
      <c r="EG1580" s="33" t="str">
        <f>IF(NOT(ISBLANK($B1580)),VLOOKUP($B1580,AssetCategories!$A:$E,5,0),"")</f>
        <v/>
      </c>
      <c r="EH1580" t="str">
        <f>IF(NOT(ISBLANK($B1580)),VLOOKUP($B1580,AssetCategories!$A:$E,4,0),"")</f>
        <v/>
      </c>
      <c r="EM1580" t="str">
        <f>IF(NOT(ISBLANK($B1580)),VLOOKUP($B1580,AssetCategories!$A:$E,2,0),"")</f>
        <v/>
      </c>
      <c r="EN1580" t="str">
        <f>IF(NOT(ISBLANK($B1580)),VLOOKUP($B1580,AssetCategories!$A:$E,3,0),"")</f>
        <v/>
      </c>
      <c r="EP1580" s="33" t="str">
        <f t="shared" si="49"/>
        <v/>
      </c>
    </row>
    <row r="1581" spans="16:146" x14ac:dyDescent="0.25">
      <c r="P1581" s="33" t="str" cm="1">
        <f t="array" ref="P1581">IFERROR(SUM(VALUE(_xlfn.TEXTSPLIT(O1581, ";"))), "")</f>
        <v/>
      </c>
      <c r="DO1581" t="str">
        <f t="shared" si="48"/>
        <v/>
      </c>
      <c r="EG1581" s="33" t="str">
        <f>IF(NOT(ISBLANK($B1581)),VLOOKUP($B1581,AssetCategories!$A:$E,5,0),"")</f>
        <v/>
      </c>
      <c r="EH1581" t="str">
        <f>IF(NOT(ISBLANK($B1581)),VLOOKUP($B1581,AssetCategories!$A:$E,4,0),"")</f>
        <v/>
      </c>
      <c r="EM1581" t="str">
        <f>IF(NOT(ISBLANK($B1581)),VLOOKUP($B1581,AssetCategories!$A:$E,2,0),"")</f>
        <v/>
      </c>
      <c r="EN1581" t="str">
        <f>IF(NOT(ISBLANK($B1581)),VLOOKUP($B1581,AssetCategories!$A:$E,3,0),"")</f>
        <v/>
      </c>
      <c r="EP1581" s="33" t="str">
        <f t="shared" si="49"/>
        <v/>
      </c>
    </row>
    <row r="1582" spans="16:146" x14ac:dyDescent="0.25">
      <c r="P1582" s="33" t="str" cm="1">
        <f t="array" ref="P1582">IFERROR(SUM(VALUE(_xlfn.TEXTSPLIT(O1582, ";"))), "")</f>
        <v/>
      </c>
      <c r="DO1582" t="str">
        <f t="shared" si="48"/>
        <v/>
      </c>
      <c r="EG1582" s="33" t="str">
        <f>IF(NOT(ISBLANK($B1582)),VLOOKUP($B1582,AssetCategories!$A:$E,5,0),"")</f>
        <v/>
      </c>
      <c r="EH1582" t="str">
        <f>IF(NOT(ISBLANK($B1582)),VLOOKUP($B1582,AssetCategories!$A:$E,4,0),"")</f>
        <v/>
      </c>
      <c r="EM1582" t="str">
        <f>IF(NOT(ISBLANK($B1582)),VLOOKUP($B1582,AssetCategories!$A:$E,2,0),"")</f>
        <v/>
      </c>
      <c r="EN1582" t="str">
        <f>IF(NOT(ISBLANK($B1582)),VLOOKUP($B1582,AssetCategories!$A:$E,3,0),"")</f>
        <v/>
      </c>
      <c r="EP1582" s="33" t="str">
        <f t="shared" si="49"/>
        <v/>
      </c>
    </row>
    <row r="1583" spans="16:146" x14ac:dyDescent="0.25">
      <c r="P1583" s="33" t="str" cm="1">
        <f t="array" ref="P1583">IFERROR(SUM(VALUE(_xlfn.TEXTSPLIT(O1583, ";"))), "")</f>
        <v/>
      </c>
      <c r="DO1583" t="str">
        <f t="shared" si="48"/>
        <v/>
      </c>
      <c r="EG1583" s="33" t="str">
        <f>IF(NOT(ISBLANK($B1583)),VLOOKUP($B1583,AssetCategories!$A:$E,5,0),"")</f>
        <v/>
      </c>
      <c r="EH1583" t="str">
        <f>IF(NOT(ISBLANK($B1583)),VLOOKUP($B1583,AssetCategories!$A:$E,4,0),"")</f>
        <v/>
      </c>
      <c r="EM1583" t="str">
        <f>IF(NOT(ISBLANK($B1583)),VLOOKUP($B1583,AssetCategories!$A:$E,2,0),"")</f>
        <v/>
      </c>
      <c r="EN1583" t="str">
        <f>IF(NOT(ISBLANK($B1583)),VLOOKUP($B1583,AssetCategories!$A:$E,3,0),"")</f>
        <v/>
      </c>
      <c r="EP1583" s="33" t="str">
        <f t="shared" si="49"/>
        <v/>
      </c>
    </row>
    <row r="1584" spans="16:146" x14ac:dyDescent="0.25">
      <c r="P1584" s="33" t="str" cm="1">
        <f t="array" ref="P1584">IFERROR(SUM(VALUE(_xlfn.TEXTSPLIT(O1584, ";"))), "")</f>
        <v/>
      </c>
      <c r="DO1584" t="str">
        <f t="shared" si="48"/>
        <v/>
      </c>
      <c r="EG1584" s="33" t="str">
        <f>IF(NOT(ISBLANK($B1584)),VLOOKUP($B1584,AssetCategories!$A:$E,5,0),"")</f>
        <v/>
      </c>
      <c r="EH1584" t="str">
        <f>IF(NOT(ISBLANK($B1584)),VLOOKUP($B1584,AssetCategories!$A:$E,4,0),"")</f>
        <v/>
      </c>
      <c r="EM1584" t="str">
        <f>IF(NOT(ISBLANK($B1584)),VLOOKUP($B1584,AssetCategories!$A:$E,2,0),"")</f>
        <v/>
      </c>
      <c r="EN1584" t="str">
        <f>IF(NOT(ISBLANK($B1584)),VLOOKUP($B1584,AssetCategories!$A:$E,3,0),"")</f>
        <v/>
      </c>
      <c r="EP1584" s="33" t="str">
        <f t="shared" si="49"/>
        <v/>
      </c>
    </row>
    <row r="1585" spans="16:146" x14ac:dyDescent="0.25">
      <c r="P1585" s="33" t="str" cm="1">
        <f t="array" ref="P1585">IFERROR(SUM(VALUE(_xlfn.TEXTSPLIT(O1585, ";"))), "")</f>
        <v/>
      </c>
      <c r="DO1585" t="str">
        <f t="shared" si="48"/>
        <v/>
      </c>
      <c r="EG1585" s="33" t="str">
        <f>IF(NOT(ISBLANK($B1585)),VLOOKUP($B1585,AssetCategories!$A:$E,5,0),"")</f>
        <v/>
      </c>
      <c r="EH1585" t="str">
        <f>IF(NOT(ISBLANK($B1585)),VLOOKUP($B1585,AssetCategories!$A:$E,4,0),"")</f>
        <v/>
      </c>
      <c r="EM1585" t="str">
        <f>IF(NOT(ISBLANK($B1585)),VLOOKUP($B1585,AssetCategories!$A:$E,2,0),"")</f>
        <v/>
      </c>
      <c r="EN1585" t="str">
        <f>IF(NOT(ISBLANK($B1585)),VLOOKUP($B1585,AssetCategories!$A:$E,3,0),"")</f>
        <v/>
      </c>
      <c r="EP1585" s="33" t="str">
        <f t="shared" si="49"/>
        <v/>
      </c>
    </row>
    <row r="1586" spans="16:146" x14ac:dyDescent="0.25">
      <c r="P1586" s="33" t="str" cm="1">
        <f t="array" ref="P1586">IFERROR(SUM(VALUE(_xlfn.TEXTSPLIT(O1586, ";"))), "")</f>
        <v/>
      </c>
      <c r="DO1586" t="str">
        <f t="shared" si="48"/>
        <v/>
      </c>
      <c r="EG1586" s="33" t="str">
        <f>IF(NOT(ISBLANK($B1586)),VLOOKUP($B1586,AssetCategories!$A:$E,5,0),"")</f>
        <v/>
      </c>
      <c r="EH1586" t="str">
        <f>IF(NOT(ISBLANK($B1586)),VLOOKUP($B1586,AssetCategories!$A:$E,4,0),"")</f>
        <v/>
      </c>
      <c r="EM1586" t="str">
        <f>IF(NOT(ISBLANK($B1586)),VLOOKUP($B1586,AssetCategories!$A:$E,2,0),"")</f>
        <v/>
      </c>
      <c r="EN1586" t="str">
        <f>IF(NOT(ISBLANK($B1586)),VLOOKUP($B1586,AssetCategories!$A:$E,3,0),"")</f>
        <v/>
      </c>
      <c r="EP1586" s="33" t="str">
        <f t="shared" si="49"/>
        <v/>
      </c>
    </row>
    <row r="1587" spans="16:146" x14ac:dyDescent="0.25">
      <c r="P1587" s="33" t="str" cm="1">
        <f t="array" ref="P1587">IFERROR(SUM(VALUE(_xlfn.TEXTSPLIT(O1587, ";"))), "")</f>
        <v/>
      </c>
      <c r="DO1587" t="str">
        <f t="shared" si="48"/>
        <v/>
      </c>
      <c r="EG1587" s="33" t="str">
        <f>IF(NOT(ISBLANK($B1587)),VLOOKUP($B1587,AssetCategories!$A:$E,5,0),"")</f>
        <v/>
      </c>
      <c r="EH1587" t="str">
        <f>IF(NOT(ISBLANK($B1587)),VLOOKUP($B1587,AssetCategories!$A:$E,4,0),"")</f>
        <v/>
      </c>
      <c r="EM1587" t="str">
        <f>IF(NOT(ISBLANK($B1587)),VLOOKUP($B1587,AssetCategories!$A:$E,2,0),"")</f>
        <v/>
      </c>
      <c r="EN1587" t="str">
        <f>IF(NOT(ISBLANK($B1587)),VLOOKUP($B1587,AssetCategories!$A:$E,3,0),"")</f>
        <v/>
      </c>
      <c r="EP1587" s="33" t="str">
        <f t="shared" si="49"/>
        <v/>
      </c>
    </row>
    <row r="1588" spans="16:146" x14ac:dyDescent="0.25">
      <c r="P1588" s="33" t="str" cm="1">
        <f t="array" ref="P1588">IFERROR(SUM(VALUE(_xlfn.TEXTSPLIT(O1588, ";"))), "")</f>
        <v/>
      </c>
      <c r="DO1588" t="str">
        <f t="shared" si="48"/>
        <v/>
      </c>
      <c r="EG1588" s="33" t="str">
        <f>IF(NOT(ISBLANK($B1588)),VLOOKUP($B1588,AssetCategories!$A:$E,5,0),"")</f>
        <v/>
      </c>
      <c r="EH1588" t="str">
        <f>IF(NOT(ISBLANK($B1588)),VLOOKUP($B1588,AssetCategories!$A:$E,4,0),"")</f>
        <v/>
      </c>
      <c r="EM1588" t="str">
        <f>IF(NOT(ISBLANK($B1588)),VLOOKUP($B1588,AssetCategories!$A:$E,2,0),"")</f>
        <v/>
      </c>
      <c r="EN1588" t="str">
        <f>IF(NOT(ISBLANK($B1588)),VLOOKUP($B1588,AssetCategories!$A:$E,3,0),"")</f>
        <v/>
      </c>
      <c r="EP1588" s="33" t="str">
        <f t="shared" si="49"/>
        <v/>
      </c>
    </row>
    <row r="1589" spans="16:146" x14ac:dyDescent="0.25">
      <c r="P1589" s="33" t="str" cm="1">
        <f t="array" ref="P1589">IFERROR(SUM(VALUE(_xlfn.TEXTSPLIT(O1589, ";"))), "")</f>
        <v/>
      </c>
      <c r="DO1589" t="str">
        <f t="shared" si="48"/>
        <v/>
      </c>
      <c r="EG1589" s="33" t="str">
        <f>IF(NOT(ISBLANK($B1589)),VLOOKUP($B1589,AssetCategories!$A:$E,5,0),"")</f>
        <v/>
      </c>
      <c r="EH1589" t="str">
        <f>IF(NOT(ISBLANK($B1589)),VLOOKUP($B1589,AssetCategories!$A:$E,4,0),"")</f>
        <v/>
      </c>
      <c r="EM1589" t="str">
        <f>IF(NOT(ISBLANK($B1589)),VLOOKUP($B1589,AssetCategories!$A:$E,2,0),"")</f>
        <v/>
      </c>
      <c r="EN1589" t="str">
        <f>IF(NOT(ISBLANK($B1589)),VLOOKUP($B1589,AssetCategories!$A:$E,3,0),"")</f>
        <v/>
      </c>
      <c r="EP1589" s="33" t="str">
        <f t="shared" si="49"/>
        <v/>
      </c>
    </row>
    <row r="1590" spans="16:146" x14ac:dyDescent="0.25">
      <c r="P1590" s="33" t="str" cm="1">
        <f t="array" ref="P1590">IFERROR(SUM(VALUE(_xlfn.TEXTSPLIT(O1590, ";"))), "")</f>
        <v/>
      </c>
      <c r="DO1590" t="str">
        <f t="shared" si="48"/>
        <v/>
      </c>
      <c r="EG1590" s="33" t="str">
        <f>IF(NOT(ISBLANK($B1590)),VLOOKUP($B1590,AssetCategories!$A:$E,5,0),"")</f>
        <v/>
      </c>
      <c r="EH1590" t="str">
        <f>IF(NOT(ISBLANK($B1590)),VLOOKUP($B1590,AssetCategories!$A:$E,4,0),"")</f>
        <v/>
      </c>
      <c r="EM1590" t="str">
        <f>IF(NOT(ISBLANK($B1590)),VLOOKUP($B1590,AssetCategories!$A:$E,2,0),"")</f>
        <v/>
      </c>
      <c r="EN1590" t="str">
        <f>IF(NOT(ISBLANK($B1590)),VLOOKUP($B1590,AssetCategories!$A:$E,3,0),"")</f>
        <v/>
      </c>
      <c r="EP1590" s="33" t="str">
        <f t="shared" si="49"/>
        <v/>
      </c>
    </row>
    <row r="1591" spans="16:146" x14ac:dyDescent="0.25">
      <c r="P1591" s="33" t="str" cm="1">
        <f t="array" ref="P1591">IFERROR(SUM(VALUE(_xlfn.TEXTSPLIT(O1591, ";"))), "")</f>
        <v/>
      </c>
      <c r="DO1591" t="str">
        <f t="shared" si="48"/>
        <v/>
      </c>
      <c r="EG1591" s="33" t="str">
        <f>IF(NOT(ISBLANK($B1591)),VLOOKUP($B1591,AssetCategories!$A:$E,5,0),"")</f>
        <v/>
      </c>
      <c r="EH1591" t="str">
        <f>IF(NOT(ISBLANK($B1591)),VLOOKUP($B1591,AssetCategories!$A:$E,4,0),"")</f>
        <v/>
      </c>
      <c r="EM1591" t="str">
        <f>IF(NOT(ISBLANK($B1591)),VLOOKUP($B1591,AssetCategories!$A:$E,2,0),"")</f>
        <v/>
      </c>
      <c r="EN1591" t="str">
        <f>IF(NOT(ISBLANK($B1591)),VLOOKUP($B1591,AssetCategories!$A:$E,3,0),"")</f>
        <v/>
      </c>
      <c r="EP1591" s="33" t="str">
        <f t="shared" si="49"/>
        <v/>
      </c>
    </row>
    <row r="1592" spans="16:146" x14ac:dyDescent="0.25">
      <c r="P1592" s="33" t="str" cm="1">
        <f t="array" ref="P1592">IFERROR(SUM(VALUE(_xlfn.TEXTSPLIT(O1592, ";"))), "")</f>
        <v/>
      </c>
      <c r="DO1592" t="str">
        <f t="shared" si="48"/>
        <v/>
      </c>
      <c r="EG1592" s="33" t="str">
        <f>IF(NOT(ISBLANK($B1592)),VLOOKUP($B1592,AssetCategories!$A:$E,5,0),"")</f>
        <v/>
      </c>
      <c r="EH1592" t="str">
        <f>IF(NOT(ISBLANK($B1592)),VLOOKUP($B1592,AssetCategories!$A:$E,4,0),"")</f>
        <v/>
      </c>
      <c r="EM1592" t="str">
        <f>IF(NOT(ISBLANK($B1592)),VLOOKUP($B1592,AssetCategories!$A:$E,2,0),"")</f>
        <v/>
      </c>
      <c r="EN1592" t="str">
        <f>IF(NOT(ISBLANK($B1592)),VLOOKUP($B1592,AssetCategories!$A:$E,3,0),"")</f>
        <v/>
      </c>
      <c r="EP1592" s="33" t="str">
        <f t="shared" si="49"/>
        <v/>
      </c>
    </row>
    <row r="1593" spans="16:146" x14ac:dyDescent="0.25">
      <c r="P1593" s="33" t="str" cm="1">
        <f t="array" ref="P1593">IFERROR(SUM(VALUE(_xlfn.TEXTSPLIT(O1593, ";"))), "")</f>
        <v/>
      </c>
      <c r="DO1593" t="str">
        <f t="shared" si="48"/>
        <v/>
      </c>
      <c r="EG1593" s="33" t="str">
        <f>IF(NOT(ISBLANK($B1593)),VLOOKUP($B1593,AssetCategories!$A:$E,5,0),"")</f>
        <v/>
      </c>
      <c r="EH1593" t="str">
        <f>IF(NOT(ISBLANK($B1593)),VLOOKUP($B1593,AssetCategories!$A:$E,4,0),"")</f>
        <v/>
      </c>
      <c r="EM1593" t="str">
        <f>IF(NOT(ISBLANK($B1593)),VLOOKUP($B1593,AssetCategories!$A:$E,2,0),"")</f>
        <v/>
      </c>
      <c r="EN1593" t="str">
        <f>IF(NOT(ISBLANK($B1593)),VLOOKUP($B1593,AssetCategories!$A:$E,3,0),"")</f>
        <v/>
      </c>
      <c r="EP1593" s="33" t="str">
        <f t="shared" si="49"/>
        <v/>
      </c>
    </row>
    <row r="1594" spans="16:146" x14ac:dyDescent="0.25">
      <c r="P1594" s="33" t="str" cm="1">
        <f t="array" ref="P1594">IFERROR(SUM(VALUE(_xlfn.TEXTSPLIT(O1594, ";"))), "")</f>
        <v/>
      </c>
      <c r="DO1594" t="str">
        <f t="shared" si="48"/>
        <v/>
      </c>
      <c r="EG1594" s="33" t="str">
        <f>IF(NOT(ISBLANK($B1594)),VLOOKUP($B1594,AssetCategories!$A:$E,5,0),"")</f>
        <v/>
      </c>
      <c r="EH1594" t="str">
        <f>IF(NOT(ISBLANK($B1594)),VLOOKUP($B1594,AssetCategories!$A:$E,4,0),"")</f>
        <v/>
      </c>
      <c r="EM1594" t="str">
        <f>IF(NOT(ISBLANK($B1594)),VLOOKUP($B1594,AssetCategories!$A:$E,2,0),"")</f>
        <v/>
      </c>
      <c r="EN1594" t="str">
        <f>IF(NOT(ISBLANK($B1594)),VLOOKUP($B1594,AssetCategories!$A:$E,3,0),"")</f>
        <v/>
      </c>
      <c r="EP1594" s="33" t="str">
        <f t="shared" si="49"/>
        <v/>
      </c>
    </row>
    <row r="1595" spans="16:146" x14ac:dyDescent="0.25">
      <c r="P1595" s="33" t="str" cm="1">
        <f t="array" ref="P1595">IFERROR(SUM(VALUE(_xlfn.TEXTSPLIT(O1595, ";"))), "")</f>
        <v/>
      </c>
      <c r="DO1595" t="str">
        <f t="shared" si="48"/>
        <v/>
      </c>
      <c r="EG1595" s="33" t="str">
        <f>IF(NOT(ISBLANK($B1595)),VLOOKUP($B1595,AssetCategories!$A:$E,5,0),"")</f>
        <v/>
      </c>
      <c r="EH1595" t="str">
        <f>IF(NOT(ISBLANK($B1595)),VLOOKUP($B1595,AssetCategories!$A:$E,4,0),"")</f>
        <v/>
      </c>
      <c r="EM1595" t="str">
        <f>IF(NOT(ISBLANK($B1595)),VLOOKUP($B1595,AssetCategories!$A:$E,2,0),"")</f>
        <v/>
      </c>
      <c r="EN1595" t="str">
        <f>IF(NOT(ISBLANK($B1595)),VLOOKUP($B1595,AssetCategories!$A:$E,3,0),"")</f>
        <v/>
      </c>
      <c r="EP1595" s="33" t="str">
        <f t="shared" si="49"/>
        <v/>
      </c>
    </row>
    <row r="1596" spans="16:146" x14ac:dyDescent="0.25">
      <c r="P1596" s="33" t="str" cm="1">
        <f t="array" ref="P1596">IFERROR(SUM(VALUE(_xlfn.TEXTSPLIT(O1596, ";"))), "")</f>
        <v/>
      </c>
      <c r="DO1596" t="str">
        <f t="shared" si="48"/>
        <v/>
      </c>
      <c r="EG1596" s="33" t="str">
        <f>IF(NOT(ISBLANK($B1596)),VLOOKUP($B1596,AssetCategories!$A:$E,5,0),"")</f>
        <v/>
      </c>
      <c r="EH1596" t="str">
        <f>IF(NOT(ISBLANK($B1596)),VLOOKUP($B1596,AssetCategories!$A:$E,4,0),"")</f>
        <v/>
      </c>
      <c r="EM1596" t="str">
        <f>IF(NOT(ISBLANK($B1596)),VLOOKUP($B1596,AssetCategories!$A:$E,2,0),"")</f>
        <v/>
      </c>
      <c r="EN1596" t="str">
        <f>IF(NOT(ISBLANK($B1596)),VLOOKUP($B1596,AssetCategories!$A:$E,3,0),"")</f>
        <v/>
      </c>
      <c r="EP1596" s="33" t="str">
        <f t="shared" si="49"/>
        <v/>
      </c>
    </row>
    <row r="1597" spans="16:146" x14ac:dyDescent="0.25">
      <c r="P1597" s="33" t="str" cm="1">
        <f t="array" ref="P1597">IFERROR(SUM(VALUE(_xlfn.TEXTSPLIT(O1597, ";"))), "")</f>
        <v/>
      </c>
      <c r="DO1597" t="str">
        <f t="shared" si="48"/>
        <v/>
      </c>
      <c r="EG1597" s="33" t="str">
        <f>IF(NOT(ISBLANK($B1597)),VLOOKUP($B1597,AssetCategories!$A:$E,5,0),"")</f>
        <v/>
      </c>
      <c r="EH1597" t="str">
        <f>IF(NOT(ISBLANK($B1597)),VLOOKUP($B1597,AssetCategories!$A:$E,4,0),"")</f>
        <v/>
      </c>
      <c r="EM1597" t="str">
        <f>IF(NOT(ISBLANK($B1597)),VLOOKUP($B1597,AssetCategories!$A:$E,2,0),"")</f>
        <v/>
      </c>
      <c r="EN1597" t="str">
        <f>IF(NOT(ISBLANK($B1597)),VLOOKUP($B1597,AssetCategories!$A:$E,3,0),"")</f>
        <v/>
      </c>
      <c r="EP1597" s="33" t="str">
        <f t="shared" si="49"/>
        <v/>
      </c>
    </row>
    <row r="1598" spans="16:146" x14ac:dyDescent="0.25">
      <c r="P1598" s="33" t="str" cm="1">
        <f t="array" ref="P1598">IFERROR(SUM(VALUE(_xlfn.TEXTSPLIT(O1598, ";"))), "")</f>
        <v/>
      </c>
      <c r="DO1598" t="str">
        <f t="shared" si="48"/>
        <v/>
      </c>
      <c r="EG1598" s="33" t="str">
        <f>IF(NOT(ISBLANK($B1598)),VLOOKUP($B1598,AssetCategories!$A:$E,5,0),"")</f>
        <v/>
      </c>
      <c r="EH1598" t="str">
        <f>IF(NOT(ISBLANK($B1598)),VLOOKUP($B1598,AssetCategories!$A:$E,4,0),"")</f>
        <v/>
      </c>
      <c r="EM1598" t="str">
        <f>IF(NOT(ISBLANK($B1598)),VLOOKUP($B1598,AssetCategories!$A:$E,2,0),"")</f>
        <v/>
      </c>
      <c r="EN1598" t="str">
        <f>IF(NOT(ISBLANK($B1598)),VLOOKUP($B1598,AssetCategories!$A:$E,3,0),"")</f>
        <v/>
      </c>
      <c r="EP1598" s="33" t="str">
        <f t="shared" si="49"/>
        <v/>
      </c>
    </row>
    <row r="1599" spans="16:146" x14ac:dyDescent="0.25">
      <c r="P1599" s="33" t="str" cm="1">
        <f t="array" ref="P1599">IFERROR(SUM(VALUE(_xlfn.TEXTSPLIT(O1599, ";"))), "")</f>
        <v/>
      </c>
      <c r="DO1599" t="str">
        <f t="shared" si="48"/>
        <v/>
      </c>
      <c r="EG1599" s="33" t="str">
        <f>IF(NOT(ISBLANK($B1599)),VLOOKUP($B1599,AssetCategories!$A:$E,5,0),"")</f>
        <v/>
      </c>
      <c r="EH1599" t="str">
        <f>IF(NOT(ISBLANK($B1599)),VLOOKUP($B1599,AssetCategories!$A:$E,4,0),"")</f>
        <v/>
      </c>
      <c r="EM1599" t="str">
        <f>IF(NOT(ISBLANK($B1599)),VLOOKUP($B1599,AssetCategories!$A:$E,2,0),"")</f>
        <v/>
      </c>
      <c r="EN1599" t="str">
        <f>IF(NOT(ISBLANK($B1599)),VLOOKUP($B1599,AssetCategories!$A:$E,3,0),"")</f>
        <v/>
      </c>
      <c r="EP1599" s="33" t="str">
        <f t="shared" si="49"/>
        <v/>
      </c>
    </row>
    <row r="1600" spans="16:146" x14ac:dyDescent="0.25">
      <c r="P1600" s="33" t="str" cm="1">
        <f t="array" ref="P1600">IFERROR(SUM(VALUE(_xlfn.TEXTSPLIT(O1600, ";"))), "")</f>
        <v/>
      </c>
      <c r="DO1600" t="str">
        <f t="shared" si="48"/>
        <v/>
      </c>
      <c r="EG1600" s="33" t="str">
        <f>IF(NOT(ISBLANK($B1600)),VLOOKUP($B1600,AssetCategories!$A:$E,5,0),"")</f>
        <v/>
      </c>
      <c r="EH1600" t="str">
        <f>IF(NOT(ISBLANK($B1600)),VLOOKUP($B1600,AssetCategories!$A:$E,4,0),"")</f>
        <v/>
      </c>
      <c r="EM1600" t="str">
        <f>IF(NOT(ISBLANK($B1600)),VLOOKUP($B1600,AssetCategories!$A:$E,2,0),"")</f>
        <v/>
      </c>
      <c r="EN1600" t="str">
        <f>IF(NOT(ISBLANK($B1600)),VLOOKUP($B1600,AssetCategories!$A:$E,3,0),"")</f>
        <v/>
      </c>
      <c r="EP1600" s="33" t="str">
        <f t="shared" si="49"/>
        <v/>
      </c>
    </row>
    <row r="1601" spans="16:146" x14ac:dyDescent="0.25">
      <c r="P1601" s="33" t="str" cm="1">
        <f t="array" ref="P1601">IFERROR(SUM(VALUE(_xlfn.TEXTSPLIT(O1601, ";"))), "")</f>
        <v/>
      </c>
      <c r="DO1601" t="str">
        <f t="shared" si="48"/>
        <v/>
      </c>
      <c r="EG1601" s="33" t="str">
        <f>IF(NOT(ISBLANK($B1601)),VLOOKUP($B1601,AssetCategories!$A:$E,5,0),"")</f>
        <v/>
      </c>
      <c r="EH1601" t="str">
        <f>IF(NOT(ISBLANK($B1601)),VLOOKUP($B1601,AssetCategories!$A:$E,4,0),"")</f>
        <v/>
      </c>
      <c r="EM1601" t="str">
        <f>IF(NOT(ISBLANK($B1601)),VLOOKUP($B1601,AssetCategories!$A:$E,2,0),"")</f>
        <v/>
      </c>
      <c r="EN1601" t="str">
        <f>IF(NOT(ISBLANK($B1601)),VLOOKUP($B1601,AssetCategories!$A:$E,3,0),"")</f>
        <v/>
      </c>
      <c r="EP1601" s="33" t="str">
        <f t="shared" si="49"/>
        <v/>
      </c>
    </row>
    <row r="1602" spans="16:146" x14ac:dyDescent="0.25">
      <c r="P1602" s="33" t="str" cm="1">
        <f t="array" ref="P1602">IFERROR(SUM(VALUE(_xlfn.TEXTSPLIT(O1602, ";"))), "")</f>
        <v/>
      </c>
      <c r="DO1602" t="str">
        <f t="shared" si="48"/>
        <v/>
      </c>
      <c r="EG1602" s="33" t="str">
        <f>IF(NOT(ISBLANK($B1602)),VLOOKUP($B1602,AssetCategories!$A:$E,5,0),"")</f>
        <v/>
      </c>
      <c r="EH1602" t="str">
        <f>IF(NOT(ISBLANK($B1602)),VLOOKUP($B1602,AssetCategories!$A:$E,4,0),"")</f>
        <v/>
      </c>
      <c r="EM1602" t="str">
        <f>IF(NOT(ISBLANK($B1602)),VLOOKUP($B1602,AssetCategories!$A:$E,2,0),"")</f>
        <v/>
      </c>
      <c r="EN1602" t="str">
        <f>IF(NOT(ISBLANK($B1602)),VLOOKUP($B1602,AssetCategories!$A:$E,3,0),"")</f>
        <v/>
      </c>
      <c r="EP1602" s="33" t="str">
        <f t="shared" si="49"/>
        <v/>
      </c>
    </row>
    <row r="1603" spans="16:146" x14ac:dyDescent="0.25">
      <c r="P1603" s="33" t="str" cm="1">
        <f t="array" ref="P1603">IFERROR(SUM(VALUE(_xlfn.TEXTSPLIT(O1603, ";"))), "")</f>
        <v/>
      </c>
      <c r="DO1603" t="str">
        <f t="shared" si="48"/>
        <v/>
      </c>
      <c r="EG1603" s="33" t="str">
        <f>IF(NOT(ISBLANK($B1603)),VLOOKUP($B1603,AssetCategories!$A:$E,5,0),"")</f>
        <v/>
      </c>
      <c r="EH1603" t="str">
        <f>IF(NOT(ISBLANK($B1603)),VLOOKUP($B1603,AssetCategories!$A:$E,4,0),"")</f>
        <v/>
      </c>
      <c r="EM1603" t="str">
        <f>IF(NOT(ISBLANK($B1603)),VLOOKUP($B1603,AssetCategories!$A:$E,2,0),"")</f>
        <v/>
      </c>
      <c r="EN1603" t="str">
        <f>IF(NOT(ISBLANK($B1603)),VLOOKUP($B1603,AssetCategories!$A:$E,3,0),"")</f>
        <v/>
      </c>
      <c r="EP1603" s="33" t="str">
        <f t="shared" si="49"/>
        <v/>
      </c>
    </row>
    <row r="1604" spans="16:146" x14ac:dyDescent="0.25">
      <c r="P1604" s="33" t="str" cm="1">
        <f t="array" ref="P1604">IFERROR(SUM(VALUE(_xlfn.TEXTSPLIT(O1604, ";"))), "")</f>
        <v/>
      </c>
      <c r="DO1604" t="str">
        <f t="shared" si="48"/>
        <v/>
      </c>
      <c r="EG1604" s="33" t="str">
        <f>IF(NOT(ISBLANK($B1604)),VLOOKUP($B1604,AssetCategories!$A:$E,5,0),"")</f>
        <v/>
      </c>
      <c r="EH1604" t="str">
        <f>IF(NOT(ISBLANK($B1604)),VLOOKUP($B1604,AssetCategories!$A:$E,4,0),"")</f>
        <v/>
      </c>
      <c r="EM1604" t="str">
        <f>IF(NOT(ISBLANK($B1604)),VLOOKUP($B1604,AssetCategories!$A:$E,2,0),"")</f>
        <v/>
      </c>
      <c r="EN1604" t="str">
        <f>IF(NOT(ISBLANK($B1604)),VLOOKUP($B1604,AssetCategories!$A:$E,3,0),"")</f>
        <v/>
      </c>
      <c r="EP1604" s="33" t="str">
        <f t="shared" si="49"/>
        <v/>
      </c>
    </row>
    <row r="1605" spans="16:146" x14ac:dyDescent="0.25">
      <c r="P1605" s="33" t="str" cm="1">
        <f t="array" ref="P1605">IFERROR(SUM(VALUE(_xlfn.TEXTSPLIT(O1605, ";"))), "")</f>
        <v/>
      </c>
      <c r="DO1605" t="str">
        <f t="shared" ref="DO1605:DO1668" si="50">IF(SUM(DE1605:DN1605)=0, "", SUM(DE1605:DN1605))</f>
        <v/>
      </c>
      <c r="EG1605" s="33" t="str">
        <f>IF(NOT(ISBLANK($B1605)),VLOOKUP($B1605,AssetCategories!$A:$E,5,0),"")</f>
        <v/>
      </c>
      <c r="EH1605" t="str">
        <f>IF(NOT(ISBLANK($B1605)),VLOOKUP($B1605,AssetCategories!$A:$E,4,0),"")</f>
        <v/>
      </c>
      <c r="EM1605" t="str">
        <f>IF(NOT(ISBLANK($B1605)),VLOOKUP($B1605,AssetCategories!$A:$E,2,0),"")</f>
        <v/>
      </c>
      <c r="EN1605" t="str">
        <f>IF(NOT(ISBLANK($B1605)),VLOOKUP($B1605,AssetCategories!$A:$E,3,0),"")</f>
        <v/>
      </c>
      <c r="EP1605" s="33" t="str">
        <f t="shared" ref="EP1605:EP1668" si="51">IFERROR(P1605-EO1605, "")</f>
        <v/>
      </c>
    </row>
    <row r="1606" spans="16:146" x14ac:dyDescent="0.25">
      <c r="P1606" s="33" t="str" cm="1">
        <f t="array" ref="P1606">IFERROR(SUM(VALUE(_xlfn.TEXTSPLIT(O1606, ";"))), "")</f>
        <v/>
      </c>
      <c r="DO1606" t="str">
        <f t="shared" si="50"/>
        <v/>
      </c>
      <c r="EG1606" s="33" t="str">
        <f>IF(NOT(ISBLANK($B1606)),VLOOKUP($B1606,AssetCategories!$A:$E,5,0),"")</f>
        <v/>
      </c>
      <c r="EH1606" t="str">
        <f>IF(NOT(ISBLANK($B1606)),VLOOKUP($B1606,AssetCategories!$A:$E,4,0),"")</f>
        <v/>
      </c>
      <c r="EM1606" t="str">
        <f>IF(NOT(ISBLANK($B1606)),VLOOKUP($B1606,AssetCategories!$A:$E,2,0),"")</f>
        <v/>
      </c>
      <c r="EN1606" t="str">
        <f>IF(NOT(ISBLANK($B1606)),VLOOKUP($B1606,AssetCategories!$A:$E,3,0),"")</f>
        <v/>
      </c>
      <c r="EP1606" s="33" t="str">
        <f t="shared" si="51"/>
        <v/>
      </c>
    </row>
    <row r="1607" spans="16:146" x14ac:dyDescent="0.25">
      <c r="P1607" s="33" t="str" cm="1">
        <f t="array" ref="P1607">IFERROR(SUM(VALUE(_xlfn.TEXTSPLIT(O1607, ";"))), "")</f>
        <v/>
      </c>
      <c r="DO1607" t="str">
        <f t="shared" si="50"/>
        <v/>
      </c>
      <c r="EG1607" s="33" t="str">
        <f>IF(NOT(ISBLANK($B1607)),VLOOKUP($B1607,AssetCategories!$A:$E,5,0),"")</f>
        <v/>
      </c>
      <c r="EH1607" t="str">
        <f>IF(NOT(ISBLANK($B1607)),VLOOKUP($B1607,AssetCategories!$A:$E,4,0),"")</f>
        <v/>
      </c>
      <c r="EM1607" t="str">
        <f>IF(NOT(ISBLANK($B1607)),VLOOKUP($B1607,AssetCategories!$A:$E,2,0),"")</f>
        <v/>
      </c>
      <c r="EN1607" t="str">
        <f>IF(NOT(ISBLANK($B1607)),VLOOKUP($B1607,AssetCategories!$A:$E,3,0),"")</f>
        <v/>
      </c>
      <c r="EP1607" s="33" t="str">
        <f t="shared" si="51"/>
        <v/>
      </c>
    </row>
    <row r="1608" spans="16:146" x14ac:dyDescent="0.25">
      <c r="P1608" s="33" t="str" cm="1">
        <f t="array" ref="P1608">IFERROR(SUM(VALUE(_xlfn.TEXTSPLIT(O1608, ";"))), "")</f>
        <v/>
      </c>
      <c r="DO1608" t="str">
        <f t="shared" si="50"/>
        <v/>
      </c>
      <c r="EG1608" s="33" t="str">
        <f>IF(NOT(ISBLANK($B1608)),VLOOKUP($B1608,AssetCategories!$A:$E,5,0),"")</f>
        <v/>
      </c>
      <c r="EH1608" t="str">
        <f>IF(NOT(ISBLANK($B1608)),VLOOKUP($B1608,AssetCategories!$A:$E,4,0),"")</f>
        <v/>
      </c>
      <c r="EM1608" t="str">
        <f>IF(NOT(ISBLANK($B1608)),VLOOKUP($B1608,AssetCategories!$A:$E,2,0),"")</f>
        <v/>
      </c>
      <c r="EN1608" t="str">
        <f>IF(NOT(ISBLANK($B1608)),VLOOKUP($B1608,AssetCategories!$A:$E,3,0),"")</f>
        <v/>
      </c>
      <c r="EP1608" s="33" t="str">
        <f t="shared" si="51"/>
        <v/>
      </c>
    </row>
    <row r="1609" spans="16:146" x14ac:dyDescent="0.25">
      <c r="P1609" s="33" t="str" cm="1">
        <f t="array" ref="P1609">IFERROR(SUM(VALUE(_xlfn.TEXTSPLIT(O1609, ";"))), "")</f>
        <v/>
      </c>
      <c r="DO1609" t="str">
        <f t="shared" si="50"/>
        <v/>
      </c>
      <c r="EG1609" s="33" t="str">
        <f>IF(NOT(ISBLANK($B1609)),VLOOKUP($B1609,AssetCategories!$A:$E,5,0),"")</f>
        <v/>
      </c>
      <c r="EH1609" t="str">
        <f>IF(NOT(ISBLANK($B1609)),VLOOKUP($B1609,AssetCategories!$A:$E,4,0),"")</f>
        <v/>
      </c>
      <c r="EM1609" t="str">
        <f>IF(NOT(ISBLANK($B1609)),VLOOKUP($B1609,AssetCategories!$A:$E,2,0),"")</f>
        <v/>
      </c>
      <c r="EN1609" t="str">
        <f>IF(NOT(ISBLANK($B1609)),VLOOKUP($B1609,AssetCategories!$A:$E,3,0),"")</f>
        <v/>
      </c>
      <c r="EP1609" s="33" t="str">
        <f t="shared" si="51"/>
        <v/>
      </c>
    </row>
    <row r="1610" spans="16:146" x14ac:dyDescent="0.25">
      <c r="P1610" s="33" t="str" cm="1">
        <f t="array" ref="P1610">IFERROR(SUM(VALUE(_xlfn.TEXTSPLIT(O1610, ";"))), "")</f>
        <v/>
      </c>
      <c r="DO1610" t="str">
        <f t="shared" si="50"/>
        <v/>
      </c>
      <c r="EG1610" s="33" t="str">
        <f>IF(NOT(ISBLANK($B1610)),VLOOKUP($B1610,AssetCategories!$A:$E,5,0),"")</f>
        <v/>
      </c>
      <c r="EH1610" t="str">
        <f>IF(NOT(ISBLANK($B1610)),VLOOKUP($B1610,AssetCategories!$A:$E,4,0),"")</f>
        <v/>
      </c>
      <c r="EM1610" t="str">
        <f>IF(NOT(ISBLANK($B1610)),VLOOKUP($B1610,AssetCategories!$A:$E,2,0),"")</f>
        <v/>
      </c>
      <c r="EN1610" t="str">
        <f>IF(NOT(ISBLANK($B1610)),VLOOKUP($B1610,AssetCategories!$A:$E,3,0),"")</f>
        <v/>
      </c>
      <c r="EP1610" s="33" t="str">
        <f t="shared" si="51"/>
        <v/>
      </c>
    </row>
    <row r="1611" spans="16:146" x14ac:dyDescent="0.25">
      <c r="P1611" s="33" t="str" cm="1">
        <f t="array" ref="P1611">IFERROR(SUM(VALUE(_xlfn.TEXTSPLIT(O1611, ";"))), "")</f>
        <v/>
      </c>
      <c r="DO1611" t="str">
        <f t="shared" si="50"/>
        <v/>
      </c>
      <c r="EG1611" s="33" t="str">
        <f>IF(NOT(ISBLANK($B1611)),VLOOKUP($B1611,AssetCategories!$A:$E,5,0),"")</f>
        <v/>
      </c>
      <c r="EH1611" t="str">
        <f>IF(NOT(ISBLANK($B1611)),VLOOKUP($B1611,AssetCategories!$A:$E,4,0),"")</f>
        <v/>
      </c>
      <c r="EM1611" t="str">
        <f>IF(NOT(ISBLANK($B1611)),VLOOKUP($B1611,AssetCategories!$A:$E,2,0),"")</f>
        <v/>
      </c>
      <c r="EN1611" t="str">
        <f>IF(NOT(ISBLANK($B1611)),VLOOKUP($B1611,AssetCategories!$A:$E,3,0),"")</f>
        <v/>
      </c>
      <c r="EP1611" s="33" t="str">
        <f t="shared" si="51"/>
        <v/>
      </c>
    </row>
    <row r="1612" spans="16:146" x14ac:dyDescent="0.25">
      <c r="P1612" s="33" t="str" cm="1">
        <f t="array" ref="P1612">IFERROR(SUM(VALUE(_xlfn.TEXTSPLIT(O1612, ";"))), "")</f>
        <v/>
      </c>
      <c r="DO1612" t="str">
        <f t="shared" si="50"/>
        <v/>
      </c>
      <c r="EG1612" s="33" t="str">
        <f>IF(NOT(ISBLANK($B1612)),VLOOKUP($B1612,AssetCategories!$A:$E,5,0),"")</f>
        <v/>
      </c>
      <c r="EH1612" t="str">
        <f>IF(NOT(ISBLANK($B1612)),VLOOKUP($B1612,AssetCategories!$A:$E,4,0),"")</f>
        <v/>
      </c>
      <c r="EM1612" t="str">
        <f>IF(NOT(ISBLANK($B1612)),VLOOKUP($B1612,AssetCategories!$A:$E,2,0),"")</f>
        <v/>
      </c>
      <c r="EN1612" t="str">
        <f>IF(NOT(ISBLANK($B1612)),VLOOKUP($B1612,AssetCategories!$A:$E,3,0),"")</f>
        <v/>
      </c>
      <c r="EP1612" s="33" t="str">
        <f t="shared" si="51"/>
        <v/>
      </c>
    </row>
    <row r="1613" spans="16:146" x14ac:dyDescent="0.25">
      <c r="P1613" s="33" t="str" cm="1">
        <f t="array" ref="P1613">IFERROR(SUM(VALUE(_xlfn.TEXTSPLIT(O1613, ";"))), "")</f>
        <v/>
      </c>
      <c r="DO1613" t="str">
        <f t="shared" si="50"/>
        <v/>
      </c>
      <c r="EG1613" s="33" t="str">
        <f>IF(NOT(ISBLANK($B1613)),VLOOKUP($B1613,AssetCategories!$A:$E,5,0),"")</f>
        <v/>
      </c>
      <c r="EH1613" t="str">
        <f>IF(NOT(ISBLANK($B1613)),VLOOKUP($B1613,AssetCategories!$A:$E,4,0),"")</f>
        <v/>
      </c>
      <c r="EM1613" t="str">
        <f>IF(NOT(ISBLANK($B1613)),VLOOKUP($B1613,AssetCategories!$A:$E,2,0),"")</f>
        <v/>
      </c>
      <c r="EN1613" t="str">
        <f>IF(NOT(ISBLANK($B1613)),VLOOKUP($B1613,AssetCategories!$A:$E,3,0),"")</f>
        <v/>
      </c>
      <c r="EP1613" s="33" t="str">
        <f t="shared" si="51"/>
        <v/>
      </c>
    </row>
    <row r="1614" spans="16:146" x14ac:dyDescent="0.25">
      <c r="P1614" s="33" t="str" cm="1">
        <f t="array" ref="P1614">IFERROR(SUM(VALUE(_xlfn.TEXTSPLIT(O1614, ";"))), "")</f>
        <v/>
      </c>
      <c r="DO1614" t="str">
        <f t="shared" si="50"/>
        <v/>
      </c>
      <c r="EG1614" s="33" t="str">
        <f>IF(NOT(ISBLANK($B1614)),VLOOKUP($B1614,AssetCategories!$A:$E,5,0),"")</f>
        <v/>
      </c>
      <c r="EH1614" t="str">
        <f>IF(NOT(ISBLANK($B1614)),VLOOKUP($B1614,AssetCategories!$A:$E,4,0),"")</f>
        <v/>
      </c>
      <c r="EM1614" t="str">
        <f>IF(NOT(ISBLANK($B1614)),VLOOKUP($B1614,AssetCategories!$A:$E,2,0),"")</f>
        <v/>
      </c>
      <c r="EN1614" t="str">
        <f>IF(NOT(ISBLANK($B1614)),VLOOKUP($B1614,AssetCategories!$A:$E,3,0),"")</f>
        <v/>
      </c>
      <c r="EP1614" s="33" t="str">
        <f t="shared" si="51"/>
        <v/>
      </c>
    </row>
    <row r="1615" spans="16:146" x14ac:dyDescent="0.25">
      <c r="P1615" s="33" t="str" cm="1">
        <f t="array" ref="P1615">IFERROR(SUM(VALUE(_xlfn.TEXTSPLIT(O1615, ";"))), "")</f>
        <v/>
      </c>
      <c r="DO1615" t="str">
        <f t="shared" si="50"/>
        <v/>
      </c>
      <c r="EG1615" s="33" t="str">
        <f>IF(NOT(ISBLANK($B1615)),VLOOKUP($B1615,AssetCategories!$A:$E,5,0),"")</f>
        <v/>
      </c>
      <c r="EH1615" t="str">
        <f>IF(NOT(ISBLANK($B1615)),VLOOKUP($B1615,AssetCategories!$A:$E,4,0),"")</f>
        <v/>
      </c>
      <c r="EM1615" t="str">
        <f>IF(NOT(ISBLANK($B1615)),VLOOKUP($B1615,AssetCategories!$A:$E,2,0),"")</f>
        <v/>
      </c>
      <c r="EN1615" t="str">
        <f>IF(NOT(ISBLANK($B1615)),VLOOKUP($B1615,AssetCategories!$A:$E,3,0),"")</f>
        <v/>
      </c>
      <c r="EP1615" s="33" t="str">
        <f t="shared" si="51"/>
        <v/>
      </c>
    </row>
    <row r="1616" spans="16:146" x14ac:dyDescent="0.25">
      <c r="P1616" s="33" t="str" cm="1">
        <f t="array" ref="P1616">IFERROR(SUM(VALUE(_xlfn.TEXTSPLIT(O1616, ";"))), "")</f>
        <v/>
      </c>
      <c r="DO1616" t="str">
        <f t="shared" si="50"/>
        <v/>
      </c>
      <c r="EG1616" s="33" t="str">
        <f>IF(NOT(ISBLANK($B1616)),VLOOKUP($B1616,AssetCategories!$A:$E,5,0),"")</f>
        <v/>
      </c>
      <c r="EH1616" t="str">
        <f>IF(NOT(ISBLANK($B1616)),VLOOKUP($B1616,AssetCategories!$A:$E,4,0),"")</f>
        <v/>
      </c>
      <c r="EM1616" t="str">
        <f>IF(NOT(ISBLANK($B1616)),VLOOKUP($B1616,AssetCategories!$A:$E,2,0),"")</f>
        <v/>
      </c>
      <c r="EN1616" t="str">
        <f>IF(NOT(ISBLANK($B1616)),VLOOKUP($B1616,AssetCategories!$A:$E,3,0),"")</f>
        <v/>
      </c>
      <c r="EP1616" s="33" t="str">
        <f t="shared" si="51"/>
        <v/>
      </c>
    </row>
    <row r="1617" spans="16:146" x14ac:dyDescent="0.25">
      <c r="P1617" s="33" t="str" cm="1">
        <f t="array" ref="P1617">IFERROR(SUM(VALUE(_xlfn.TEXTSPLIT(O1617, ";"))), "")</f>
        <v/>
      </c>
      <c r="DO1617" t="str">
        <f t="shared" si="50"/>
        <v/>
      </c>
      <c r="EG1617" s="33" t="str">
        <f>IF(NOT(ISBLANK($B1617)),VLOOKUP($B1617,AssetCategories!$A:$E,5,0),"")</f>
        <v/>
      </c>
      <c r="EH1617" t="str">
        <f>IF(NOT(ISBLANK($B1617)),VLOOKUP($B1617,AssetCategories!$A:$E,4,0),"")</f>
        <v/>
      </c>
      <c r="EM1617" t="str">
        <f>IF(NOT(ISBLANK($B1617)),VLOOKUP($B1617,AssetCategories!$A:$E,2,0),"")</f>
        <v/>
      </c>
      <c r="EN1617" t="str">
        <f>IF(NOT(ISBLANK($B1617)),VLOOKUP($B1617,AssetCategories!$A:$E,3,0),"")</f>
        <v/>
      </c>
      <c r="EP1617" s="33" t="str">
        <f t="shared" si="51"/>
        <v/>
      </c>
    </row>
    <row r="1618" spans="16:146" x14ac:dyDescent="0.25">
      <c r="P1618" s="33" t="str" cm="1">
        <f t="array" ref="P1618">IFERROR(SUM(VALUE(_xlfn.TEXTSPLIT(O1618, ";"))), "")</f>
        <v/>
      </c>
      <c r="DO1618" t="str">
        <f t="shared" si="50"/>
        <v/>
      </c>
      <c r="EG1618" s="33" t="str">
        <f>IF(NOT(ISBLANK($B1618)),VLOOKUP($B1618,AssetCategories!$A:$E,5,0),"")</f>
        <v/>
      </c>
      <c r="EH1618" t="str">
        <f>IF(NOT(ISBLANK($B1618)),VLOOKUP($B1618,AssetCategories!$A:$E,4,0),"")</f>
        <v/>
      </c>
      <c r="EM1618" t="str">
        <f>IF(NOT(ISBLANK($B1618)),VLOOKUP($B1618,AssetCategories!$A:$E,2,0),"")</f>
        <v/>
      </c>
      <c r="EN1618" t="str">
        <f>IF(NOT(ISBLANK($B1618)),VLOOKUP($B1618,AssetCategories!$A:$E,3,0),"")</f>
        <v/>
      </c>
      <c r="EP1618" s="33" t="str">
        <f t="shared" si="51"/>
        <v/>
      </c>
    </row>
    <row r="1619" spans="16:146" x14ac:dyDescent="0.25">
      <c r="P1619" s="33" t="str" cm="1">
        <f t="array" ref="P1619">IFERROR(SUM(VALUE(_xlfn.TEXTSPLIT(O1619, ";"))), "")</f>
        <v/>
      </c>
      <c r="DO1619" t="str">
        <f t="shared" si="50"/>
        <v/>
      </c>
      <c r="EG1619" s="33" t="str">
        <f>IF(NOT(ISBLANK($B1619)),VLOOKUP($B1619,AssetCategories!$A:$E,5,0),"")</f>
        <v/>
      </c>
      <c r="EH1619" t="str">
        <f>IF(NOT(ISBLANK($B1619)),VLOOKUP($B1619,AssetCategories!$A:$E,4,0),"")</f>
        <v/>
      </c>
      <c r="EM1619" t="str">
        <f>IF(NOT(ISBLANK($B1619)),VLOOKUP($B1619,AssetCategories!$A:$E,2,0),"")</f>
        <v/>
      </c>
      <c r="EN1619" t="str">
        <f>IF(NOT(ISBLANK($B1619)),VLOOKUP($B1619,AssetCategories!$A:$E,3,0),"")</f>
        <v/>
      </c>
      <c r="EP1619" s="33" t="str">
        <f t="shared" si="51"/>
        <v/>
      </c>
    </row>
    <row r="1620" spans="16:146" x14ac:dyDescent="0.25">
      <c r="P1620" s="33" t="str" cm="1">
        <f t="array" ref="P1620">IFERROR(SUM(VALUE(_xlfn.TEXTSPLIT(O1620, ";"))), "")</f>
        <v/>
      </c>
      <c r="DO1620" t="str">
        <f t="shared" si="50"/>
        <v/>
      </c>
      <c r="EG1620" s="33" t="str">
        <f>IF(NOT(ISBLANK($B1620)),VLOOKUP($B1620,AssetCategories!$A:$E,5,0),"")</f>
        <v/>
      </c>
      <c r="EH1620" t="str">
        <f>IF(NOT(ISBLANK($B1620)),VLOOKUP($B1620,AssetCategories!$A:$E,4,0),"")</f>
        <v/>
      </c>
      <c r="EM1620" t="str">
        <f>IF(NOT(ISBLANK($B1620)),VLOOKUP($B1620,AssetCategories!$A:$E,2,0),"")</f>
        <v/>
      </c>
      <c r="EN1620" t="str">
        <f>IF(NOT(ISBLANK($B1620)),VLOOKUP($B1620,AssetCategories!$A:$E,3,0),"")</f>
        <v/>
      </c>
      <c r="EP1620" s="33" t="str">
        <f t="shared" si="51"/>
        <v/>
      </c>
    </row>
    <row r="1621" spans="16:146" x14ac:dyDescent="0.25">
      <c r="P1621" s="33" t="str" cm="1">
        <f t="array" ref="P1621">IFERROR(SUM(VALUE(_xlfn.TEXTSPLIT(O1621, ";"))), "")</f>
        <v/>
      </c>
      <c r="DO1621" t="str">
        <f t="shared" si="50"/>
        <v/>
      </c>
      <c r="EG1621" s="33" t="str">
        <f>IF(NOT(ISBLANK($B1621)),VLOOKUP($B1621,AssetCategories!$A:$E,5,0),"")</f>
        <v/>
      </c>
      <c r="EH1621" t="str">
        <f>IF(NOT(ISBLANK($B1621)),VLOOKUP($B1621,AssetCategories!$A:$E,4,0),"")</f>
        <v/>
      </c>
      <c r="EM1621" t="str">
        <f>IF(NOT(ISBLANK($B1621)),VLOOKUP($B1621,AssetCategories!$A:$E,2,0),"")</f>
        <v/>
      </c>
      <c r="EN1621" t="str">
        <f>IF(NOT(ISBLANK($B1621)),VLOOKUP($B1621,AssetCategories!$A:$E,3,0),"")</f>
        <v/>
      </c>
      <c r="EP1621" s="33" t="str">
        <f t="shared" si="51"/>
        <v/>
      </c>
    </row>
    <row r="1622" spans="16:146" x14ac:dyDescent="0.25">
      <c r="P1622" s="33" t="str" cm="1">
        <f t="array" ref="P1622">IFERROR(SUM(VALUE(_xlfn.TEXTSPLIT(O1622, ";"))), "")</f>
        <v/>
      </c>
      <c r="DO1622" t="str">
        <f t="shared" si="50"/>
        <v/>
      </c>
      <c r="EG1622" s="33" t="str">
        <f>IF(NOT(ISBLANK($B1622)),VLOOKUP($B1622,AssetCategories!$A:$E,5,0),"")</f>
        <v/>
      </c>
      <c r="EH1622" t="str">
        <f>IF(NOT(ISBLANK($B1622)),VLOOKUP($B1622,AssetCategories!$A:$E,4,0),"")</f>
        <v/>
      </c>
      <c r="EM1622" t="str">
        <f>IF(NOT(ISBLANK($B1622)),VLOOKUP($B1622,AssetCategories!$A:$E,2,0),"")</f>
        <v/>
      </c>
      <c r="EN1622" t="str">
        <f>IF(NOT(ISBLANK($B1622)),VLOOKUP($B1622,AssetCategories!$A:$E,3,0),"")</f>
        <v/>
      </c>
      <c r="EP1622" s="33" t="str">
        <f t="shared" si="51"/>
        <v/>
      </c>
    </row>
    <row r="1623" spans="16:146" x14ac:dyDescent="0.25">
      <c r="P1623" s="33" t="str" cm="1">
        <f t="array" ref="P1623">IFERROR(SUM(VALUE(_xlfn.TEXTSPLIT(O1623, ";"))), "")</f>
        <v/>
      </c>
      <c r="DO1623" t="str">
        <f t="shared" si="50"/>
        <v/>
      </c>
      <c r="EG1623" s="33" t="str">
        <f>IF(NOT(ISBLANK($B1623)),VLOOKUP($B1623,AssetCategories!$A:$E,5,0),"")</f>
        <v/>
      </c>
      <c r="EH1623" t="str">
        <f>IF(NOT(ISBLANK($B1623)),VLOOKUP($B1623,AssetCategories!$A:$E,4,0),"")</f>
        <v/>
      </c>
      <c r="EM1623" t="str">
        <f>IF(NOT(ISBLANK($B1623)),VLOOKUP($B1623,AssetCategories!$A:$E,2,0),"")</f>
        <v/>
      </c>
      <c r="EN1623" t="str">
        <f>IF(NOT(ISBLANK($B1623)),VLOOKUP($B1623,AssetCategories!$A:$E,3,0),"")</f>
        <v/>
      </c>
      <c r="EP1623" s="33" t="str">
        <f t="shared" si="51"/>
        <v/>
      </c>
    </row>
    <row r="1624" spans="16:146" x14ac:dyDescent="0.25">
      <c r="P1624" s="33" t="str" cm="1">
        <f t="array" ref="P1624">IFERROR(SUM(VALUE(_xlfn.TEXTSPLIT(O1624, ";"))), "")</f>
        <v/>
      </c>
      <c r="DO1624" t="str">
        <f t="shared" si="50"/>
        <v/>
      </c>
      <c r="EG1624" s="33" t="str">
        <f>IF(NOT(ISBLANK($B1624)),VLOOKUP($B1624,AssetCategories!$A:$E,5,0),"")</f>
        <v/>
      </c>
      <c r="EH1624" t="str">
        <f>IF(NOT(ISBLANK($B1624)),VLOOKUP($B1624,AssetCategories!$A:$E,4,0),"")</f>
        <v/>
      </c>
      <c r="EM1624" t="str">
        <f>IF(NOT(ISBLANK($B1624)),VLOOKUP($B1624,AssetCategories!$A:$E,2,0),"")</f>
        <v/>
      </c>
      <c r="EN1624" t="str">
        <f>IF(NOT(ISBLANK($B1624)),VLOOKUP($B1624,AssetCategories!$A:$E,3,0),"")</f>
        <v/>
      </c>
      <c r="EP1624" s="33" t="str">
        <f t="shared" si="51"/>
        <v/>
      </c>
    </row>
    <row r="1625" spans="16:146" x14ac:dyDescent="0.25">
      <c r="P1625" s="33" t="str" cm="1">
        <f t="array" ref="P1625">IFERROR(SUM(VALUE(_xlfn.TEXTSPLIT(O1625, ";"))), "")</f>
        <v/>
      </c>
      <c r="DO1625" t="str">
        <f t="shared" si="50"/>
        <v/>
      </c>
      <c r="EG1625" s="33" t="str">
        <f>IF(NOT(ISBLANK($B1625)),VLOOKUP($B1625,AssetCategories!$A:$E,5,0),"")</f>
        <v/>
      </c>
      <c r="EH1625" t="str">
        <f>IF(NOT(ISBLANK($B1625)),VLOOKUP($B1625,AssetCategories!$A:$E,4,0),"")</f>
        <v/>
      </c>
      <c r="EM1625" t="str">
        <f>IF(NOT(ISBLANK($B1625)),VLOOKUP($B1625,AssetCategories!$A:$E,2,0),"")</f>
        <v/>
      </c>
      <c r="EN1625" t="str">
        <f>IF(NOT(ISBLANK($B1625)),VLOOKUP($B1625,AssetCategories!$A:$E,3,0),"")</f>
        <v/>
      </c>
      <c r="EP1625" s="33" t="str">
        <f t="shared" si="51"/>
        <v/>
      </c>
    </row>
    <row r="1626" spans="16:146" x14ac:dyDescent="0.25">
      <c r="P1626" s="33" t="str" cm="1">
        <f t="array" ref="P1626">IFERROR(SUM(VALUE(_xlfn.TEXTSPLIT(O1626, ";"))), "")</f>
        <v/>
      </c>
      <c r="DO1626" t="str">
        <f t="shared" si="50"/>
        <v/>
      </c>
      <c r="EG1626" s="33" t="str">
        <f>IF(NOT(ISBLANK($B1626)),VLOOKUP($B1626,AssetCategories!$A:$E,5,0),"")</f>
        <v/>
      </c>
      <c r="EH1626" t="str">
        <f>IF(NOT(ISBLANK($B1626)),VLOOKUP($B1626,AssetCategories!$A:$E,4,0),"")</f>
        <v/>
      </c>
      <c r="EM1626" t="str">
        <f>IF(NOT(ISBLANK($B1626)),VLOOKUP($B1626,AssetCategories!$A:$E,2,0),"")</f>
        <v/>
      </c>
      <c r="EN1626" t="str">
        <f>IF(NOT(ISBLANK($B1626)),VLOOKUP($B1626,AssetCategories!$A:$E,3,0),"")</f>
        <v/>
      </c>
      <c r="EP1626" s="33" t="str">
        <f t="shared" si="51"/>
        <v/>
      </c>
    </row>
    <row r="1627" spans="16:146" x14ac:dyDescent="0.25">
      <c r="P1627" s="33" t="str" cm="1">
        <f t="array" ref="P1627">IFERROR(SUM(VALUE(_xlfn.TEXTSPLIT(O1627, ";"))), "")</f>
        <v/>
      </c>
      <c r="DO1627" t="str">
        <f t="shared" si="50"/>
        <v/>
      </c>
      <c r="EG1627" s="33" t="str">
        <f>IF(NOT(ISBLANK($B1627)),VLOOKUP($B1627,AssetCategories!$A:$E,5,0),"")</f>
        <v/>
      </c>
      <c r="EH1627" t="str">
        <f>IF(NOT(ISBLANK($B1627)),VLOOKUP($B1627,AssetCategories!$A:$E,4,0),"")</f>
        <v/>
      </c>
      <c r="EM1627" t="str">
        <f>IF(NOT(ISBLANK($B1627)),VLOOKUP($B1627,AssetCategories!$A:$E,2,0),"")</f>
        <v/>
      </c>
      <c r="EN1627" t="str">
        <f>IF(NOT(ISBLANK($B1627)),VLOOKUP($B1627,AssetCategories!$A:$E,3,0),"")</f>
        <v/>
      </c>
      <c r="EP1627" s="33" t="str">
        <f t="shared" si="51"/>
        <v/>
      </c>
    </row>
    <row r="1628" spans="16:146" x14ac:dyDescent="0.25">
      <c r="P1628" s="33" t="str" cm="1">
        <f t="array" ref="P1628">IFERROR(SUM(VALUE(_xlfn.TEXTSPLIT(O1628, ";"))), "")</f>
        <v/>
      </c>
      <c r="DO1628" t="str">
        <f t="shared" si="50"/>
        <v/>
      </c>
      <c r="EG1628" s="33" t="str">
        <f>IF(NOT(ISBLANK($B1628)),VLOOKUP($B1628,AssetCategories!$A:$E,5,0),"")</f>
        <v/>
      </c>
      <c r="EH1628" t="str">
        <f>IF(NOT(ISBLANK($B1628)),VLOOKUP($B1628,AssetCategories!$A:$E,4,0),"")</f>
        <v/>
      </c>
      <c r="EM1628" t="str">
        <f>IF(NOT(ISBLANK($B1628)),VLOOKUP($B1628,AssetCategories!$A:$E,2,0),"")</f>
        <v/>
      </c>
      <c r="EN1628" t="str">
        <f>IF(NOT(ISBLANK($B1628)),VLOOKUP($B1628,AssetCategories!$A:$E,3,0),"")</f>
        <v/>
      </c>
      <c r="EP1628" s="33" t="str">
        <f t="shared" si="51"/>
        <v/>
      </c>
    </row>
    <row r="1629" spans="16:146" x14ac:dyDescent="0.25">
      <c r="P1629" s="33" t="str" cm="1">
        <f t="array" ref="P1629">IFERROR(SUM(VALUE(_xlfn.TEXTSPLIT(O1629, ";"))), "")</f>
        <v/>
      </c>
      <c r="DO1629" t="str">
        <f t="shared" si="50"/>
        <v/>
      </c>
      <c r="EG1629" s="33" t="str">
        <f>IF(NOT(ISBLANK($B1629)),VLOOKUP($B1629,AssetCategories!$A:$E,5,0),"")</f>
        <v/>
      </c>
      <c r="EH1629" t="str">
        <f>IF(NOT(ISBLANK($B1629)),VLOOKUP($B1629,AssetCategories!$A:$E,4,0),"")</f>
        <v/>
      </c>
      <c r="EM1629" t="str">
        <f>IF(NOT(ISBLANK($B1629)),VLOOKUP($B1629,AssetCategories!$A:$E,2,0),"")</f>
        <v/>
      </c>
      <c r="EN1629" t="str">
        <f>IF(NOT(ISBLANK($B1629)),VLOOKUP($B1629,AssetCategories!$A:$E,3,0),"")</f>
        <v/>
      </c>
      <c r="EP1629" s="33" t="str">
        <f t="shared" si="51"/>
        <v/>
      </c>
    </row>
    <row r="1630" spans="16:146" x14ac:dyDescent="0.25">
      <c r="P1630" s="33" t="str" cm="1">
        <f t="array" ref="P1630">IFERROR(SUM(VALUE(_xlfn.TEXTSPLIT(O1630, ";"))), "")</f>
        <v/>
      </c>
      <c r="DO1630" t="str">
        <f t="shared" si="50"/>
        <v/>
      </c>
      <c r="EG1630" s="33" t="str">
        <f>IF(NOT(ISBLANK($B1630)),VLOOKUP($B1630,AssetCategories!$A:$E,5,0),"")</f>
        <v/>
      </c>
      <c r="EH1630" t="str">
        <f>IF(NOT(ISBLANK($B1630)),VLOOKUP($B1630,AssetCategories!$A:$E,4,0),"")</f>
        <v/>
      </c>
      <c r="EM1630" t="str">
        <f>IF(NOT(ISBLANK($B1630)),VLOOKUP($B1630,AssetCategories!$A:$E,2,0),"")</f>
        <v/>
      </c>
      <c r="EN1630" t="str">
        <f>IF(NOT(ISBLANK($B1630)),VLOOKUP($B1630,AssetCategories!$A:$E,3,0),"")</f>
        <v/>
      </c>
      <c r="EP1630" s="33" t="str">
        <f t="shared" si="51"/>
        <v/>
      </c>
    </row>
    <row r="1631" spans="16:146" x14ac:dyDescent="0.25">
      <c r="P1631" s="33" t="str" cm="1">
        <f t="array" ref="P1631">IFERROR(SUM(VALUE(_xlfn.TEXTSPLIT(O1631, ";"))), "")</f>
        <v/>
      </c>
      <c r="DO1631" t="str">
        <f t="shared" si="50"/>
        <v/>
      </c>
      <c r="EG1631" s="33" t="str">
        <f>IF(NOT(ISBLANK($B1631)),VLOOKUP($B1631,AssetCategories!$A:$E,5,0),"")</f>
        <v/>
      </c>
      <c r="EH1631" t="str">
        <f>IF(NOT(ISBLANK($B1631)),VLOOKUP($B1631,AssetCategories!$A:$E,4,0),"")</f>
        <v/>
      </c>
      <c r="EM1631" t="str">
        <f>IF(NOT(ISBLANK($B1631)),VLOOKUP($B1631,AssetCategories!$A:$E,2,0),"")</f>
        <v/>
      </c>
      <c r="EN1631" t="str">
        <f>IF(NOT(ISBLANK($B1631)),VLOOKUP($B1631,AssetCategories!$A:$E,3,0),"")</f>
        <v/>
      </c>
      <c r="EP1631" s="33" t="str">
        <f t="shared" si="51"/>
        <v/>
      </c>
    </row>
    <row r="1632" spans="16:146" x14ac:dyDescent="0.25">
      <c r="P1632" s="33" t="str" cm="1">
        <f t="array" ref="P1632">IFERROR(SUM(VALUE(_xlfn.TEXTSPLIT(O1632, ";"))), "")</f>
        <v/>
      </c>
      <c r="DO1632" t="str">
        <f t="shared" si="50"/>
        <v/>
      </c>
      <c r="EG1632" s="33" t="str">
        <f>IF(NOT(ISBLANK($B1632)),VLOOKUP($B1632,AssetCategories!$A:$E,5,0),"")</f>
        <v/>
      </c>
      <c r="EH1632" t="str">
        <f>IF(NOT(ISBLANK($B1632)),VLOOKUP($B1632,AssetCategories!$A:$E,4,0),"")</f>
        <v/>
      </c>
      <c r="EM1632" t="str">
        <f>IF(NOT(ISBLANK($B1632)),VLOOKUP($B1632,AssetCategories!$A:$E,2,0),"")</f>
        <v/>
      </c>
      <c r="EN1632" t="str">
        <f>IF(NOT(ISBLANK($B1632)),VLOOKUP($B1632,AssetCategories!$A:$E,3,0),"")</f>
        <v/>
      </c>
      <c r="EP1632" s="33" t="str">
        <f t="shared" si="51"/>
        <v/>
      </c>
    </row>
    <row r="1633" spans="16:146" x14ac:dyDescent="0.25">
      <c r="P1633" s="33" t="str" cm="1">
        <f t="array" ref="P1633">IFERROR(SUM(VALUE(_xlfn.TEXTSPLIT(O1633, ";"))), "")</f>
        <v/>
      </c>
      <c r="DO1633" t="str">
        <f t="shared" si="50"/>
        <v/>
      </c>
      <c r="EG1633" s="33" t="str">
        <f>IF(NOT(ISBLANK($B1633)),VLOOKUP($B1633,AssetCategories!$A:$E,5,0),"")</f>
        <v/>
      </c>
      <c r="EH1633" t="str">
        <f>IF(NOT(ISBLANK($B1633)),VLOOKUP($B1633,AssetCategories!$A:$E,4,0),"")</f>
        <v/>
      </c>
      <c r="EM1633" t="str">
        <f>IF(NOT(ISBLANK($B1633)),VLOOKUP($B1633,AssetCategories!$A:$E,2,0),"")</f>
        <v/>
      </c>
      <c r="EN1633" t="str">
        <f>IF(NOT(ISBLANK($B1633)),VLOOKUP($B1633,AssetCategories!$A:$E,3,0),"")</f>
        <v/>
      </c>
      <c r="EP1633" s="33" t="str">
        <f t="shared" si="51"/>
        <v/>
      </c>
    </row>
    <row r="1634" spans="16:146" x14ac:dyDescent="0.25">
      <c r="P1634" s="33" t="str" cm="1">
        <f t="array" ref="P1634">IFERROR(SUM(VALUE(_xlfn.TEXTSPLIT(O1634, ";"))), "")</f>
        <v/>
      </c>
      <c r="DO1634" t="str">
        <f t="shared" si="50"/>
        <v/>
      </c>
      <c r="EG1634" s="33" t="str">
        <f>IF(NOT(ISBLANK($B1634)),VLOOKUP($B1634,AssetCategories!$A:$E,5,0),"")</f>
        <v/>
      </c>
      <c r="EH1634" t="str">
        <f>IF(NOT(ISBLANK($B1634)),VLOOKUP($B1634,AssetCategories!$A:$E,4,0),"")</f>
        <v/>
      </c>
      <c r="EM1634" t="str">
        <f>IF(NOT(ISBLANK($B1634)),VLOOKUP($B1634,AssetCategories!$A:$E,2,0),"")</f>
        <v/>
      </c>
      <c r="EN1634" t="str">
        <f>IF(NOT(ISBLANK($B1634)),VLOOKUP($B1634,AssetCategories!$A:$E,3,0),"")</f>
        <v/>
      </c>
      <c r="EP1634" s="33" t="str">
        <f t="shared" si="51"/>
        <v/>
      </c>
    </row>
    <row r="1635" spans="16:146" x14ac:dyDescent="0.25">
      <c r="P1635" s="33" t="str" cm="1">
        <f t="array" ref="P1635">IFERROR(SUM(VALUE(_xlfn.TEXTSPLIT(O1635, ";"))), "")</f>
        <v/>
      </c>
      <c r="DO1635" t="str">
        <f t="shared" si="50"/>
        <v/>
      </c>
      <c r="EG1635" s="33" t="str">
        <f>IF(NOT(ISBLANK($B1635)),VLOOKUP($B1635,AssetCategories!$A:$E,5,0),"")</f>
        <v/>
      </c>
      <c r="EH1635" t="str">
        <f>IF(NOT(ISBLANK($B1635)),VLOOKUP($B1635,AssetCategories!$A:$E,4,0),"")</f>
        <v/>
      </c>
      <c r="EM1635" t="str">
        <f>IF(NOT(ISBLANK($B1635)),VLOOKUP($B1635,AssetCategories!$A:$E,2,0),"")</f>
        <v/>
      </c>
      <c r="EN1635" t="str">
        <f>IF(NOT(ISBLANK($B1635)),VLOOKUP($B1635,AssetCategories!$A:$E,3,0),"")</f>
        <v/>
      </c>
      <c r="EP1635" s="33" t="str">
        <f t="shared" si="51"/>
        <v/>
      </c>
    </row>
    <row r="1636" spans="16:146" x14ac:dyDescent="0.25">
      <c r="P1636" s="33" t="str" cm="1">
        <f t="array" ref="P1636">IFERROR(SUM(VALUE(_xlfn.TEXTSPLIT(O1636, ";"))), "")</f>
        <v/>
      </c>
      <c r="DO1636" t="str">
        <f t="shared" si="50"/>
        <v/>
      </c>
      <c r="EG1636" s="33" t="str">
        <f>IF(NOT(ISBLANK($B1636)),VLOOKUP($B1636,AssetCategories!$A:$E,5,0),"")</f>
        <v/>
      </c>
      <c r="EH1636" t="str">
        <f>IF(NOT(ISBLANK($B1636)),VLOOKUP($B1636,AssetCategories!$A:$E,4,0),"")</f>
        <v/>
      </c>
      <c r="EM1636" t="str">
        <f>IF(NOT(ISBLANK($B1636)),VLOOKUP($B1636,AssetCategories!$A:$E,2,0),"")</f>
        <v/>
      </c>
      <c r="EN1636" t="str">
        <f>IF(NOT(ISBLANK($B1636)),VLOOKUP($B1636,AssetCategories!$A:$E,3,0),"")</f>
        <v/>
      </c>
      <c r="EP1636" s="33" t="str">
        <f t="shared" si="51"/>
        <v/>
      </c>
    </row>
    <row r="1637" spans="16:146" x14ac:dyDescent="0.25">
      <c r="P1637" s="33" t="str" cm="1">
        <f t="array" ref="P1637">IFERROR(SUM(VALUE(_xlfn.TEXTSPLIT(O1637, ";"))), "")</f>
        <v/>
      </c>
      <c r="DO1637" t="str">
        <f t="shared" si="50"/>
        <v/>
      </c>
      <c r="EG1637" s="33" t="str">
        <f>IF(NOT(ISBLANK($B1637)),VLOOKUP($B1637,AssetCategories!$A:$E,5,0),"")</f>
        <v/>
      </c>
      <c r="EH1637" t="str">
        <f>IF(NOT(ISBLANK($B1637)),VLOOKUP($B1637,AssetCategories!$A:$E,4,0),"")</f>
        <v/>
      </c>
      <c r="EM1637" t="str">
        <f>IF(NOT(ISBLANK($B1637)),VLOOKUP($B1637,AssetCategories!$A:$E,2,0),"")</f>
        <v/>
      </c>
      <c r="EN1637" t="str">
        <f>IF(NOT(ISBLANK($B1637)),VLOOKUP($B1637,AssetCategories!$A:$E,3,0),"")</f>
        <v/>
      </c>
      <c r="EP1637" s="33" t="str">
        <f t="shared" si="51"/>
        <v/>
      </c>
    </row>
    <row r="1638" spans="16:146" x14ac:dyDescent="0.25">
      <c r="P1638" s="33" t="str" cm="1">
        <f t="array" ref="P1638">IFERROR(SUM(VALUE(_xlfn.TEXTSPLIT(O1638, ";"))), "")</f>
        <v/>
      </c>
      <c r="DO1638" t="str">
        <f t="shared" si="50"/>
        <v/>
      </c>
      <c r="EG1638" s="33" t="str">
        <f>IF(NOT(ISBLANK($B1638)),VLOOKUP($B1638,AssetCategories!$A:$E,5,0),"")</f>
        <v/>
      </c>
      <c r="EH1638" t="str">
        <f>IF(NOT(ISBLANK($B1638)),VLOOKUP($B1638,AssetCategories!$A:$E,4,0),"")</f>
        <v/>
      </c>
      <c r="EM1638" t="str">
        <f>IF(NOT(ISBLANK($B1638)),VLOOKUP($B1638,AssetCategories!$A:$E,2,0),"")</f>
        <v/>
      </c>
      <c r="EN1638" t="str">
        <f>IF(NOT(ISBLANK($B1638)),VLOOKUP($B1638,AssetCategories!$A:$E,3,0),"")</f>
        <v/>
      </c>
      <c r="EP1638" s="33" t="str">
        <f t="shared" si="51"/>
        <v/>
      </c>
    </row>
    <row r="1639" spans="16:146" x14ac:dyDescent="0.25">
      <c r="P1639" s="33" t="str" cm="1">
        <f t="array" ref="P1639">IFERROR(SUM(VALUE(_xlfn.TEXTSPLIT(O1639, ";"))), "")</f>
        <v/>
      </c>
      <c r="DO1639" t="str">
        <f t="shared" si="50"/>
        <v/>
      </c>
      <c r="EG1639" s="33" t="str">
        <f>IF(NOT(ISBLANK($B1639)),VLOOKUP($B1639,AssetCategories!$A:$E,5,0),"")</f>
        <v/>
      </c>
      <c r="EH1639" t="str">
        <f>IF(NOT(ISBLANK($B1639)),VLOOKUP($B1639,AssetCategories!$A:$E,4,0),"")</f>
        <v/>
      </c>
      <c r="EM1639" t="str">
        <f>IF(NOT(ISBLANK($B1639)),VLOOKUP($B1639,AssetCategories!$A:$E,2,0),"")</f>
        <v/>
      </c>
      <c r="EN1639" t="str">
        <f>IF(NOT(ISBLANK($B1639)),VLOOKUP($B1639,AssetCategories!$A:$E,3,0),"")</f>
        <v/>
      </c>
      <c r="EP1639" s="33" t="str">
        <f t="shared" si="51"/>
        <v/>
      </c>
    </row>
    <row r="1640" spans="16:146" x14ac:dyDescent="0.25">
      <c r="P1640" s="33" t="str" cm="1">
        <f t="array" ref="P1640">IFERROR(SUM(VALUE(_xlfn.TEXTSPLIT(O1640, ";"))), "")</f>
        <v/>
      </c>
      <c r="DO1640" t="str">
        <f t="shared" si="50"/>
        <v/>
      </c>
      <c r="EG1640" s="33" t="str">
        <f>IF(NOT(ISBLANK($B1640)),VLOOKUP($B1640,AssetCategories!$A:$E,5,0),"")</f>
        <v/>
      </c>
      <c r="EH1640" t="str">
        <f>IF(NOT(ISBLANK($B1640)),VLOOKUP($B1640,AssetCategories!$A:$E,4,0),"")</f>
        <v/>
      </c>
      <c r="EM1640" t="str">
        <f>IF(NOT(ISBLANK($B1640)),VLOOKUP($B1640,AssetCategories!$A:$E,2,0),"")</f>
        <v/>
      </c>
      <c r="EN1640" t="str">
        <f>IF(NOT(ISBLANK($B1640)),VLOOKUP($B1640,AssetCategories!$A:$E,3,0),"")</f>
        <v/>
      </c>
      <c r="EP1640" s="33" t="str">
        <f t="shared" si="51"/>
        <v/>
      </c>
    </row>
    <row r="1641" spans="16:146" x14ac:dyDescent="0.25">
      <c r="P1641" s="33" t="str" cm="1">
        <f t="array" ref="P1641">IFERROR(SUM(VALUE(_xlfn.TEXTSPLIT(O1641, ";"))), "")</f>
        <v/>
      </c>
      <c r="DO1641" t="str">
        <f t="shared" si="50"/>
        <v/>
      </c>
      <c r="EG1641" s="33" t="str">
        <f>IF(NOT(ISBLANK($B1641)),VLOOKUP($B1641,AssetCategories!$A:$E,5,0),"")</f>
        <v/>
      </c>
      <c r="EH1641" t="str">
        <f>IF(NOT(ISBLANK($B1641)),VLOOKUP($B1641,AssetCategories!$A:$E,4,0),"")</f>
        <v/>
      </c>
      <c r="EM1641" t="str">
        <f>IF(NOT(ISBLANK($B1641)),VLOOKUP($B1641,AssetCategories!$A:$E,2,0),"")</f>
        <v/>
      </c>
      <c r="EN1641" t="str">
        <f>IF(NOT(ISBLANK($B1641)),VLOOKUP($B1641,AssetCategories!$A:$E,3,0),"")</f>
        <v/>
      </c>
      <c r="EP1641" s="33" t="str">
        <f t="shared" si="51"/>
        <v/>
      </c>
    </row>
    <row r="1642" spans="16:146" x14ac:dyDescent="0.25">
      <c r="P1642" s="33" t="str" cm="1">
        <f t="array" ref="P1642">IFERROR(SUM(VALUE(_xlfn.TEXTSPLIT(O1642, ";"))), "")</f>
        <v/>
      </c>
      <c r="DO1642" t="str">
        <f t="shared" si="50"/>
        <v/>
      </c>
      <c r="EG1642" s="33" t="str">
        <f>IF(NOT(ISBLANK($B1642)),VLOOKUP($B1642,AssetCategories!$A:$E,5,0),"")</f>
        <v/>
      </c>
      <c r="EH1642" t="str">
        <f>IF(NOT(ISBLANK($B1642)),VLOOKUP($B1642,AssetCategories!$A:$E,4,0),"")</f>
        <v/>
      </c>
      <c r="EM1642" t="str">
        <f>IF(NOT(ISBLANK($B1642)),VLOOKUP($B1642,AssetCategories!$A:$E,2,0),"")</f>
        <v/>
      </c>
      <c r="EN1642" t="str">
        <f>IF(NOT(ISBLANK($B1642)),VLOOKUP($B1642,AssetCategories!$A:$E,3,0),"")</f>
        <v/>
      </c>
      <c r="EP1642" s="33" t="str">
        <f t="shared" si="51"/>
        <v/>
      </c>
    </row>
    <row r="1643" spans="16:146" x14ac:dyDescent="0.25">
      <c r="P1643" s="33" t="str" cm="1">
        <f t="array" ref="P1643">IFERROR(SUM(VALUE(_xlfn.TEXTSPLIT(O1643, ";"))), "")</f>
        <v/>
      </c>
      <c r="DO1643" t="str">
        <f t="shared" si="50"/>
        <v/>
      </c>
      <c r="EG1643" s="33" t="str">
        <f>IF(NOT(ISBLANK($B1643)),VLOOKUP($B1643,AssetCategories!$A:$E,5,0),"")</f>
        <v/>
      </c>
      <c r="EH1643" t="str">
        <f>IF(NOT(ISBLANK($B1643)),VLOOKUP($B1643,AssetCategories!$A:$E,4,0),"")</f>
        <v/>
      </c>
      <c r="EM1643" t="str">
        <f>IF(NOT(ISBLANK($B1643)),VLOOKUP($B1643,AssetCategories!$A:$E,2,0),"")</f>
        <v/>
      </c>
      <c r="EN1643" t="str">
        <f>IF(NOT(ISBLANK($B1643)),VLOOKUP($B1643,AssetCategories!$A:$E,3,0),"")</f>
        <v/>
      </c>
      <c r="EP1643" s="33" t="str">
        <f t="shared" si="51"/>
        <v/>
      </c>
    </row>
    <row r="1644" spans="16:146" x14ac:dyDescent="0.25">
      <c r="P1644" s="33" t="str" cm="1">
        <f t="array" ref="P1644">IFERROR(SUM(VALUE(_xlfn.TEXTSPLIT(O1644, ";"))), "")</f>
        <v/>
      </c>
      <c r="DO1644" t="str">
        <f t="shared" si="50"/>
        <v/>
      </c>
      <c r="EG1644" s="33" t="str">
        <f>IF(NOT(ISBLANK($B1644)),VLOOKUP($B1644,AssetCategories!$A:$E,5,0),"")</f>
        <v/>
      </c>
      <c r="EH1644" t="str">
        <f>IF(NOT(ISBLANK($B1644)),VLOOKUP($B1644,AssetCategories!$A:$E,4,0),"")</f>
        <v/>
      </c>
      <c r="EM1644" t="str">
        <f>IF(NOT(ISBLANK($B1644)),VLOOKUP($B1644,AssetCategories!$A:$E,2,0),"")</f>
        <v/>
      </c>
      <c r="EN1644" t="str">
        <f>IF(NOT(ISBLANK($B1644)),VLOOKUP($B1644,AssetCategories!$A:$E,3,0),"")</f>
        <v/>
      </c>
      <c r="EP1644" s="33" t="str">
        <f t="shared" si="51"/>
        <v/>
      </c>
    </row>
    <row r="1645" spans="16:146" x14ac:dyDescent="0.25">
      <c r="P1645" s="33" t="str" cm="1">
        <f t="array" ref="P1645">IFERROR(SUM(VALUE(_xlfn.TEXTSPLIT(O1645, ";"))), "")</f>
        <v/>
      </c>
      <c r="DO1645" t="str">
        <f t="shared" si="50"/>
        <v/>
      </c>
      <c r="EG1645" s="33" t="str">
        <f>IF(NOT(ISBLANK($B1645)),VLOOKUP($B1645,AssetCategories!$A:$E,5,0),"")</f>
        <v/>
      </c>
      <c r="EH1645" t="str">
        <f>IF(NOT(ISBLANK($B1645)),VLOOKUP($B1645,AssetCategories!$A:$E,4,0),"")</f>
        <v/>
      </c>
      <c r="EM1645" t="str">
        <f>IF(NOT(ISBLANK($B1645)),VLOOKUP($B1645,AssetCategories!$A:$E,2,0),"")</f>
        <v/>
      </c>
      <c r="EN1645" t="str">
        <f>IF(NOT(ISBLANK($B1645)),VLOOKUP($B1645,AssetCategories!$A:$E,3,0),"")</f>
        <v/>
      </c>
      <c r="EP1645" s="33" t="str">
        <f t="shared" si="51"/>
        <v/>
      </c>
    </row>
    <row r="1646" spans="16:146" x14ac:dyDescent="0.25">
      <c r="P1646" s="33" t="str" cm="1">
        <f t="array" ref="P1646">IFERROR(SUM(VALUE(_xlfn.TEXTSPLIT(O1646, ";"))), "")</f>
        <v/>
      </c>
      <c r="DO1646" t="str">
        <f t="shared" si="50"/>
        <v/>
      </c>
      <c r="EG1646" s="33" t="str">
        <f>IF(NOT(ISBLANK($B1646)),VLOOKUP($B1646,AssetCategories!$A:$E,5,0),"")</f>
        <v/>
      </c>
      <c r="EH1646" t="str">
        <f>IF(NOT(ISBLANK($B1646)),VLOOKUP($B1646,AssetCategories!$A:$E,4,0),"")</f>
        <v/>
      </c>
      <c r="EM1646" t="str">
        <f>IF(NOT(ISBLANK($B1646)),VLOOKUP($B1646,AssetCategories!$A:$E,2,0),"")</f>
        <v/>
      </c>
      <c r="EN1646" t="str">
        <f>IF(NOT(ISBLANK($B1646)),VLOOKUP($B1646,AssetCategories!$A:$E,3,0),"")</f>
        <v/>
      </c>
      <c r="EP1646" s="33" t="str">
        <f t="shared" si="51"/>
        <v/>
      </c>
    </row>
    <row r="1647" spans="16:146" x14ac:dyDescent="0.25">
      <c r="P1647" s="33" t="str" cm="1">
        <f t="array" ref="P1647">IFERROR(SUM(VALUE(_xlfn.TEXTSPLIT(O1647, ";"))), "")</f>
        <v/>
      </c>
      <c r="DO1647" t="str">
        <f t="shared" si="50"/>
        <v/>
      </c>
      <c r="EG1647" s="33" t="str">
        <f>IF(NOT(ISBLANK($B1647)),VLOOKUP($B1647,AssetCategories!$A:$E,5,0),"")</f>
        <v/>
      </c>
      <c r="EH1647" t="str">
        <f>IF(NOT(ISBLANK($B1647)),VLOOKUP($B1647,AssetCategories!$A:$E,4,0),"")</f>
        <v/>
      </c>
      <c r="EM1647" t="str">
        <f>IF(NOT(ISBLANK($B1647)),VLOOKUP($B1647,AssetCategories!$A:$E,2,0),"")</f>
        <v/>
      </c>
      <c r="EN1647" t="str">
        <f>IF(NOT(ISBLANK($B1647)),VLOOKUP($B1647,AssetCategories!$A:$E,3,0),"")</f>
        <v/>
      </c>
      <c r="EP1647" s="33" t="str">
        <f t="shared" si="51"/>
        <v/>
      </c>
    </row>
    <row r="1648" spans="16:146" x14ac:dyDescent="0.25">
      <c r="P1648" s="33" t="str" cm="1">
        <f t="array" ref="P1648">IFERROR(SUM(VALUE(_xlfn.TEXTSPLIT(O1648, ";"))), "")</f>
        <v/>
      </c>
      <c r="DO1648" t="str">
        <f t="shared" si="50"/>
        <v/>
      </c>
      <c r="EG1648" s="33" t="str">
        <f>IF(NOT(ISBLANK($B1648)),VLOOKUP($B1648,AssetCategories!$A:$E,5,0),"")</f>
        <v/>
      </c>
      <c r="EH1648" t="str">
        <f>IF(NOT(ISBLANK($B1648)),VLOOKUP($B1648,AssetCategories!$A:$E,4,0),"")</f>
        <v/>
      </c>
      <c r="EM1648" t="str">
        <f>IF(NOT(ISBLANK($B1648)),VLOOKUP($B1648,AssetCategories!$A:$E,2,0),"")</f>
        <v/>
      </c>
      <c r="EN1648" t="str">
        <f>IF(NOT(ISBLANK($B1648)),VLOOKUP($B1648,AssetCategories!$A:$E,3,0),"")</f>
        <v/>
      </c>
      <c r="EP1648" s="33" t="str">
        <f t="shared" si="51"/>
        <v/>
      </c>
    </row>
    <row r="1649" spans="16:146" x14ac:dyDescent="0.25">
      <c r="P1649" s="33" t="str" cm="1">
        <f t="array" ref="P1649">IFERROR(SUM(VALUE(_xlfn.TEXTSPLIT(O1649, ";"))), "")</f>
        <v/>
      </c>
      <c r="DO1649" t="str">
        <f t="shared" si="50"/>
        <v/>
      </c>
      <c r="EG1649" s="33" t="str">
        <f>IF(NOT(ISBLANK($B1649)),VLOOKUP($B1649,AssetCategories!$A:$E,5,0),"")</f>
        <v/>
      </c>
      <c r="EH1649" t="str">
        <f>IF(NOT(ISBLANK($B1649)),VLOOKUP($B1649,AssetCategories!$A:$E,4,0),"")</f>
        <v/>
      </c>
      <c r="EM1649" t="str">
        <f>IF(NOT(ISBLANK($B1649)),VLOOKUP($B1649,AssetCategories!$A:$E,2,0),"")</f>
        <v/>
      </c>
      <c r="EN1649" t="str">
        <f>IF(NOT(ISBLANK($B1649)),VLOOKUP($B1649,AssetCategories!$A:$E,3,0),"")</f>
        <v/>
      </c>
      <c r="EP1649" s="33" t="str">
        <f t="shared" si="51"/>
        <v/>
      </c>
    </row>
    <row r="1650" spans="16:146" x14ac:dyDescent="0.25">
      <c r="P1650" s="33" t="str" cm="1">
        <f t="array" ref="P1650">IFERROR(SUM(VALUE(_xlfn.TEXTSPLIT(O1650, ";"))), "")</f>
        <v/>
      </c>
      <c r="DO1650" t="str">
        <f t="shared" si="50"/>
        <v/>
      </c>
      <c r="EG1650" s="33" t="str">
        <f>IF(NOT(ISBLANK($B1650)),VLOOKUP($B1650,AssetCategories!$A:$E,5,0),"")</f>
        <v/>
      </c>
      <c r="EH1650" t="str">
        <f>IF(NOT(ISBLANK($B1650)),VLOOKUP($B1650,AssetCategories!$A:$E,4,0),"")</f>
        <v/>
      </c>
      <c r="EM1650" t="str">
        <f>IF(NOT(ISBLANK($B1650)),VLOOKUP($B1650,AssetCategories!$A:$E,2,0),"")</f>
        <v/>
      </c>
      <c r="EN1650" t="str">
        <f>IF(NOT(ISBLANK($B1650)),VLOOKUP($B1650,AssetCategories!$A:$E,3,0),"")</f>
        <v/>
      </c>
      <c r="EP1650" s="33" t="str">
        <f t="shared" si="51"/>
        <v/>
      </c>
    </row>
    <row r="1651" spans="16:146" x14ac:dyDescent="0.25">
      <c r="P1651" s="33" t="str" cm="1">
        <f t="array" ref="P1651">IFERROR(SUM(VALUE(_xlfn.TEXTSPLIT(O1651, ";"))), "")</f>
        <v/>
      </c>
      <c r="DO1651" t="str">
        <f t="shared" si="50"/>
        <v/>
      </c>
      <c r="EG1651" s="33" t="str">
        <f>IF(NOT(ISBLANK($B1651)),VLOOKUP($B1651,AssetCategories!$A:$E,5,0),"")</f>
        <v/>
      </c>
      <c r="EH1651" t="str">
        <f>IF(NOT(ISBLANK($B1651)),VLOOKUP($B1651,AssetCategories!$A:$E,4,0),"")</f>
        <v/>
      </c>
      <c r="EM1651" t="str">
        <f>IF(NOT(ISBLANK($B1651)),VLOOKUP($B1651,AssetCategories!$A:$E,2,0),"")</f>
        <v/>
      </c>
      <c r="EN1651" t="str">
        <f>IF(NOT(ISBLANK($B1651)),VLOOKUP($B1651,AssetCategories!$A:$E,3,0),"")</f>
        <v/>
      </c>
      <c r="EP1651" s="33" t="str">
        <f t="shared" si="51"/>
        <v/>
      </c>
    </row>
    <row r="1652" spans="16:146" x14ac:dyDescent="0.25">
      <c r="P1652" s="33" t="str" cm="1">
        <f t="array" ref="P1652">IFERROR(SUM(VALUE(_xlfn.TEXTSPLIT(O1652, ";"))), "")</f>
        <v/>
      </c>
      <c r="DO1652" t="str">
        <f t="shared" si="50"/>
        <v/>
      </c>
      <c r="EG1652" s="33" t="str">
        <f>IF(NOT(ISBLANK($B1652)),VLOOKUP($B1652,AssetCategories!$A:$E,5,0),"")</f>
        <v/>
      </c>
      <c r="EH1652" t="str">
        <f>IF(NOT(ISBLANK($B1652)),VLOOKUP($B1652,AssetCategories!$A:$E,4,0),"")</f>
        <v/>
      </c>
      <c r="EM1652" t="str">
        <f>IF(NOT(ISBLANK($B1652)),VLOOKUP($B1652,AssetCategories!$A:$E,2,0),"")</f>
        <v/>
      </c>
      <c r="EN1652" t="str">
        <f>IF(NOT(ISBLANK($B1652)),VLOOKUP($B1652,AssetCategories!$A:$E,3,0),"")</f>
        <v/>
      </c>
      <c r="EP1652" s="33" t="str">
        <f t="shared" si="51"/>
        <v/>
      </c>
    </row>
    <row r="1653" spans="16:146" x14ac:dyDescent="0.25">
      <c r="P1653" s="33" t="str" cm="1">
        <f t="array" ref="P1653">IFERROR(SUM(VALUE(_xlfn.TEXTSPLIT(O1653, ";"))), "")</f>
        <v/>
      </c>
      <c r="DO1653" t="str">
        <f t="shared" si="50"/>
        <v/>
      </c>
      <c r="EG1653" s="33" t="str">
        <f>IF(NOT(ISBLANK($B1653)),VLOOKUP($B1653,AssetCategories!$A:$E,5,0),"")</f>
        <v/>
      </c>
      <c r="EH1653" t="str">
        <f>IF(NOT(ISBLANK($B1653)),VLOOKUP($B1653,AssetCategories!$A:$E,4,0),"")</f>
        <v/>
      </c>
      <c r="EM1653" t="str">
        <f>IF(NOT(ISBLANK($B1653)),VLOOKUP($B1653,AssetCategories!$A:$E,2,0),"")</f>
        <v/>
      </c>
      <c r="EN1653" t="str">
        <f>IF(NOT(ISBLANK($B1653)),VLOOKUP($B1653,AssetCategories!$A:$E,3,0),"")</f>
        <v/>
      </c>
      <c r="EP1653" s="33" t="str">
        <f t="shared" si="51"/>
        <v/>
      </c>
    </row>
    <row r="1654" spans="16:146" x14ac:dyDescent="0.25">
      <c r="P1654" s="33" t="str" cm="1">
        <f t="array" ref="P1654">IFERROR(SUM(VALUE(_xlfn.TEXTSPLIT(O1654, ";"))), "")</f>
        <v/>
      </c>
      <c r="DO1654" t="str">
        <f t="shared" si="50"/>
        <v/>
      </c>
      <c r="EG1654" s="33" t="str">
        <f>IF(NOT(ISBLANK($B1654)),VLOOKUP($B1654,AssetCategories!$A:$E,5,0),"")</f>
        <v/>
      </c>
      <c r="EH1654" t="str">
        <f>IF(NOT(ISBLANK($B1654)),VLOOKUP($B1654,AssetCategories!$A:$E,4,0),"")</f>
        <v/>
      </c>
      <c r="EM1654" t="str">
        <f>IF(NOT(ISBLANK($B1654)),VLOOKUP($B1654,AssetCategories!$A:$E,2,0),"")</f>
        <v/>
      </c>
      <c r="EN1654" t="str">
        <f>IF(NOT(ISBLANK($B1654)),VLOOKUP($B1654,AssetCategories!$A:$E,3,0),"")</f>
        <v/>
      </c>
      <c r="EP1654" s="33" t="str">
        <f t="shared" si="51"/>
        <v/>
      </c>
    </row>
    <row r="1655" spans="16:146" x14ac:dyDescent="0.25">
      <c r="P1655" s="33" t="str" cm="1">
        <f t="array" ref="P1655">IFERROR(SUM(VALUE(_xlfn.TEXTSPLIT(O1655, ";"))), "")</f>
        <v/>
      </c>
      <c r="DO1655" t="str">
        <f t="shared" si="50"/>
        <v/>
      </c>
      <c r="EG1655" s="33" t="str">
        <f>IF(NOT(ISBLANK($B1655)),VLOOKUP($B1655,AssetCategories!$A:$E,5,0),"")</f>
        <v/>
      </c>
      <c r="EH1655" t="str">
        <f>IF(NOT(ISBLANK($B1655)),VLOOKUP($B1655,AssetCategories!$A:$E,4,0),"")</f>
        <v/>
      </c>
      <c r="EM1655" t="str">
        <f>IF(NOT(ISBLANK($B1655)),VLOOKUP($B1655,AssetCategories!$A:$E,2,0),"")</f>
        <v/>
      </c>
      <c r="EN1655" t="str">
        <f>IF(NOT(ISBLANK($B1655)),VLOOKUP($B1655,AssetCategories!$A:$E,3,0),"")</f>
        <v/>
      </c>
      <c r="EP1655" s="33" t="str">
        <f t="shared" si="51"/>
        <v/>
      </c>
    </row>
    <row r="1656" spans="16:146" x14ac:dyDescent="0.25">
      <c r="P1656" s="33" t="str" cm="1">
        <f t="array" ref="P1656">IFERROR(SUM(VALUE(_xlfn.TEXTSPLIT(O1656, ";"))), "")</f>
        <v/>
      </c>
      <c r="DO1656" t="str">
        <f t="shared" si="50"/>
        <v/>
      </c>
      <c r="EG1656" s="33" t="str">
        <f>IF(NOT(ISBLANK($B1656)),VLOOKUP($B1656,AssetCategories!$A:$E,5,0),"")</f>
        <v/>
      </c>
      <c r="EH1656" t="str">
        <f>IF(NOT(ISBLANK($B1656)),VLOOKUP($B1656,AssetCategories!$A:$E,4,0),"")</f>
        <v/>
      </c>
      <c r="EM1656" t="str">
        <f>IF(NOT(ISBLANK($B1656)),VLOOKUP($B1656,AssetCategories!$A:$E,2,0),"")</f>
        <v/>
      </c>
      <c r="EN1656" t="str">
        <f>IF(NOT(ISBLANK($B1656)),VLOOKUP($B1656,AssetCategories!$A:$E,3,0),"")</f>
        <v/>
      </c>
      <c r="EP1656" s="33" t="str">
        <f t="shared" si="51"/>
        <v/>
      </c>
    </row>
    <row r="1657" spans="16:146" x14ac:dyDescent="0.25">
      <c r="P1657" s="33" t="str" cm="1">
        <f t="array" ref="P1657">IFERROR(SUM(VALUE(_xlfn.TEXTSPLIT(O1657, ";"))), "")</f>
        <v/>
      </c>
      <c r="DO1657" t="str">
        <f t="shared" si="50"/>
        <v/>
      </c>
      <c r="EG1657" s="33" t="str">
        <f>IF(NOT(ISBLANK($B1657)),VLOOKUP($B1657,AssetCategories!$A:$E,5,0),"")</f>
        <v/>
      </c>
      <c r="EH1657" t="str">
        <f>IF(NOT(ISBLANK($B1657)),VLOOKUP($B1657,AssetCategories!$A:$E,4,0),"")</f>
        <v/>
      </c>
      <c r="EM1657" t="str">
        <f>IF(NOT(ISBLANK($B1657)),VLOOKUP($B1657,AssetCategories!$A:$E,2,0),"")</f>
        <v/>
      </c>
      <c r="EN1657" t="str">
        <f>IF(NOT(ISBLANK($B1657)),VLOOKUP($B1657,AssetCategories!$A:$E,3,0),"")</f>
        <v/>
      </c>
      <c r="EP1657" s="33" t="str">
        <f t="shared" si="51"/>
        <v/>
      </c>
    </row>
    <row r="1658" spans="16:146" x14ac:dyDescent="0.25">
      <c r="P1658" s="33" t="str" cm="1">
        <f t="array" ref="P1658">IFERROR(SUM(VALUE(_xlfn.TEXTSPLIT(O1658, ";"))), "")</f>
        <v/>
      </c>
      <c r="DO1658" t="str">
        <f t="shared" si="50"/>
        <v/>
      </c>
      <c r="EG1658" s="33" t="str">
        <f>IF(NOT(ISBLANK($B1658)),VLOOKUP($B1658,AssetCategories!$A:$E,5,0),"")</f>
        <v/>
      </c>
      <c r="EH1658" t="str">
        <f>IF(NOT(ISBLANK($B1658)),VLOOKUP($B1658,AssetCategories!$A:$E,4,0),"")</f>
        <v/>
      </c>
      <c r="EM1658" t="str">
        <f>IF(NOT(ISBLANK($B1658)),VLOOKUP($B1658,AssetCategories!$A:$E,2,0),"")</f>
        <v/>
      </c>
      <c r="EN1658" t="str">
        <f>IF(NOT(ISBLANK($B1658)),VLOOKUP($B1658,AssetCategories!$A:$E,3,0),"")</f>
        <v/>
      </c>
      <c r="EP1658" s="33" t="str">
        <f t="shared" si="51"/>
        <v/>
      </c>
    </row>
    <row r="1659" spans="16:146" x14ac:dyDescent="0.25">
      <c r="P1659" s="33" t="str" cm="1">
        <f t="array" ref="P1659">IFERROR(SUM(VALUE(_xlfn.TEXTSPLIT(O1659, ";"))), "")</f>
        <v/>
      </c>
      <c r="DO1659" t="str">
        <f t="shared" si="50"/>
        <v/>
      </c>
      <c r="EG1659" s="33" t="str">
        <f>IF(NOT(ISBLANK($B1659)),VLOOKUP($B1659,AssetCategories!$A:$E,5,0),"")</f>
        <v/>
      </c>
      <c r="EH1659" t="str">
        <f>IF(NOT(ISBLANK($B1659)),VLOOKUP($B1659,AssetCategories!$A:$E,4,0),"")</f>
        <v/>
      </c>
      <c r="EM1659" t="str">
        <f>IF(NOT(ISBLANK($B1659)),VLOOKUP($B1659,AssetCategories!$A:$E,2,0),"")</f>
        <v/>
      </c>
      <c r="EN1659" t="str">
        <f>IF(NOT(ISBLANK($B1659)),VLOOKUP($B1659,AssetCategories!$A:$E,3,0),"")</f>
        <v/>
      </c>
      <c r="EP1659" s="33" t="str">
        <f t="shared" si="51"/>
        <v/>
      </c>
    </row>
    <row r="1660" spans="16:146" x14ac:dyDescent="0.25">
      <c r="P1660" s="33" t="str" cm="1">
        <f t="array" ref="P1660">IFERROR(SUM(VALUE(_xlfn.TEXTSPLIT(O1660, ";"))), "")</f>
        <v/>
      </c>
      <c r="DO1660" t="str">
        <f t="shared" si="50"/>
        <v/>
      </c>
      <c r="EG1660" s="33" t="str">
        <f>IF(NOT(ISBLANK($B1660)),VLOOKUP($B1660,AssetCategories!$A:$E,5,0),"")</f>
        <v/>
      </c>
      <c r="EH1660" t="str">
        <f>IF(NOT(ISBLANK($B1660)),VLOOKUP($B1660,AssetCategories!$A:$E,4,0),"")</f>
        <v/>
      </c>
      <c r="EM1660" t="str">
        <f>IF(NOT(ISBLANK($B1660)),VLOOKUP($B1660,AssetCategories!$A:$E,2,0),"")</f>
        <v/>
      </c>
      <c r="EN1660" t="str">
        <f>IF(NOT(ISBLANK($B1660)),VLOOKUP($B1660,AssetCategories!$A:$E,3,0),"")</f>
        <v/>
      </c>
      <c r="EP1660" s="33" t="str">
        <f t="shared" si="51"/>
        <v/>
      </c>
    </row>
    <row r="1661" spans="16:146" x14ac:dyDescent="0.25">
      <c r="P1661" s="33" t="str" cm="1">
        <f t="array" ref="P1661">IFERROR(SUM(VALUE(_xlfn.TEXTSPLIT(O1661, ";"))), "")</f>
        <v/>
      </c>
      <c r="DO1661" t="str">
        <f t="shared" si="50"/>
        <v/>
      </c>
      <c r="EG1661" s="33" t="str">
        <f>IF(NOT(ISBLANK($B1661)),VLOOKUP($B1661,AssetCategories!$A:$E,5,0),"")</f>
        <v/>
      </c>
      <c r="EH1661" t="str">
        <f>IF(NOT(ISBLANK($B1661)),VLOOKUP($B1661,AssetCategories!$A:$E,4,0),"")</f>
        <v/>
      </c>
      <c r="EM1661" t="str">
        <f>IF(NOT(ISBLANK($B1661)),VLOOKUP($B1661,AssetCategories!$A:$E,2,0),"")</f>
        <v/>
      </c>
      <c r="EN1661" t="str">
        <f>IF(NOT(ISBLANK($B1661)),VLOOKUP($B1661,AssetCategories!$A:$E,3,0),"")</f>
        <v/>
      </c>
      <c r="EP1661" s="33" t="str">
        <f t="shared" si="51"/>
        <v/>
      </c>
    </row>
    <row r="1662" spans="16:146" x14ac:dyDescent="0.25">
      <c r="P1662" s="33" t="str" cm="1">
        <f t="array" ref="P1662">IFERROR(SUM(VALUE(_xlfn.TEXTSPLIT(O1662, ";"))), "")</f>
        <v/>
      </c>
      <c r="DO1662" t="str">
        <f t="shared" si="50"/>
        <v/>
      </c>
      <c r="EG1662" s="33" t="str">
        <f>IF(NOT(ISBLANK($B1662)),VLOOKUP($B1662,AssetCategories!$A:$E,5,0),"")</f>
        <v/>
      </c>
      <c r="EH1662" t="str">
        <f>IF(NOT(ISBLANK($B1662)),VLOOKUP($B1662,AssetCategories!$A:$E,4,0),"")</f>
        <v/>
      </c>
      <c r="EM1662" t="str">
        <f>IF(NOT(ISBLANK($B1662)),VLOOKUP($B1662,AssetCategories!$A:$E,2,0),"")</f>
        <v/>
      </c>
      <c r="EN1662" t="str">
        <f>IF(NOT(ISBLANK($B1662)),VLOOKUP($B1662,AssetCategories!$A:$E,3,0),"")</f>
        <v/>
      </c>
      <c r="EP1662" s="33" t="str">
        <f t="shared" si="51"/>
        <v/>
      </c>
    </row>
    <row r="1663" spans="16:146" x14ac:dyDescent="0.25">
      <c r="P1663" s="33" t="str" cm="1">
        <f t="array" ref="P1663">IFERROR(SUM(VALUE(_xlfn.TEXTSPLIT(O1663, ";"))), "")</f>
        <v/>
      </c>
      <c r="DO1663" t="str">
        <f t="shared" si="50"/>
        <v/>
      </c>
      <c r="EG1663" s="33" t="str">
        <f>IF(NOT(ISBLANK($B1663)),VLOOKUP($B1663,AssetCategories!$A:$E,5,0),"")</f>
        <v/>
      </c>
      <c r="EH1663" t="str">
        <f>IF(NOT(ISBLANK($B1663)),VLOOKUP($B1663,AssetCategories!$A:$E,4,0),"")</f>
        <v/>
      </c>
      <c r="EM1663" t="str">
        <f>IF(NOT(ISBLANK($B1663)),VLOOKUP($B1663,AssetCategories!$A:$E,2,0),"")</f>
        <v/>
      </c>
      <c r="EN1663" t="str">
        <f>IF(NOT(ISBLANK($B1663)),VLOOKUP($B1663,AssetCategories!$A:$E,3,0),"")</f>
        <v/>
      </c>
      <c r="EP1663" s="33" t="str">
        <f t="shared" si="51"/>
        <v/>
      </c>
    </row>
    <row r="1664" spans="16:146" x14ac:dyDescent="0.25">
      <c r="P1664" s="33" t="str" cm="1">
        <f t="array" ref="P1664">IFERROR(SUM(VALUE(_xlfn.TEXTSPLIT(O1664, ";"))), "")</f>
        <v/>
      </c>
      <c r="DO1664" t="str">
        <f t="shared" si="50"/>
        <v/>
      </c>
      <c r="EG1664" s="33" t="str">
        <f>IF(NOT(ISBLANK($B1664)),VLOOKUP($B1664,AssetCategories!$A:$E,5,0),"")</f>
        <v/>
      </c>
      <c r="EH1664" t="str">
        <f>IF(NOT(ISBLANK($B1664)),VLOOKUP($B1664,AssetCategories!$A:$E,4,0),"")</f>
        <v/>
      </c>
      <c r="EM1664" t="str">
        <f>IF(NOT(ISBLANK($B1664)),VLOOKUP($B1664,AssetCategories!$A:$E,2,0),"")</f>
        <v/>
      </c>
      <c r="EN1664" t="str">
        <f>IF(NOT(ISBLANK($B1664)),VLOOKUP($B1664,AssetCategories!$A:$E,3,0),"")</f>
        <v/>
      </c>
      <c r="EP1664" s="33" t="str">
        <f t="shared" si="51"/>
        <v/>
      </c>
    </row>
    <row r="1665" spans="16:146" x14ac:dyDescent="0.25">
      <c r="P1665" s="33" t="str" cm="1">
        <f t="array" ref="P1665">IFERROR(SUM(VALUE(_xlfn.TEXTSPLIT(O1665, ";"))), "")</f>
        <v/>
      </c>
      <c r="DO1665" t="str">
        <f t="shared" si="50"/>
        <v/>
      </c>
      <c r="EG1665" s="33" t="str">
        <f>IF(NOT(ISBLANK($B1665)),VLOOKUP($B1665,AssetCategories!$A:$E,5,0),"")</f>
        <v/>
      </c>
      <c r="EH1665" t="str">
        <f>IF(NOT(ISBLANK($B1665)),VLOOKUP($B1665,AssetCategories!$A:$E,4,0),"")</f>
        <v/>
      </c>
      <c r="EM1665" t="str">
        <f>IF(NOT(ISBLANK($B1665)),VLOOKUP($B1665,AssetCategories!$A:$E,2,0),"")</f>
        <v/>
      </c>
      <c r="EN1665" t="str">
        <f>IF(NOT(ISBLANK($B1665)),VLOOKUP($B1665,AssetCategories!$A:$E,3,0),"")</f>
        <v/>
      </c>
      <c r="EP1665" s="33" t="str">
        <f t="shared" si="51"/>
        <v/>
      </c>
    </row>
    <row r="1666" spans="16:146" x14ac:dyDescent="0.25">
      <c r="P1666" s="33" t="str" cm="1">
        <f t="array" ref="P1666">IFERROR(SUM(VALUE(_xlfn.TEXTSPLIT(O1666, ";"))), "")</f>
        <v/>
      </c>
      <c r="DO1666" t="str">
        <f t="shared" si="50"/>
        <v/>
      </c>
      <c r="EG1666" s="33" t="str">
        <f>IF(NOT(ISBLANK($B1666)),VLOOKUP($B1666,AssetCategories!$A:$E,5,0),"")</f>
        <v/>
      </c>
      <c r="EH1666" t="str">
        <f>IF(NOT(ISBLANK($B1666)),VLOOKUP($B1666,AssetCategories!$A:$E,4,0),"")</f>
        <v/>
      </c>
      <c r="EM1666" t="str">
        <f>IF(NOT(ISBLANK($B1666)),VLOOKUP($B1666,AssetCategories!$A:$E,2,0),"")</f>
        <v/>
      </c>
      <c r="EN1666" t="str">
        <f>IF(NOT(ISBLANK($B1666)),VLOOKUP($B1666,AssetCategories!$A:$E,3,0),"")</f>
        <v/>
      </c>
      <c r="EP1666" s="33" t="str">
        <f t="shared" si="51"/>
        <v/>
      </c>
    </row>
    <row r="1667" spans="16:146" x14ac:dyDescent="0.25">
      <c r="P1667" s="33" t="str" cm="1">
        <f t="array" ref="P1667">IFERROR(SUM(VALUE(_xlfn.TEXTSPLIT(O1667, ";"))), "")</f>
        <v/>
      </c>
      <c r="DO1667" t="str">
        <f t="shared" si="50"/>
        <v/>
      </c>
      <c r="EG1667" s="33" t="str">
        <f>IF(NOT(ISBLANK($B1667)),VLOOKUP($B1667,AssetCategories!$A:$E,5,0),"")</f>
        <v/>
      </c>
      <c r="EH1667" t="str">
        <f>IF(NOT(ISBLANK($B1667)),VLOOKUP($B1667,AssetCategories!$A:$E,4,0),"")</f>
        <v/>
      </c>
      <c r="EM1667" t="str">
        <f>IF(NOT(ISBLANK($B1667)),VLOOKUP($B1667,AssetCategories!$A:$E,2,0),"")</f>
        <v/>
      </c>
      <c r="EN1667" t="str">
        <f>IF(NOT(ISBLANK($B1667)),VLOOKUP($B1667,AssetCategories!$A:$E,3,0),"")</f>
        <v/>
      </c>
      <c r="EP1667" s="33" t="str">
        <f t="shared" si="51"/>
        <v/>
      </c>
    </row>
    <row r="1668" spans="16:146" x14ac:dyDescent="0.25">
      <c r="P1668" s="33" t="str" cm="1">
        <f t="array" ref="P1668">IFERROR(SUM(VALUE(_xlfn.TEXTSPLIT(O1668, ";"))), "")</f>
        <v/>
      </c>
      <c r="DO1668" t="str">
        <f t="shared" si="50"/>
        <v/>
      </c>
      <c r="EG1668" s="33" t="str">
        <f>IF(NOT(ISBLANK($B1668)),VLOOKUP($B1668,AssetCategories!$A:$E,5,0),"")</f>
        <v/>
      </c>
      <c r="EH1668" t="str">
        <f>IF(NOT(ISBLANK($B1668)),VLOOKUP($B1668,AssetCategories!$A:$E,4,0),"")</f>
        <v/>
      </c>
      <c r="EM1668" t="str">
        <f>IF(NOT(ISBLANK($B1668)),VLOOKUP($B1668,AssetCategories!$A:$E,2,0),"")</f>
        <v/>
      </c>
      <c r="EN1668" t="str">
        <f>IF(NOT(ISBLANK($B1668)),VLOOKUP($B1668,AssetCategories!$A:$E,3,0),"")</f>
        <v/>
      </c>
      <c r="EP1668" s="33" t="str">
        <f t="shared" si="51"/>
        <v/>
      </c>
    </row>
    <row r="1669" spans="16:146" x14ac:dyDescent="0.25">
      <c r="P1669" s="33" t="str" cm="1">
        <f t="array" ref="P1669">IFERROR(SUM(VALUE(_xlfn.TEXTSPLIT(O1669, ";"))), "")</f>
        <v/>
      </c>
      <c r="DO1669" t="str">
        <f t="shared" ref="DO1669:DO1732" si="52">IF(SUM(DE1669:DN1669)=0, "", SUM(DE1669:DN1669))</f>
        <v/>
      </c>
      <c r="EG1669" s="33" t="str">
        <f>IF(NOT(ISBLANK($B1669)),VLOOKUP($B1669,AssetCategories!$A:$E,5,0),"")</f>
        <v/>
      </c>
      <c r="EH1669" t="str">
        <f>IF(NOT(ISBLANK($B1669)),VLOOKUP($B1669,AssetCategories!$A:$E,4,0),"")</f>
        <v/>
      </c>
      <c r="EM1669" t="str">
        <f>IF(NOT(ISBLANK($B1669)),VLOOKUP($B1669,AssetCategories!$A:$E,2,0),"")</f>
        <v/>
      </c>
      <c r="EN1669" t="str">
        <f>IF(NOT(ISBLANK($B1669)),VLOOKUP($B1669,AssetCategories!$A:$E,3,0),"")</f>
        <v/>
      </c>
      <c r="EP1669" s="33" t="str">
        <f t="shared" ref="EP1669:EP1732" si="53">IFERROR(P1669-EO1669, "")</f>
        <v/>
      </c>
    </row>
    <row r="1670" spans="16:146" x14ac:dyDescent="0.25">
      <c r="P1670" s="33" t="str" cm="1">
        <f t="array" ref="P1670">IFERROR(SUM(VALUE(_xlfn.TEXTSPLIT(O1670, ";"))), "")</f>
        <v/>
      </c>
      <c r="DO1670" t="str">
        <f t="shared" si="52"/>
        <v/>
      </c>
      <c r="EG1670" s="33" t="str">
        <f>IF(NOT(ISBLANK($B1670)),VLOOKUP($B1670,AssetCategories!$A:$E,5,0),"")</f>
        <v/>
      </c>
      <c r="EH1670" t="str">
        <f>IF(NOT(ISBLANK($B1670)),VLOOKUP($B1670,AssetCategories!$A:$E,4,0),"")</f>
        <v/>
      </c>
      <c r="EM1670" t="str">
        <f>IF(NOT(ISBLANK($B1670)),VLOOKUP($B1670,AssetCategories!$A:$E,2,0),"")</f>
        <v/>
      </c>
      <c r="EN1670" t="str">
        <f>IF(NOT(ISBLANK($B1670)),VLOOKUP($B1670,AssetCategories!$A:$E,3,0),"")</f>
        <v/>
      </c>
      <c r="EP1670" s="33" t="str">
        <f t="shared" si="53"/>
        <v/>
      </c>
    </row>
    <row r="1671" spans="16:146" x14ac:dyDescent="0.25">
      <c r="P1671" s="33" t="str" cm="1">
        <f t="array" ref="P1671">IFERROR(SUM(VALUE(_xlfn.TEXTSPLIT(O1671, ";"))), "")</f>
        <v/>
      </c>
      <c r="DO1671" t="str">
        <f t="shared" si="52"/>
        <v/>
      </c>
      <c r="EG1671" s="33" t="str">
        <f>IF(NOT(ISBLANK($B1671)),VLOOKUP($B1671,AssetCategories!$A:$E,5,0),"")</f>
        <v/>
      </c>
      <c r="EH1671" t="str">
        <f>IF(NOT(ISBLANK($B1671)),VLOOKUP($B1671,AssetCategories!$A:$E,4,0),"")</f>
        <v/>
      </c>
      <c r="EM1671" t="str">
        <f>IF(NOT(ISBLANK($B1671)),VLOOKUP($B1671,AssetCategories!$A:$E,2,0),"")</f>
        <v/>
      </c>
      <c r="EN1671" t="str">
        <f>IF(NOT(ISBLANK($B1671)),VLOOKUP($B1671,AssetCategories!$A:$E,3,0),"")</f>
        <v/>
      </c>
      <c r="EP1671" s="33" t="str">
        <f t="shared" si="53"/>
        <v/>
      </c>
    </row>
    <row r="1672" spans="16:146" x14ac:dyDescent="0.25">
      <c r="P1672" s="33" t="str" cm="1">
        <f t="array" ref="P1672">IFERROR(SUM(VALUE(_xlfn.TEXTSPLIT(O1672, ";"))), "")</f>
        <v/>
      </c>
      <c r="DO1672" t="str">
        <f t="shared" si="52"/>
        <v/>
      </c>
      <c r="EG1672" s="33" t="str">
        <f>IF(NOT(ISBLANK($B1672)),VLOOKUP($B1672,AssetCategories!$A:$E,5,0),"")</f>
        <v/>
      </c>
      <c r="EH1672" t="str">
        <f>IF(NOT(ISBLANK($B1672)),VLOOKUP($B1672,AssetCategories!$A:$E,4,0),"")</f>
        <v/>
      </c>
      <c r="EM1672" t="str">
        <f>IF(NOT(ISBLANK($B1672)),VLOOKUP($B1672,AssetCategories!$A:$E,2,0),"")</f>
        <v/>
      </c>
      <c r="EN1672" t="str">
        <f>IF(NOT(ISBLANK($B1672)),VLOOKUP($B1672,AssetCategories!$A:$E,3,0),"")</f>
        <v/>
      </c>
      <c r="EP1672" s="33" t="str">
        <f t="shared" si="53"/>
        <v/>
      </c>
    </row>
    <row r="1673" spans="16:146" x14ac:dyDescent="0.25">
      <c r="P1673" s="33" t="str" cm="1">
        <f t="array" ref="P1673">IFERROR(SUM(VALUE(_xlfn.TEXTSPLIT(O1673, ";"))), "")</f>
        <v/>
      </c>
      <c r="DO1673" t="str">
        <f t="shared" si="52"/>
        <v/>
      </c>
      <c r="EG1673" s="33" t="str">
        <f>IF(NOT(ISBLANK($B1673)),VLOOKUP($B1673,AssetCategories!$A:$E,5,0),"")</f>
        <v/>
      </c>
      <c r="EH1673" t="str">
        <f>IF(NOT(ISBLANK($B1673)),VLOOKUP($B1673,AssetCategories!$A:$E,4,0),"")</f>
        <v/>
      </c>
      <c r="EM1673" t="str">
        <f>IF(NOT(ISBLANK($B1673)),VLOOKUP($B1673,AssetCategories!$A:$E,2,0),"")</f>
        <v/>
      </c>
      <c r="EN1673" t="str">
        <f>IF(NOT(ISBLANK($B1673)),VLOOKUP($B1673,AssetCategories!$A:$E,3,0),"")</f>
        <v/>
      </c>
      <c r="EP1673" s="33" t="str">
        <f t="shared" si="53"/>
        <v/>
      </c>
    </row>
    <row r="1674" spans="16:146" x14ac:dyDescent="0.25">
      <c r="P1674" s="33" t="str" cm="1">
        <f t="array" ref="P1674">IFERROR(SUM(VALUE(_xlfn.TEXTSPLIT(O1674, ";"))), "")</f>
        <v/>
      </c>
      <c r="DO1674" t="str">
        <f t="shared" si="52"/>
        <v/>
      </c>
      <c r="EG1674" s="33" t="str">
        <f>IF(NOT(ISBLANK($B1674)),VLOOKUP($B1674,AssetCategories!$A:$E,5,0),"")</f>
        <v/>
      </c>
      <c r="EH1674" t="str">
        <f>IF(NOT(ISBLANK($B1674)),VLOOKUP($B1674,AssetCategories!$A:$E,4,0),"")</f>
        <v/>
      </c>
      <c r="EM1674" t="str">
        <f>IF(NOT(ISBLANK($B1674)),VLOOKUP($B1674,AssetCategories!$A:$E,2,0),"")</f>
        <v/>
      </c>
      <c r="EN1674" t="str">
        <f>IF(NOT(ISBLANK($B1674)),VLOOKUP($B1674,AssetCategories!$A:$E,3,0),"")</f>
        <v/>
      </c>
      <c r="EP1674" s="33" t="str">
        <f t="shared" si="53"/>
        <v/>
      </c>
    </row>
    <row r="1675" spans="16:146" x14ac:dyDescent="0.25">
      <c r="P1675" s="33" t="str" cm="1">
        <f t="array" ref="P1675">IFERROR(SUM(VALUE(_xlfn.TEXTSPLIT(O1675, ";"))), "")</f>
        <v/>
      </c>
      <c r="DO1675" t="str">
        <f t="shared" si="52"/>
        <v/>
      </c>
      <c r="EG1675" s="33" t="str">
        <f>IF(NOT(ISBLANK($B1675)),VLOOKUP($B1675,AssetCategories!$A:$E,5,0),"")</f>
        <v/>
      </c>
      <c r="EH1675" t="str">
        <f>IF(NOT(ISBLANK($B1675)),VLOOKUP($B1675,AssetCategories!$A:$E,4,0),"")</f>
        <v/>
      </c>
      <c r="EM1675" t="str">
        <f>IF(NOT(ISBLANK($B1675)),VLOOKUP($B1675,AssetCategories!$A:$E,2,0),"")</f>
        <v/>
      </c>
      <c r="EN1675" t="str">
        <f>IF(NOT(ISBLANK($B1675)),VLOOKUP($B1675,AssetCategories!$A:$E,3,0),"")</f>
        <v/>
      </c>
      <c r="EP1675" s="33" t="str">
        <f t="shared" si="53"/>
        <v/>
      </c>
    </row>
    <row r="1676" spans="16:146" x14ac:dyDescent="0.25">
      <c r="P1676" s="33" t="str" cm="1">
        <f t="array" ref="P1676">IFERROR(SUM(VALUE(_xlfn.TEXTSPLIT(O1676, ";"))), "")</f>
        <v/>
      </c>
      <c r="DO1676" t="str">
        <f t="shared" si="52"/>
        <v/>
      </c>
      <c r="EG1676" s="33" t="str">
        <f>IF(NOT(ISBLANK($B1676)),VLOOKUP($B1676,AssetCategories!$A:$E,5,0),"")</f>
        <v/>
      </c>
      <c r="EH1676" t="str">
        <f>IF(NOT(ISBLANK($B1676)),VLOOKUP($B1676,AssetCategories!$A:$E,4,0),"")</f>
        <v/>
      </c>
      <c r="EM1676" t="str">
        <f>IF(NOT(ISBLANK($B1676)),VLOOKUP($B1676,AssetCategories!$A:$E,2,0),"")</f>
        <v/>
      </c>
      <c r="EN1676" t="str">
        <f>IF(NOT(ISBLANK($B1676)),VLOOKUP($B1676,AssetCategories!$A:$E,3,0),"")</f>
        <v/>
      </c>
      <c r="EP1676" s="33" t="str">
        <f t="shared" si="53"/>
        <v/>
      </c>
    </row>
    <row r="1677" spans="16:146" x14ac:dyDescent="0.25">
      <c r="P1677" s="33" t="str" cm="1">
        <f t="array" ref="P1677">IFERROR(SUM(VALUE(_xlfn.TEXTSPLIT(O1677, ";"))), "")</f>
        <v/>
      </c>
      <c r="DO1677" t="str">
        <f t="shared" si="52"/>
        <v/>
      </c>
      <c r="EG1677" s="33" t="str">
        <f>IF(NOT(ISBLANK($B1677)),VLOOKUP($B1677,AssetCategories!$A:$E,5,0),"")</f>
        <v/>
      </c>
      <c r="EH1677" t="str">
        <f>IF(NOT(ISBLANK($B1677)),VLOOKUP($B1677,AssetCategories!$A:$E,4,0),"")</f>
        <v/>
      </c>
      <c r="EM1677" t="str">
        <f>IF(NOT(ISBLANK($B1677)),VLOOKUP($B1677,AssetCategories!$A:$E,2,0),"")</f>
        <v/>
      </c>
      <c r="EN1677" t="str">
        <f>IF(NOT(ISBLANK($B1677)),VLOOKUP($B1677,AssetCategories!$A:$E,3,0),"")</f>
        <v/>
      </c>
      <c r="EP1677" s="33" t="str">
        <f t="shared" si="53"/>
        <v/>
      </c>
    </row>
    <row r="1678" spans="16:146" x14ac:dyDescent="0.25">
      <c r="P1678" s="33" t="str" cm="1">
        <f t="array" ref="P1678">IFERROR(SUM(VALUE(_xlfn.TEXTSPLIT(O1678, ";"))), "")</f>
        <v/>
      </c>
      <c r="DO1678" t="str">
        <f t="shared" si="52"/>
        <v/>
      </c>
      <c r="EG1678" s="33" t="str">
        <f>IF(NOT(ISBLANK($B1678)),VLOOKUP($B1678,AssetCategories!$A:$E,5,0),"")</f>
        <v/>
      </c>
      <c r="EH1678" t="str">
        <f>IF(NOT(ISBLANK($B1678)),VLOOKUP($B1678,AssetCategories!$A:$E,4,0),"")</f>
        <v/>
      </c>
      <c r="EM1678" t="str">
        <f>IF(NOT(ISBLANK($B1678)),VLOOKUP($B1678,AssetCategories!$A:$E,2,0),"")</f>
        <v/>
      </c>
      <c r="EN1678" t="str">
        <f>IF(NOT(ISBLANK($B1678)),VLOOKUP($B1678,AssetCategories!$A:$E,3,0),"")</f>
        <v/>
      </c>
      <c r="EP1678" s="33" t="str">
        <f t="shared" si="53"/>
        <v/>
      </c>
    </row>
    <row r="1679" spans="16:146" x14ac:dyDescent="0.25">
      <c r="P1679" s="33" t="str" cm="1">
        <f t="array" ref="P1679">IFERROR(SUM(VALUE(_xlfn.TEXTSPLIT(O1679, ";"))), "")</f>
        <v/>
      </c>
      <c r="DO1679" t="str">
        <f t="shared" si="52"/>
        <v/>
      </c>
      <c r="EG1679" s="33" t="str">
        <f>IF(NOT(ISBLANK($B1679)),VLOOKUP($B1679,AssetCategories!$A:$E,5,0),"")</f>
        <v/>
      </c>
      <c r="EH1679" t="str">
        <f>IF(NOT(ISBLANK($B1679)),VLOOKUP($B1679,AssetCategories!$A:$E,4,0),"")</f>
        <v/>
      </c>
      <c r="EM1679" t="str">
        <f>IF(NOT(ISBLANK($B1679)),VLOOKUP($B1679,AssetCategories!$A:$E,2,0),"")</f>
        <v/>
      </c>
      <c r="EN1679" t="str">
        <f>IF(NOT(ISBLANK($B1679)),VLOOKUP($B1679,AssetCategories!$A:$E,3,0),"")</f>
        <v/>
      </c>
      <c r="EP1679" s="33" t="str">
        <f t="shared" si="53"/>
        <v/>
      </c>
    </row>
    <row r="1680" spans="16:146" x14ac:dyDescent="0.25">
      <c r="P1680" s="33" t="str" cm="1">
        <f t="array" ref="P1680">IFERROR(SUM(VALUE(_xlfn.TEXTSPLIT(O1680, ";"))), "")</f>
        <v/>
      </c>
      <c r="DO1680" t="str">
        <f t="shared" si="52"/>
        <v/>
      </c>
      <c r="EG1680" s="33" t="str">
        <f>IF(NOT(ISBLANK($B1680)),VLOOKUP($B1680,AssetCategories!$A:$E,5,0),"")</f>
        <v/>
      </c>
      <c r="EH1680" t="str">
        <f>IF(NOT(ISBLANK($B1680)),VLOOKUP($B1680,AssetCategories!$A:$E,4,0),"")</f>
        <v/>
      </c>
      <c r="EM1680" t="str">
        <f>IF(NOT(ISBLANK($B1680)),VLOOKUP($B1680,AssetCategories!$A:$E,2,0),"")</f>
        <v/>
      </c>
      <c r="EN1680" t="str">
        <f>IF(NOT(ISBLANK($B1680)),VLOOKUP($B1680,AssetCategories!$A:$E,3,0),"")</f>
        <v/>
      </c>
      <c r="EP1680" s="33" t="str">
        <f t="shared" si="53"/>
        <v/>
      </c>
    </row>
    <row r="1681" spans="16:146" x14ac:dyDescent="0.25">
      <c r="P1681" s="33" t="str" cm="1">
        <f t="array" ref="P1681">IFERROR(SUM(VALUE(_xlfn.TEXTSPLIT(O1681, ";"))), "")</f>
        <v/>
      </c>
      <c r="DO1681" t="str">
        <f t="shared" si="52"/>
        <v/>
      </c>
      <c r="EG1681" s="33" t="str">
        <f>IF(NOT(ISBLANK($B1681)),VLOOKUP($B1681,AssetCategories!$A:$E,5,0),"")</f>
        <v/>
      </c>
      <c r="EH1681" t="str">
        <f>IF(NOT(ISBLANK($B1681)),VLOOKUP($B1681,AssetCategories!$A:$E,4,0),"")</f>
        <v/>
      </c>
      <c r="EM1681" t="str">
        <f>IF(NOT(ISBLANK($B1681)),VLOOKUP($B1681,AssetCategories!$A:$E,2,0),"")</f>
        <v/>
      </c>
      <c r="EN1681" t="str">
        <f>IF(NOT(ISBLANK($B1681)),VLOOKUP($B1681,AssetCategories!$A:$E,3,0),"")</f>
        <v/>
      </c>
      <c r="EP1681" s="33" t="str">
        <f t="shared" si="53"/>
        <v/>
      </c>
    </row>
    <row r="1682" spans="16:146" x14ac:dyDescent="0.25">
      <c r="P1682" s="33" t="str" cm="1">
        <f t="array" ref="P1682">IFERROR(SUM(VALUE(_xlfn.TEXTSPLIT(O1682, ";"))), "")</f>
        <v/>
      </c>
      <c r="DO1682" t="str">
        <f t="shared" si="52"/>
        <v/>
      </c>
      <c r="EG1682" s="33" t="str">
        <f>IF(NOT(ISBLANK($B1682)),VLOOKUP($B1682,AssetCategories!$A:$E,5,0),"")</f>
        <v/>
      </c>
      <c r="EH1682" t="str">
        <f>IF(NOT(ISBLANK($B1682)),VLOOKUP($B1682,AssetCategories!$A:$E,4,0),"")</f>
        <v/>
      </c>
      <c r="EM1682" t="str">
        <f>IF(NOT(ISBLANK($B1682)),VLOOKUP($B1682,AssetCategories!$A:$E,2,0),"")</f>
        <v/>
      </c>
      <c r="EN1682" t="str">
        <f>IF(NOT(ISBLANK($B1682)),VLOOKUP($B1682,AssetCategories!$A:$E,3,0),"")</f>
        <v/>
      </c>
      <c r="EP1682" s="33" t="str">
        <f t="shared" si="53"/>
        <v/>
      </c>
    </row>
    <row r="1683" spans="16:146" x14ac:dyDescent="0.25">
      <c r="P1683" s="33" t="str" cm="1">
        <f t="array" ref="P1683">IFERROR(SUM(VALUE(_xlfn.TEXTSPLIT(O1683, ";"))), "")</f>
        <v/>
      </c>
      <c r="DO1683" t="str">
        <f t="shared" si="52"/>
        <v/>
      </c>
      <c r="EG1683" s="33" t="str">
        <f>IF(NOT(ISBLANK($B1683)),VLOOKUP($B1683,AssetCategories!$A:$E,5,0),"")</f>
        <v/>
      </c>
      <c r="EH1683" t="str">
        <f>IF(NOT(ISBLANK($B1683)),VLOOKUP($B1683,AssetCategories!$A:$E,4,0),"")</f>
        <v/>
      </c>
      <c r="EM1683" t="str">
        <f>IF(NOT(ISBLANK($B1683)),VLOOKUP($B1683,AssetCategories!$A:$E,2,0),"")</f>
        <v/>
      </c>
      <c r="EN1683" t="str">
        <f>IF(NOT(ISBLANK($B1683)),VLOOKUP($B1683,AssetCategories!$A:$E,3,0),"")</f>
        <v/>
      </c>
      <c r="EP1683" s="33" t="str">
        <f t="shared" si="53"/>
        <v/>
      </c>
    </row>
    <row r="1684" spans="16:146" x14ac:dyDescent="0.25">
      <c r="P1684" s="33" t="str" cm="1">
        <f t="array" ref="P1684">IFERROR(SUM(VALUE(_xlfn.TEXTSPLIT(O1684, ";"))), "")</f>
        <v/>
      </c>
      <c r="DO1684" t="str">
        <f t="shared" si="52"/>
        <v/>
      </c>
      <c r="EG1684" s="33" t="str">
        <f>IF(NOT(ISBLANK($B1684)),VLOOKUP($B1684,AssetCategories!$A:$E,5,0),"")</f>
        <v/>
      </c>
      <c r="EH1684" t="str">
        <f>IF(NOT(ISBLANK($B1684)),VLOOKUP($B1684,AssetCategories!$A:$E,4,0),"")</f>
        <v/>
      </c>
      <c r="EM1684" t="str">
        <f>IF(NOT(ISBLANK($B1684)),VLOOKUP($B1684,AssetCategories!$A:$E,2,0),"")</f>
        <v/>
      </c>
      <c r="EN1684" t="str">
        <f>IF(NOT(ISBLANK($B1684)),VLOOKUP($B1684,AssetCategories!$A:$E,3,0),"")</f>
        <v/>
      </c>
      <c r="EP1684" s="33" t="str">
        <f t="shared" si="53"/>
        <v/>
      </c>
    </row>
    <row r="1685" spans="16:146" x14ac:dyDescent="0.25">
      <c r="P1685" s="33" t="str" cm="1">
        <f t="array" ref="P1685">IFERROR(SUM(VALUE(_xlfn.TEXTSPLIT(O1685, ";"))), "")</f>
        <v/>
      </c>
      <c r="DO1685" t="str">
        <f t="shared" si="52"/>
        <v/>
      </c>
      <c r="EG1685" s="33" t="str">
        <f>IF(NOT(ISBLANK($B1685)),VLOOKUP($B1685,AssetCategories!$A:$E,5,0),"")</f>
        <v/>
      </c>
      <c r="EH1685" t="str">
        <f>IF(NOT(ISBLANK($B1685)),VLOOKUP($B1685,AssetCategories!$A:$E,4,0),"")</f>
        <v/>
      </c>
      <c r="EM1685" t="str">
        <f>IF(NOT(ISBLANK($B1685)),VLOOKUP($B1685,AssetCategories!$A:$E,2,0),"")</f>
        <v/>
      </c>
      <c r="EN1685" t="str">
        <f>IF(NOT(ISBLANK($B1685)),VLOOKUP($B1685,AssetCategories!$A:$E,3,0),"")</f>
        <v/>
      </c>
      <c r="EP1685" s="33" t="str">
        <f t="shared" si="53"/>
        <v/>
      </c>
    </row>
    <row r="1686" spans="16:146" x14ac:dyDescent="0.25">
      <c r="P1686" s="33" t="str" cm="1">
        <f t="array" ref="P1686">IFERROR(SUM(VALUE(_xlfn.TEXTSPLIT(O1686, ";"))), "")</f>
        <v/>
      </c>
      <c r="DO1686" t="str">
        <f t="shared" si="52"/>
        <v/>
      </c>
      <c r="EG1686" s="33" t="str">
        <f>IF(NOT(ISBLANK($B1686)),VLOOKUP($B1686,AssetCategories!$A:$E,5,0),"")</f>
        <v/>
      </c>
      <c r="EH1686" t="str">
        <f>IF(NOT(ISBLANK($B1686)),VLOOKUP($B1686,AssetCategories!$A:$E,4,0),"")</f>
        <v/>
      </c>
      <c r="EM1686" t="str">
        <f>IF(NOT(ISBLANK($B1686)),VLOOKUP($B1686,AssetCategories!$A:$E,2,0),"")</f>
        <v/>
      </c>
      <c r="EN1686" t="str">
        <f>IF(NOT(ISBLANK($B1686)),VLOOKUP($B1686,AssetCategories!$A:$E,3,0),"")</f>
        <v/>
      </c>
      <c r="EP1686" s="33" t="str">
        <f t="shared" si="53"/>
        <v/>
      </c>
    </row>
    <row r="1687" spans="16:146" x14ac:dyDescent="0.25">
      <c r="P1687" s="33" t="str" cm="1">
        <f t="array" ref="P1687">IFERROR(SUM(VALUE(_xlfn.TEXTSPLIT(O1687, ";"))), "")</f>
        <v/>
      </c>
      <c r="DO1687" t="str">
        <f t="shared" si="52"/>
        <v/>
      </c>
      <c r="EG1687" s="33" t="str">
        <f>IF(NOT(ISBLANK($B1687)),VLOOKUP($B1687,AssetCategories!$A:$E,5,0),"")</f>
        <v/>
      </c>
      <c r="EH1687" t="str">
        <f>IF(NOT(ISBLANK($B1687)),VLOOKUP($B1687,AssetCategories!$A:$E,4,0),"")</f>
        <v/>
      </c>
      <c r="EM1687" t="str">
        <f>IF(NOT(ISBLANK($B1687)),VLOOKUP($B1687,AssetCategories!$A:$E,2,0),"")</f>
        <v/>
      </c>
      <c r="EN1687" t="str">
        <f>IF(NOT(ISBLANK($B1687)),VLOOKUP($B1687,AssetCategories!$A:$E,3,0),"")</f>
        <v/>
      </c>
      <c r="EP1687" s="33" t="str">
        <f t="shared" si="53"/>
        <v/>
      </c>
    </row>
    <row r="1688" spans="16:146" x14ac:dyDescent="0.25">
      <c r="P1688" s="33" t="str" cm="1">
        <f t="array" ref="P1688">IFERROR(SUM(VALUE(_xlfn.TEXTSPLIT(O1688, ";"))), "")</f>
        <v/>
      </c>
      <c r="DO1688" t="str">
        <f t="shared" si="52"/>
        <v/>
      </c>
      <c r="EG1688" s="33" t="str">
        <f>IF(NOT(ISBLANK($B1688)),VLOOKUP($B1688,AssetCategories!$A:$E,5,0),"")</f>
        <v/>
      </c>
      <c r="EH1688" t="str">
        <f>IF(NOT(ISBLANK($B1688)),VLOOKUP($B1688,AssetCategories!$A:$E,4,0),"")</f>
        <v/>
      </c>
      <c r="EM1688" t="str">
        <f>IF(NOT(ISBLANK($B1688)),VLOOKUP($B1688,AssetCategories!$A:$E,2,0),"")</f>
        <v/>
      </c>
      <c r="EN1688" t="str">
        <f>IF(NOT(ISBLANK($B1688)),VLOOKUP($B1688,AssetCategories!$A:$E,3,0),"")</f>
        <v/>
      </c>
      <c r="EP1688" s="33" t="str">
        <f t="shared" si="53"/>
        <v/>
      </c>
    </row>
    <row r="1689" spans="16:146" x14ac:dyDescent="0.25">
      <c r="P1689" s="33" t="str" cm="1">
        <f t="array" ref="P1689">IFERROR(SUM(VALUE(_xlfn.TEXTSPLIT(O1689, ";"))), "")</f>
        <v/>
      </c>
      <c r="DO1689" t="str">
        <f t="shared" si="52"/>
        <v/>
      </c>
      <c r="EG1689" s="33" t="str">
        <f>IF(NOT(ISBLANK($B1689)),VLOOKUP($B1689,AssetCategories!$A:$E,5,0),"")</f>
        <v/>
      </c>
      <c r="EH1689" t="str">
        <f>IF(NOT(ISBLANK($B1689)),VLOOKUP($B1689,AssetCategories!$A:$E,4,0),"")</f>
        <v/>
      </c>
      <c r="EM1689" t="str">
        <f>IF(NOT(ISBLANK($B1689)),VLOOKUP($B1689,AssetCategories!$A:$E,2,0),"")</f>
        <v/>
      </c>
      <c r="EN1689" t="str">
        <f>IF(NOT(ISBLANK($B1689)),VLOOKUP($B1689,AssetCategories!$A:$E,3,0),"")</f>
        <v/>
      </c>
      <c r="EP1689" s="33" t="str">
        <f t="shared" si="53"/>
        <v/>
      </c>
    </row>
    <row r="1690" spans="16:146" x14ac:dyDescent="0.25">
      <c r="P1690" s="33" t="str" cm="1">
        <f t="array" ref="P1690">IFERROR(SUM(VALUE(_xlfn.TEXTSPLIT(O1690, ";"))), "")</f>
        <v/>
      </c>
      <c r="DO1690" t="str">
        <f t="shared" si="52"/>
        <v/>
      </c>
      <c r="EG1690" s="33" t="str">
        <f>IF(NOT(ISBLANK($B1690)),VLOOKUP($B1690,AssetCategories!$A:$E,5,0),"")</f>
        <v/>
      </c>
      <c r="EH1690" t="str">
        <f>IF(NOT(ISBLANK($B1690)),VLOOKUP($B1690,AssetCategories!$A:$E,4,0),"")</f>
        <v/>
      </c>
      <c r="EM1690" t="str">
        <f>IF(NOT(ISBLANK($B1690)),VLOOKUP($B1690,AssetCategories!$A:$E,2,0),"")</f>
        <v/>
      </c>
      <c r="EN1690" t="str">
        <f>IF(NOT(ISBLANK($B1690)),VLOOKUP($B1690,AssetCategories!$A:$E,3,0),"")</f>
        <v/>
      </c>
      <c r="EP1690" s="33" t="str">
        <f t="shared" si="53"/>
        <v/>
      </c>
    </row>
    <row r="1691" spans="16:146" x14ac:dyDescent="0.25">
      <c r="P1691" s="33" t="str" cm="1">
        <f t="array" ref="P1691">IFERROR(SUM(VALUE(_xlfn.TEXTSPLIT(O1691, ";"))), "")</f>
        <v/>
      </c>
      <c r="DO1691" t="str">
        <f t="shared" si="52"/>
        <v/>
      </c>
      <c r="EG1691" s="33" t="str">
        <f>IF(NOT(ISBLANK($B1691)),VLOOKUP($B1691,AssetCategories!$A:$E,5,0),"")</f>
        <v/>
      </c>
      <c r="EH1691" t="str">
        <f>IF(NOT(ISBLANK($B1691)),VLOOKUP($B1691,AssetCategories!$A:$E,4,0),"")</f>
        <v/>
      </c>
      <c r="EM1691" t="str">
        <f>IF(NOT(ISBLANK($B1691)),VLOOKUP($B1691,AssetCategories!$A:$E,2,0),"")</f>
        <v/>
      </c>
      <c r="EN1691" t="str">
        <f>IF(NOT(ISBLANK($B1691)),VLOOKUP($B1691,AssetCategories!$A:$E,3,0),"")</f>
        <v/>
      </c>
      <c r="EP1691" s="33" t="str">
        <f t="shared" si="53"/>
        <v/>
      </c>
    </row>
    <row r="1692" spans="16:146" x14ac:dyDescent="0.25">
      <c r="P1692" s="33" t="str" cm="1">
        <f t="array" ref="P1692">IFERROR(SUM(VALUE(_xlfn.TEXTSPLIT(O1692, ";"))), "")</f>
        <v/>
      </c>
      <c r="DO1692" t="str">
        <f t="shared" si="52"/>
        <v/>
      </c>
      <c r="EG1692" s="33" t="str">
        <f>IF(NOT(ISBLANK($B1692)),VLOOKUP($B1692,AssetCategories!$A:$E,5,0),"")</f>
        <v/>
      </c>
      <c r="EH1692" t="str">
        <f>IF(NOT(ISBLANK($B1692)),VLOOKUP($B1692,AssetCategories!$A:$E,4,0),"")</f>
        <v/>
      </c>
      <c r="EM1692" t="str">
        <f>IF(NOT(ISBLANK($B1692)),VLOOKUP($B1692,AssetCategories!$A:$E,2,0),"")</f>
        <v/>
      </c>
      <c r="EN1692" t="str">
        <f>IF(NOT(ISBLANK($B1692)),VLOOKUP($B1692,AssetCategories!$A:$E,3,0),"")</f>
        <v/>
      </c>
      <c r="EP1692" s="33" t="str">
        <f t="shared" si="53"/>
        <v/>
      </c>
    </row>
    <row r="1693" spans="16:146" x14ac:dyDescent="0.25">
      <c r="P1693" s="33" t="str" cm="1">
        <f t="array" ref="P1693">IFERROR(SUM(VALUE(_xlfn.TEXTSPLIT(O1693, ";"))), "")</f>
        <v/>
      </c>
      <c r="DO1693" t="str">
        <f t="shared" si="52"/>
        <v/>
      </c>
      <c r="EG1693" s="33" t="str">
        <f>IF(NOT(ISBLANK($B1693)),VLOOKUP($B1693,AssetCategories!$A:$E,5,0),"")</f>
        <v/>
      </c>
      <c r="EH1693" t="str">
        <f>IF(NOT(ISBLANK($B1693)),VLOOKUP($B1693,AssetCategories!$A:$E,4,0),"")</f>
        <v/>
      </c>
      <c r="EM1693" t="str">
        <f>IF(NOT(ISBLANK($B1693)),VLOOKUP($B1693,AssetCategories!$A:$E,2,0),"")</f>
        <v/>
      </c>
      <c r="EN1693" t="str">
        <f>IF(NOT(ISBLANK($B1693)),VLOOKUP($B1693,AssetCategories!$A:$E,3,0),"")</f>
        <v/>
      </c>
      <c r="EP1693" s="33" t="str">
        <f t="shared" si="53"/>
        <v/>
      </c>
    </row>
    <row r="1694" spans="16:146" x14ac:dyDescent="0.25">
      <c r="P1694" s="33" t="str" cm="1">
        <f t="array" ref="P1694">IFERROR(SUM(VALUE(_xlfn.TEXTSPLIT(O1694, ";"))), "")</f>
        <v/>
      </c>
      <c r="DO1694" t="str">
        <f t="shared" si="52"/>
        <v/>
      </c>
      <c r="EG1694" s="33" t="str">
        <f>IF(NOT(ISBLANK($B1694)),VLOOKUP($B1694,AssetCategories!$A:$E,5,0),"")</f>
        <v/>
      </c>
      <c r="EH1694" t="str">
        <f>IF(NOT(ISBLANK($B1694)),VLOOKUP($B1694,AssetCategories!$A:$E,4,0),"")</f>
        <v/>
      </c>
      <c r="EM1694" t="str">
        <f>IF(NOT(ISBLANK($B1694)),VLOOKUP($B1694,AssetCategories!$A:$E,2,0),"")</f>
        <v/>
      </c>
      <c r="EN1694" t="str">
        <f>IF(NOT(ISBLANK($B1694)),VLOOKUP($B1694,AssetCategories!$A:$E,3,0),"")</f>
        <v/>
      </c>
      <c r="EP1694" s="33" t="str">
        <f t="shared" si="53"/>
        <v/>
      </c>
    </row>
    <row r="1695" spans="16:146" x14ac:dyDescent="0.25">
      <c r="P1695" s="33" t="str" cm="1">
        <f t="array" ref="P1695">IFERROR(SUM(VALUE(_xlfn.TEXTSPLIT(O1695, ";"))), "")</f>
        <v/>
      </c>
      <c r="DO1695" t="str">
        <f t="shared" si="52"/>
        <v/>
      </c>
      <c r="EG1695" s="33" t="str">
        <f>IF(NOT(ISBLANK($B1695)),VLOOKUP($B1695,AssetCategories!$A:$E,5,0),"")</f>
        <v/>
      </c>
      <c r="EH1695" t="str">
        <f>IF(NOT(ISBLANK($B1695)),VLOOKUP($B1695,AssetCategories!$A:$E,4,0),"")</f>
        <v/>
      </c>
      <c r="EM1695" t="str">
        <f>IF(NOT(ISBLANK($B1695)),VLOOKUP($B1695,AssetCategories!$A:$E,2,0),"")</f>
        <v/>
      </c>
      <c r="EN1695" t="str">
        <f>IF(NOT(ISBLANK($B1695)),VLOOKUP($B1695,AssetCategories!$A:$E,3,0),"")</f>
        <v/>
      </c>
      <c r="EP1695" s="33" t="str">
        <f t="shared" si="53"/>
        <v/>
      </c>
    </row>
    <row r="1696" spans="16:146" x14ac:dyDescent="0.25">
      <c r="P1696" s="33" t="str" cm="1">
        <f t="array" ref="P1696">IFERROR(SUM(VALUE(_xlfn.TEXTSPLIT(O1696, ";"))), "")</f>
        <v/>
      </c>
      <c r="DO1696" t="str">
        <f t="shared" si="52"/>
        <v/>
      </c>
      <c r="EG1696" s="33" t="str">
        <f>IF(NOT(ISBLANK($B1696)),VLOOKUP($B1696,AssetCategories!$A:$E,5,0),"")</f>
        <v/>
      </c>
      <c r="EH1696" t="str">
        <f>IF(NOT(ISBLANK($B1696)),VLOOKUP($B1696,AssetCategories!$A:$E,4,0),"")</f>
        <v/>
      </c>
      <c r="EM1696" t="str">
        <f>IF(NOT(ISBLANK($B1696)),VLOOKUP($B1696,AssetCategories!$A:$E,2,0),"")</f>
        <v/>
      </c>
      <c r="EN1696" t="str">
        <f>IF(NOT(ISBLANK($B1696)),VLOOKUP($B1696,AssetCategories!$A:$E,3,0),"")</f>
        <v/>
      </c>
      <c r="EP1696" s="33" t="str">
        <f t="shared" si="53"/>
        <v/>
      </c>
    </row>
    <row r="1697" spans="16:146" x14ac:dyDescent="0.25">
      <c r="P1697" s="33" t="str" cm="1">
        <f t="array" ref="P1697">IFERROR(SUM(VALUE(_xlfn.TEXTSPLIT(O1697, ";"))), "")</f>
        <v/>
      </c>
      <c r="DO1697" t="str">
        <f t="shared" si="52"/>
        <v/>
      </c>
      <c r="EG1697" s="33" t="str">
        <f>IF(NOT(ISBLANK($B1697)),VLOOKUP($B1697,AssetCategories!$A:$E,5,0),"")</f>
        <v/>
      </c>
      <c r="EH1697" t="str">
        <f>IF(NOT(ISBLANK($B1697)),VLOOKUP($B1697,AssetCategories!$A:$E,4,0),"")</f>
        <v/>
      </c>
      <c r="EM1697" t="str">
        <f>IF(NOT(ISBLANK($B1697)),VLOOKUP($B1697,AssetCategories!$A:$E,2,0),"")</f>
        <v/>
      </c>
      <c r="EN1697" t="str">
        <f>IF(NOT(ISBLANK($B1697)),VLOOKUP($B1697,AssetCategories!$A:$E,3,0),"")</f>
        <v/>
      </c>
      <c r="EP1697" s="33" t="str">
        <f t="shared" si="53"/>
        <v/>
      </c>
    </row>
    <row r="1698" spans="16:146" x14ac:dyDescent="0.25">
      <c r="P1698" s="33" t="str" cm="1">
        <f t="array" ref="P1698">IFERROR(SUM(VALUE(_xlfn.TEXTSPLIT(O1698, ";"))), "")</f>
        <v/>
      </c>
      <c r="DO1698" t="str">
        <f t="shared" si="52"/>
        <v/>
      </c>
      <c r="EG1698" s="33" t="str">
        <f>IF(NOT(ISBLANK($B1698)),VLOOKUP($B1698,AssetCategories!$A:$E,5,0),"")</f>
        <v/>
      </c>
      <c r="EH1698" t="str">
        <f>IF(NOT(ISBLANK($B1698)),VLOOKUP($B1698,AssetCategories!$A:$E,4,0),"")</f>
        <v/>
      </c>
      <c r="EM1698" t="str">
        <f>IF(NOT(ISBLANK($B1698)),VLOOKUP($B1698,AssetCategories!$A:$E,2,0),"")</f>
        <v/>
      </c>
      <c r="EN1698" t="str">
        <f>IF(NOT(ISBLANK($B1698)),VLOOKUP($B1698,AssetCategories!$A:$E,3,0),"")</f>
        <v/>
      </c>
      <c r="EP1698" s="33" t="str">
        <f t="shared" si="53"/>
        <v/>
      </c>
    </row>
    <row r="1699" spans="16:146" x14ac:dyDescent="0.25">
      <c r="P1699" s="33" t="str" cm="1">
        <f t="array" ref="P1699">IFERROR(SUM(VALUE(_xlfn.TEXTSPLIT(O1699, ";"))), "")</f>
        <v/>
      </c>
      <c r="DO1699" t="str">
        <f t="shared" si="52"/>
        <v/>
      </c>
      <c r="EG1699" s="33" t="str">
        <f>IF(NOT(ISBLANK($B1699)),VLOOKUP($B1699,AssetCategories!$A:$E,5,0),"")</f>
        <v/>
      </c>
      <c r="EH1699" t="str">
        <f>IF(NOT(ISBLANK($B1699)),VLOOKUP($B1699,AssetCategories!$A:$E,4,0),"")</f>
        <v/>
      </c>
      <c r="EM1699" t="str">
        <f>IF(NOT(ISBLANK($B1699)),VLOOKUP($B1699,AssetCategories!$A:$E,2,0),"")</f>
        <v/>
      </c>
      <c r="EN1699" t="str">
        <f>IF(NOT(ISBLANK($B1699)),VLOOKUP($B1699,AssetCategories!$A:$E,3,0),"")</f>
        <v/>
      </c>
      <c r="EP1699" s="33" t="str">
        <f t="shared" si="53"/>
        <v/>
      </c>
    </row>
    <row r="1700" spans="16:146" x14ac:dyDescent="0.25">
      <c r="P1700" s="33" t="str" cm="1">
        <f t="array" ref="P1700">IFERROR(SUM(VALUE(_xlfn.TEXTSPLIT(O1700, ";"))), "")</f>
        <v/>
      </c>
      <c r="DO1700" t="str">
        <f t="shared" si="52"/>
        <v/>
      </c>
      <c r="EG1700" s="33" t="str">
        <f>IF(NOT(ISBLANK($B1700)),VLOOKUP($B1700,AssetCategories!$A:$E,5,0),"")</f>
        <v/>
      </c>
      <c r="EH1700" t="str">
        <f>IF(NOT(ISBLANK($B1700)),VLOOKUP($B1700,AssetCategories!$A:$E,4,0),"")</f>
        <v/>
      </c>
      <c r="EM1700" t="str">
        <f>IF(NOT(ISBLANK($B1700)),VLOOKUP($B1700,AssetCategories!$A:$E,2,0),"")</f>
        <v/>
      </c>
      <c r="EN1700" t="str">
        <f>IF(NOT(ISBLANK($B1700)),VLOOKUP($B1700,AssetCategories!$A:$E,3,0),"")</f>
        <v/>
      </c>
      <c r="EP1700" s="33" t="str">
        <f t="shared" si="53"/>
        <v/>
      </c>
    </row>
    <row r="1701" spans="16:146" x14ac:dyDescent="0.25">
      <c r="P1701" s="33" t="str" cm="1">
        <f t="array" ref="P1701">IFERROR(SUM(VALUE(_xlfn.TEXTSPLIT(O1701, ";"))), "")</f>
        <v/>
      </c>
      <c r="DO1701" t="str">
        <f t="shared" si="52"/>
        <v/>
      </c>
      <c r="EG1701" s="33" t="str">
        <f>IF(NOT(ISBLANK($B1701)),VLOOKUP($B1701,AssetCategories!$A:$E,5,0),"")</f>
        <v/>
      </c>
      <c r="EH1701" t="str">
        <f>IF(NOT(ISBLANK($B1701)),VLOOKUP($B1701,AssetCategories!$A:$E,4,0),"")</f>
        <v/>
      </c>
      <c r="EM1701" t="str">
        <f>IF(NOT(ISBLANK($B1701)),VLOOKUP($B1701,AssetCategories!$A:$E,2,0),"")</f>
        <v/>
      </c>
      <c r="EN1701" t="str">
        <f>IF(NOT(ISBLANK($B1701)),VLOOKUP($B1701,AssetCategories!$A:$E,3,0),"")</f>
        <v/>
      </c>
      <c r="EP1701" s="33" t="str">
        <f t="shared" si="53"/>
        <v/>
      </c>
    </row>
    <row r="1702" spans="16:146" x14ac:dyDescent="0.25">
      <c r="P1702" s="33" t="str" cm="1">
        <f t="array" ref="P1702">IFERROR(SUM(VALUE(_xlfn.TEXTSPLIT(O1702, ";"))), "")</f>
        <v/>
      </c>
      <c r="DO1702" t="str">
        <f t="shared" si="52"/>
        <v/>
      </c>
      <c r="EG1702" s="33" t="str">
        <f>IF(NOT(ISBLANK($B1702)),VLOOKUP($B1702,AssetCategories!$A:$E,5,0),"")</f>
        <v/>
      </c>
      <c r="EH1702" t="str">
        <f>IF(NOT(ISBLANK($B1702)),VLOOKUP($B1702,AssetCategories!$A:$E,4,0),"")</f>
        <v/>
      </c>
      <c r="EM1702" t="str">
        <f>IF(NOT(ISBLANK($B1702)),VLOOKUP($B1702,AssetCategories!$A:$E,2,0),"")</f>
        <v/>
      </c>
      <c r="EN1702" t="str">
        <f>IF(NOT(ISBLANK($B1702)),VLOOKUP($B1702,AssetCategories!$A:$E,3,0),"")</f>
        <v/>
      </c>
      <c r="EP1702" s="33" t="str">
        <f t="shared" si="53"/>
        <v/>
      </c>
    </row>
    <row r="1703" spans="16:146" x14ac:dyDescent="0.25">
      <c r="P1703" s="33" t="str" cm="1">
        <f t="array" ref="P1703">IFERROR(SUM(VALUE(_xlfn.TEXTSPLIT(O1703, ";"))), "")</f>
        <v/>
      </c>
      <c r="DO1703" t="str">
        <f t="shared" si="52"/>
        <v/>
      </c>
      <c r="EG1703" s="33" t="str">
        <f>IF(NOT(ISBLANK($B1703)),VLOOKUP($B1703,AssetCategories!$A:$E,5,0),"")</f>
        <v/>
      </c>
      <c r="EH1703" t="str">
        <f>IF(NOT(ISBLANK($B1703)),VLOOKUP($B1703,AssetCategories!$A:$E,4,0),"")</f>
        <v/>
      </c>
      <c r="EM1703" t="str">
        <f>IF(NOT(ISBLANK($B1703)),VLOOKUP($B1703,AssetCategories!$A:$E,2,0),"")</f>
        <v/>
      </c>
      <c r="EN1703" t="str">
        <f>IF(NOT(ISBLANK($B1703)),VLOOKUP($B1703,AssetCategories!$A:$E,3,0),"")</f>
        <v/>
      </c>
      <c r="EP1703" s="33" t="str">
        <f t="shared" si="53"/>
        <v/>
      </c>
    </row>
    <row r="1704" spans="16:146" x14ac:dyDescent="0.25">
      <c r="P1704" s="33" t="str" cm="1">
        <f t="array" ref="P1704">IFERROR(SUM(VALUE(_xlfn.TEXTSPLIT(O1704, ";"))), "")</f>
        <v/>
      </c>
      <c r="DO1704" t="str">
        <f t="shared" si="52"/>
        <v/>
      </c>
      <c r="EG1704" s="33" t="str">
        <f>IF(NOT(ISBLANK($B1704)),VLOOKUP($B1704,AssetCategories!$A:$E,5,0),"")</f>
        <v/>
      </c>
      <c r="EH1704" t="str">
        <f>IF(NOT(ISBLANK($B1704)),VLOOKUP($B1704,AssetCategories!$A:$E,4,0),"")</f>
        <v/>
      </c>
      <c r="EM1704" t="str">
        <f>IF(NOT(ISBLANK($B1704)),VLOOKUP($B1704,AssetCategories!$A:$E,2,0),"")</f>
        <v/>
      </c>
      <c r="EN1704" t="str">
        <f>IF(NOT(ISBLANK($B1704)),VLOOKUP($B1704,AssetCategories!$A:$E,3,0),"")</f>
        <v/>
      </c>
      <c r="EP1704" s="33" t="str">
        <f t="shared" si="53"/>
        <v/>
      </c>
    </row>
    <row r="1705" spans="16:146" x14ac:dyDescent="0.25">
      <c r="P1705" s="33" t="str" cm="1">
        <f t="array" ref="P1705">IFERROR(SUM(VALUE(_xlfn.TEXTSPLIT(O1705, ";"))), "")</f>
        <v/>
      </c>
      <c r="DO1705" t="str">
        <f t="shared" si="52"/>
        <v/>
      </c>
      <c r="EG1705" s="33" t="str">
        <f>IF(NOT(ISBLANK($B1705)),VLOOKUP($B1705,AssetCategories!$A:$E,5,0),"")</f>
        <v/>
      </c>
      <c r="EH1705" t="str">
        <f>IF(NOT(ISBLANK($B1705)),VLOOKUP($B1705,AssetCategories!$A:$E,4,0),"")</f>
        <v/>
      </c>
      <c r="EM1705" t="str">
        <f>IF(NOT(ISBLANK($B1705)),VLOOKUP($B1705,AssetCategories!$A:$E,2,0),"")</f>
        <v/>
      </c>
      <c r="EN1705" t="str">
        <f>IF(NOT(ISBLANK($B1705)),VLOOKUP($B1705,AssetCategories!$A:$E,3,0),"")</f>
        <v/>
      </c>
      <c r="EP1705" s="33" t="str">
        <f t="shared" si="53"/>
        <v/>
      </c>
    </row>
    <row r="1706" spans="16:146" x14ac:dyDescent="0.25">
      <c r="P1706" s="33" t="str" cm="1">
        <f t="array" ref="P1706">IFERROR(SUM(VALUE(_xlfn.TEXTSPLIT(O1706, ";"))), "")</f>
        <v/>
      </c>
      <c r="DO1706" t="str">
        <f t="shared" si="52"/>
        <v/>
      </c>
      <c r="EG1706" s="33" t="str">
        <f>IF(NOT(ISBLANK($B1706)),VLOOKUP($B1706,AssetCategories!$A:$E,5,0),"")</f>
        <v/>
      </c>
      <c r="EH1706" t="str">
        <f>IF(NOT(ISBLANK($B1706)),VLOOKUP($B1706,AssetCategories!$A:$E,4,0),"")</f>
        <v/>
      </c>
      <c r="EM1706" t="str">
        <f>IF(NOT(ISBLANK($B1706)),VLOOKUP($B1706,AssetCategories!$A:$E,2,0),"")</f>
        <v/>
      </c>
      <c r="EN1706" t="str">
        <f>IF(NOT(ISBLANK($B1706)),VLOOKUP($B1706,AssetCategories!$A:$E,3,0),"")</f>
        <v/>
      </c>
      <c r="EP1706" s="33" t="str">
        <f t="shared" si="53"/>
        <v/>
      </c>
    </row>
    <row r="1707" spans="16:146" x14ac:dyDescent="0.25">
      <c r="P1707" s="33" t="str" cm="1">
        <f t="array" ref="P1707">IFERROR(SUM(VALUE(_xlfn.TEXTSPLIT(O1707, ";"))), "")</f>
        <v/>
      </c>
      <c r="DO1707" t="str">
        <f t="shared" si="52"/>
        <v/>
      </c>
      <c r="EG1707" s="33" t="str">
        <f>IF(NOT(ISBLANK($B1707)),VLOOKUP($B1707,AssetCategories!$A:$E,5,0),"")</f>
        <v/>
      </c>
      <c r="EH1707" t="str">
        <f>IF(NOT(ISBLANK($B1707)),VLOOKUP($B1707,AssetCategories!$A:$E,4,0),"")</f>
        <v/>
      </c>
      <c r="EM1707" t="str">
        <f>IF(NOT(ISBLANK($B1707)),VLOOKUP($B1707,AssetCategories!$A:$E,2,0),"")</f>
        <v/>
      </c>
      <c r="EN1707" t="str">
        <f>IF(NOT(ISBLANK($B1707)),VLOOKUP($B1707,AssetCategories!$A:$E,3,0),"")</f>
        <v/>
      </c>
      <c r="EP1707" s="33" t="str">
        <f t="shared" si="53"/>
        <v/>
      </c>
    </row>
    <row r="1708" spans="16:146" x14ac:dyDescent="0.25">
      <c r="P1708" s="33" t="str" cm="1">
        <f t="array" ref="P1708">IFERROR(SUM(VALUE(_xlfn.TEXTSPLIT(O1708, ";"))), "")</f>
        <v/>
      </c>
      <c r="DO1708" t="str">
        <f t="shared" si="52"/>
        <v/>
      </c>
      <c r="EG1708" s="33" t="str">
        <f>IF(NOT(ISBLANK($B1708)),VLOOKUP($B1708,AssetCategories!$A:$E,5,0),"")</f>
        <v/>
      </c>
      <c r="EH1708" t="str">
        <f>IF(NOT(ISBLANK($B1708)),VLOOKUP($B1708,AssetCategories!$A:$E,4,0),"")</f>
        <v/>
      </c>
      <c r="EM1708" t="str">
        <f>IF(NOT(ISBLANK($B1708)),VLOOKUP($B1708,AssetCategories!$A:$E,2,0),"")</f>
        <v/>
      </c>
      <c r="EN1708" t="str">
        <f>IF(NOT(ISBLANK($B1708)),VLOOKUP($B1708,AssetCategories!$A:$E,3,0),"")</f>
        <v/>
      </c>
      <c r="EP1708" s="33" t="str">
        <f t="shared" si="53"/>
        <v/>
      </c>
    </row>
    <row r="1709" spans="16:146" x14ac:dyDescent="0.25">
      <c r="P1709" s="33" t="str" cm="1">
        <f t="array" ref="P1709">IFERROR(SUM(VALUE(_xlfn.TEXTSPLIT(O1709, ";"))), "")</f>
        <v/>
      </c>
      <c r="DO1709" t="str">
        <f t="shared" si="52"/>
        <v/>
      </c>
      <c r="EG1709" s="33" t="str">
        <f>IF(NOT(ISBLANK($B1709)),VLOOKUP($B1709,AssetCategories!$A:$E,5,0),"")</f>
        <v/>
      </c>
      <c r="EH1709" t="str">
        <f>IF(NOT(ISBLANK($B1709)),VLOOKUP($B1709,AssetCategories!$A:$E,4,0),"")</f>
        <v/>
      </c>
      <c r="EM1709" t="str">
        <f>IF(NOT(ISBLANK($B1709)),VLOOKUP($B1709,AssetCategories!$A:$E,2,0),"")</f>
        <v/>
      </c>
      <c r="EN1709" t="str">
        <f>IF(NOT(ISBLANK($B1709)),VLOOKUP($B1709,AssetCategories!$A:$E,3,0),"")</f>
        <v/>
      </c>
      <c r="EP1709" s="33" t="str">
        <f t="shared" si="53"/>
        <v/>
      </c>
    </row>
    <row r="1710" spans="16:146" x14ac:dyDescent="0.25">
      <c r="P1710" s="33" t="str" cm="1">
        <f t="array" ref="P1710">IFERROR(SUM(VALUE(_xlfn.TEXTSPLIT(O1710, ";"))), "")</f>
        <v/>
      </c>
      <c r="DO1710" t="str">
        <f t="shared" si="52"/>
        <v/>
      </c>
      <c r="EG1710" s="33" t="str">
        <f>IF(NOT(ISBLANK($B1710)),VLOOKUP($B1710,AssetCategories!$A:$E,5,0),"")</f>
        <v/>
      </c>
      <c r="EH1710" t="str">
        <f>IF(NOT(ISBLANK($B1710)),VLOOKUP($B1710,AssetCategories!$A:$E,4,0),"")</f>
        <v/>
      </c>
      <c r="EM1710" t="str">
        <f>IF(NOT(ISBLANK($B1710)),VLOOKUP($B1710,AssetCategories!$A:$E,2,0),"")</f>
        <v/>
      </c>
      <c r="EN1710" t="str">
        <f>IF(NOT(ISBLANK($B1710)),VLOOKUP($B1710,AssetCategories!$A:$E,3,0),"")</f>
        <v/>
      </c>
      <c r="EP1710" s="33" t="str">
        <f t="shared" si="53"/>
        <v/>
      </c>
    </row>
    <row r="1711" spans="16:146" x14ac:dyDescent="0.25">
      <c r="P1711" s="33" t="str" cm="1">
        <f t="array" ref="P1711">IFERROR(SUM(VALUE(_xlfn.TEXTSPLIT(O1711, ";"))), "")</f>
        <v/>
      </c>
      <c r="DO1711" t="str">
        <f t="shared" si="52"/>
        <v/>
      </c>
      <c r="EG1711" s="33" t="str">
        <f>IF(NOT(ISBLANK($B1711)),VLOOKUP($B1711,AssetCategories!$A:$E,5,0),"")</f>
        <v/>
      </c>
      <c r="EH1711" t="str">
        <f>IF(NOT(ISBLANK($B1711)),VLOOKUP($B1711,AssetCategories!$A:$E,4,0),"")</f>
        <v/>
      </c>
      <c r="EM1711" t="str">
        <f>IF(NOT(ISBLANK($B1711)),VLOOKUP($B1711,AssetCategories!$A:$E,2,0),"")</f>
        <v/>
      </c>
      <c r="EN1711" t="str">
        <f>IF(NOT(ISBLANK($B1711)),VLOOKUP($B1711,AssetCategories!$A:$E,3,0),"")</f>
        <v/>
      </c>
      <c r="EP1711" s="33" t="str">
        <f t="shared" si="53"/>
        <v/>
      </c>
    </row>
    <row r="1712" spans="16:146" x14ac:dyDescent="0.25">
      <c r="P1712" s="33" t="str" cm="1">
        <f t="array" ref="P1712">IFERROR(SUM(VALUE(_xlfn.TEXTSPLIT(O1712, ";"))), "")</f>
        <v/>
      </c>
      <c r="DO1712" t="str">
        <f t="shared" si="52"/>
        <v/>
      </c>
      <c r="EG1712" s="33" t="str">
        <f>IF(NOT(ISBLANK($B1712)),VLOOKUP($B1712,AssetCategories!$A:$E,5,0),"")</f>
        <v/>
      </c>
      <c r="EH1712" t="str">
        <f>IF(NOT(ISBLANK($B1712)),VLOOKUP($B1712,AssetCategories!$A:$E,4,0),"")</f>
        <v/>
      </c>
      <c r="EM1712" t="str">
        <f>IF(NOT(ISBLANK($B1712)),VLOOKUP($B1712,AssetCategories!$A:$E,2,0),"")</f>
        <v/>
      </c>
      <c r="EN1712" t="str">
        <f>IF(NOT(ISBLANK($B1712)),VLOOKUP($B1712,AssetCategories!$A:$E,3,0),"")</f>
        <v/>
      </c>
      <c r="EP1712" s="33" t="str">
        <f t="shared" si="53"/>
        <v/>
      </c>
    </row>
    <row r="1713" spans="16:146" x14ac:dyDescent="0.25">
      <c r="P1713" s="33" t="str" cm="1">
        <f t="array" ref="P1713">IFERROR(SUM(VALUE(_xlfn.TEXTSPLIT(O1713, ";"))), "")</f>
        <v/>
      </c>
      <c r="DO1713" t="str">
        <f t="shared" si="52"/>
        <v/>
      </c>
      <c r="EG1713" s="33" t="str">
        <f>IF(NOT(ISBLANK($B1713)),VLOOKUP($B1713,AssetCategories!$A:$E,5,0),"")</f>
        <v/>
      </c>
      <c r="EH1713" t="str">
        <f>IF(NOT(ISBLANK($B1713)),VLOOKUP($B1713,AssetCategories!$A:$E,4,0),"")</f>
        <v/>
      </c>
      <c r="EM1713" t="str">
        <f>IF(NOT(ISBLANK($B1713)),VLOOKUP($B1713,AssetCategories!$A:$E,2,0),"")</f>
        <v/>
      </c>
      <c r="EN1713" t="str">
        <f>IF(NOT(ISBLANK($B1713)),VLOOKUP($B1713,AssetCategories!$A:$E,3,0),"")</f>
        <v/>
      </c>
      <c r="EP1713" s="33" t="str">
        <f t="shared" si="53"/>
        <v/>
      </c>
    </row>
    <row r="1714" spans="16:146" x14ac:dyDescent="0.25">
      <c r="P1714" s="33" t="str" cm="1">
        <f t="array" ref="P1714">IFERROR(SUM(VALUE(_xlfn.TEXTSPLIT(O1714, ";"))), "")</f>
        <v/>
      </c>
      <c r="DO1714" t="str">
        <f t="shared" si="52"/>
        <v/>
      </c>
      <c r="EG1714" s="33" t="str">
        <f>IF(NOT(ISBLANK($B1714)),VLOOKUP($B1714,AssetCategories!$A:$E,5,0),"")</f>
        <v/>
      </c>
      <c r="EH1714" t="str">
        <f>IF(NOT(ISBLANK($B1714)),VLOOKUP($B1714,AssetCategories!$A:$E,4,0),"")</f>
        <v/>
      </c>
      <c r="EM1714" t="str">
        <f>IF(NOT(ISBLANK($B1714)),VLOOKUP($B1714,AssetCategories!$A:$E,2,0),"")</f>
        <v/>
      </c>
      <c r="EN1714" t="str">
        <f>IF(NOT(ISBLANK($B1714)),VLOOKUP($B1714,AssetCategories!$A:$E,3,0),"")</f>
        <v/>
      </c>
      <c r="EP1714" s="33" t="str">
        <f t="shared" si="53"/>
        <v/>
      </c>
    </row>
    <row r="1715" spans="16:146" x14ac:dyDescent="0.25">
      <c r="P1715" s="33" t="str" cm="1">
        <f t="array" ref="P1715">IFERROR(SUM(VALUE(_xlfn.TEXTSPLIT(O1715, ";"))), "")</f>
        <v/>
      </c>
      <c r="DO1715" t="str">
        <f t="shared" si="52"/>
        <v/>
      </c>
      <c r="EG1715" s="33" t="str">
        <f>IF(NOT(ISBLANK($B1715)),VLOOKUP($B1715,AssetCategories!$A:$E,5,0),"")</f>
        <v/>
      </c>
      <c r="EH1715" t="str">
        <f>IF(NOT(ISBLANK($B1715)),VLOOKUP($B1715,AssetCategories!$A:$E,4,0),"")</f>
        <v/>
      </c>
      <c r="EM1715" t="str">
        <f>IF(NOT(ISBLANK($B1715)),VLOOKUP($B1715,AssetCategories!$A:$E,2,0),"")</f>
        <v/>
      </c>
      <c r="EN1715" t="str">
        <f>IF(NOT(ISBLANK($B1715)),VLOOKUP($B1715,AssetCategories!$A:$E,3,0),"")</f>
        <v/>
      </c>
      <c r="EP1715" s="33" t="str">
        <f t="shared" si="53"/>
        <v/>
      </c>
    </row>
    <row r="1716" spans="16:146" x14ac:dyDescent="0.25">
      <c r="P1716" s="33" t="str" cm="1">
        <f t="array" ref="P1716">IFERROR(SUM(VALUE(_xlfn.TEXTSPLIT(O1716, ";"))), "")</f>
        <v/>
      </c>
      <c r="DO1716" t="str">
        <f t="shared" si="52"/>
        <v/>
      </c>
      <c r="EG1716" s="33" t="str">
        <f>IF(NOT(ISBLANK($B1716)),VLOOKUP($B1716,AssetCategories!$A:$E,5,0),"")</f>
        <v/>
      </c>
      <c r="EH1716" t="str">
        <f>IF(NOT(ISBLANK($B1716)),VLOOKUP($B1716,AssetCategories!$A:$E,4,0),"")</f>
        <v/>
      </c>
      <c r="EM1716" t="str">
        <f>IF(NOT(ISBLANK($B1716)),VLOOKUP($B1716,AssetCategories!$A:$E,2,0),"")</f>
        <v/>
      </c>
      <c r="EN1716" t="str">
        <f>IF(NOT(ISBLANK($B1716)),VLOOKUP($B1716,AssetCategories!$A:$E,3,0),"")</f>
        <v/>
      </c>
      <c r="EP1716" s="33" t="str">
        <f t="shared" si="53"/>
        <v/>
      </c>
    </row>
    <row r="1717" spans="16:146" x14ac:dyDescent="0.25">
      <c r="P1717" s="33" t="str" cm="1">
        <f t="array" ref="P1717">IFERROR(SUM(VALUE(_xlfn.TEXTSPLIT(O1717, ";"))), "")</f>
        <v/>
      </c>
      <c r="DO1717" t="str">
        <f t="shared" si="52"/>
        <v/>
      </c>
      <c r="EG1717" s="33" t="str">
        <f>IF(NOT(ISBLANK($B1717)),VLOOKUP($B1717,AssetCategories!$A:$E,5,0),"")</f>
        <v/>
      </c>
      <c r="EH1717" t="str">
        <f>IF(NOT(ISBLANK($B1717)),VLOOKUP($B1717,AssetCategories!$A:$E,4,0),"")</f>
        <v/>
      </c>
      <c r="EM1717" t="str">
        <f>IF(NOT(ISBLANK($B1717)),VLOOKUP($B1717,AssetCategories!$A:$E,2,0),"")</f>
        <v/>
      </c>
      <c r="EN1717" t="str">
        <f>IF(NOT(ISBLANK($B1717)),VLOOKUP($B1717,AssetCategories!$A:$E,3,0),"")</f>
        <v/>
      </c>
      <c r="EP1717" s="33" t="str">
        <f t="shared" si="53"/>
        <v/>
      </c>
    </row>
    <row r="1718" spans="16:146" x14ac:dyDescent="0.25">
      <c r="P1718" s="33" t="str" cm="1">
        <f t="array" ref="P1718">IFERROR(SUM(VALUE(_xlfn.TEXTSPLIT(O1718, ";"))), "")</f>
        <v/>
      </c>
      <c r="DO1718" t="str">
        <f t="shared" si="52"/>
        <v/>
      </c>
      <c r="EG1718" s="33" t="str">
        <f>IF(NOT(ISBLANK($B1718)),VLOOKUP($B1718,AssetCategories!$A:$E,5,0),"")</f>
        <v/>
      </c>
      <c r="EH1718" t="str">
        <f>IF(NOT(ISBLANK($B1718)),VLOOKUP($B1718,AssetCategories!$A:$E,4,0),"")</f>
        <v/>
      </c>
      <c r="EM1718" t="str">
        <f>IF(NOT(ISBLANK($B1718)),VLOOKUP($B1718,AssetCategories!$A:$E,2,0),"")</f>
        <v/>
      </c>
      <c r="EN1718" t="str">
        <f>IF(NOT(ISBLANK($B1718)),VLOOKUP($B1718,AssetCategories!$A:$E,3,0),"")</f>
        <v/>
      </c>
      <c r="EP1718" s="33" t="str">
        <f t="shared" si="53"/>
        <v/>
      </c>
    </row>
    <row r="1719" spans="16:146" x14ac:dyDescent="0.25">
      <c r="P1719" s="33" t="str" cm="1">
        <f t="array" ref="P1719">IFERROR(SUM(VALUE(_xlfn.TEXTSPLIT(O1719, ";"))), "")</f>
        <v/>
      </c>
      <c r="DO1719" t="str">
        <f t="shared" si="52"/>
        <v/>
      </c>
      <c r="EG1719" s="33" t="str">
        <f>IF(NOT(ISBLANK($B1719)),VLOOKUP($B1719,AssetCategories!$A:$E,5,0),"")</f>
        <v/>
      </c>
      <c r="EH1719" t="str">
        <f>IF(NOT(ISBLANK($B1719)),VLOOKUP($B1719,AssetCategories!$A:$E,4,0),"")</f>
        <v/>
      </c>
      <c r="EM1719" t="str">
        <f>IF(NOT(ISBLANK($B1719)),VLOOKUP($B1719,AssetCategories!$A:$E,2,0),"")</f>
        <v/>
      </c>
      <c r="EN1719" t="str">
        <f>IF(NOT(ISBLANK($B1719)),VLOOKUP($B1719,AssetCategories!$A:$E,3,0),"")</f>
        <v/>
      </c>
      <c r="EP1719" s="33" t="str">
        <f t="shared" si="53"/>
        <v/>
      </c>
    </row>
    <row r="1720" spans="16:146" x14ac:dyDescent="0.25">
      <c r="P1720" s="33" t="str" cm="1">
        <f t="array" ref="P1720">IFERROR(SUM(VALUE(_xlfn.TEXTSPLIT(O1720, ";"))), "")</f>
        <v/>
      </c>
      <c r="DO1720" t="str">
        <f t="shared" si="52"/>
        <v/>
      </c>
      <c r="EG1720" s="33" t="str">
        <f>IF(NOT(ISBLANK($B1720)),VLOOKUP($B1720,AssetCategories!$A:$E,5,0),"")</f>
        <v/>
      </c>
      <c r="EH1720" t="str">
        <f>IF(NOT(ISBLANK($B1720)),VLOOKUP($B1720,AssetCategories!$A:$E,4,0),"")</f>
        <v/>
      </c>
      <c r="EM1720" t="str">
        <f>IF(NOT(ISBLANK($B1720)),VLOOKUP($B1720,AssetCategories!$A:$E,2,0),"")</f>
        <v/>
      </c>
      <c r="EN1720" t="str">
        <f>IF(NOT(ISBLANK($B1720)),VLOOKUP($B1720,AssetCategories!$A:$E,3,0),"")</f>
        <v/>
      </c>
      <c r="EP1720" s="33" t="str">
        <f t="shared" si="53"/>
        <v/>
      </c>
    </row>
    <row r="1721" spans="16:146" x14ac:dyDescent="0.25">
      <c r="P1721" s="33" t="str" cm="1">
        <f t="array" ref="P1721">IFERROR(SUM(VALUE(_xlfn.TEXTSPLIT(O1721, ";"))), "")</f>
        <v/>
      </c>
      <c r="DO1721" t="str">
        <f t="shared" si="52"/>
        <v/>
      </c>
      <c r="EG1721" s="33" t="str">
        <f>IF(NOT(ISBLANK($B1721)),VLOOKUP($B1721,AssetCategories!$A:$E,5,0),"")</f>
        <v/>
      </c>
      <c r="EH1721" t="str">
        <f>IF(NOT(ISBLANK($B1721)),VLOOKUP($B1721,AssetCategories!$A:$E,4,0),"")</f>
        <v/>
      </c>
      <c r="EM1721" t="str">
        <f>IF(NOT(ISBLANK($B1721)),VLOOKUP($B1721,AssetCategories!$A:$E,2,0),"")</f>
        <v/>
      </c>
      <c r="EN1721" t="str">
        <f>IF(NOT(ISBLANK($B1721)),VLOOKUP($B1721,AssetCategories!$A:$E,3,0),"")</f>
        <v/>
      </c>
      <c r="EP1721" s="33" t="str">
        <f t="shared" si="53"/>
        <v/>
      </c>
    </row>
    <row r="1722" spans="16:146" x14ac:dyDescent="0.25">
      <c r="P1722" s="33" t="str" cm="1">
        <f t="array" ref="P1722">IFERROR(SUM(VALUE(_xlfn.TEXTSPLIT(O1722, ";"))), "")</f>
        <v/>
      </c>
      <c r="DO1722" t="str">
        <f t="shared" si="52"/>
        <v/>
      </c>
      <c r="EG1722" s="33" t="str">
        <f>IF(NOT(ISBLANK($B1722)),VLOOKUP($B1722,AssetCategories!$A:$E,5,0),"")</f>
        <v/>
      </c>
      <c r="EH1722" t="str">
        <f>IF(NOT(ISBLANK($B1722)),VLOOKUP($B1722,AssetCategories!$A:$E,4,0),"")</f>
        <v/>
      </c>
      <c r="EM1722" t="str">
        <f>IF(NOT(ISBLANK($B1722)),VLOOKUP($B1722,AssetCategories!$A:$E,2,0),"")</f>
        <v/>
      </c>
      <c r="EN1722" t="str">
        <f>IF(NOT(ISBLANK($B1722)),VLOOKUP($B1722,AssetCategories!$A:$E,3,0),"")</f>
        <v/>
      </c>
      <c r="EP1722" s="33" t="str">
        <f t="shared" si="53"/>
        <v/>
      </c>
    </row>
    <row r="1723" spans="16:146" x14ac:dyDescent="0.25">
      <c r="P1723" s="33" t="str" cm="1">
        <f t="array" ref="P1723">IFERROR(SUM(VALUE(_xlfn.TEXTSPLIT(O1723, ";"))), "")</f>
        <v/>
      </c>
      <c r="DO1723" t="str">
        <f t="shared" si="52"/>
        <v/>
      </c>
      <c r="EG1723" s="33" t="str">
        <f>IF(NOT(ISBLANK($B1723)),VLOOKUP($B1723,AssetCategories!$A:$E,5,0),"")</f>
        <v/>
      </c>
      <c r="EH1723" t="str">
        <f>IF(NOT(ISBLANK($B1723)),VLOOKUP($B1723,AssetCategories!$A:$E,4,0),"")</f>
        <v/>
      </c>
      <c r="EM1723" t="str">
        <f>IF(NOT(ISBLANK($B1723)),VLOOKUP($B1723,AssetCategories!$A:$E,2,0),"")</f>
        <v/>
      </c>
      <c r="EN1723" t="str">
        <f>IF(NOT(ISBLANK($B1723)),VLOOKUP($B1723,AssetCategories!$A:$E,3,0),"")</f>
        <v/>
      </c>
      <c r="EP1723" s="33" t="str">
        <f t="shared" si="53"/>
        <v/>
      </c>
    </row>
    <row r="1724" spans="16:146" x14ac:dyDescent="0.25">
      <c r="P1724" s="33" t="str" cm="1">
        <f t="array" ref="P1724">IFERROR(SUM(VALUE(_xlfn.TEXTSPLIT(O1724, ";"))), "")</f>
        <v/>
      </c>
      <c r="DO1724" t="str">
        <f t="shared" si="52"/>
        <v/>
      </c>
      <c r="EG1724" s="33" t="str">
        <f>IF(NOT(ISBLANK($B1724)),VLOOKUP($B1724,AssetCategories!$A:$E,5,0),"")</f>
        <v/>
      </c>
      <c r="EH1724" t="str">
        <f>IF(NOT(ISBLANK($B1724)),VLOOKUP($B1724,AssetCategories!$A:$E,4,0),"")</f>
        <v/>
      </c>
      <c r="EM1724" t="str">
        <f>IF(NOT(ISBLANK($B1724)),VLOOKUP($B1724,AssetCategories!$A:$E,2,0),"")</f>
        <v/>
      </c>
      <c r="EN1724" t="str">
        <f>IF(NOT(ISBLANK($B1724)),VLOOKUP($B1724,AssetCategories!$A:$E,3,0),"")</f>
        <v/>
      </c>
      <c r="EP1724" s="33" t="str">
        <f t="shared" si="53"/>
        <v/>
      </c>
    </row>
    <row r="1725" spans="16:146" x14ac:dyDescent="0.25">
      <c r="P1725" s="33" t="str" cm="1">
        <f t="array" ref="P1725">IFERROR(SUM(VALUE(_xlfn.TEXTSPLIT(O1725, ";"))), "")</f>
        <v/>
      </c>
      <c r="DO1725" t="str">
        <f t="shared" si="52"/>
        <v/>
      </c>
      <c r="EG1725" s="33" t="str">
        <f>IF(NOT(ISBLANK($B1725)),VLOOKUP($B1725,AssetCategories!$A:$E,5,0),"")</f>
        <v/>
      </c>
      <c r="EH1725" t="str">
        <f>IF(NOT(ISBLANK($B1725)),VLOOKUP($B1725,AssetCategories!$A:$E,4,0),"")</f>
        <v/>
      </c>
      <c r="EM1725" t="str">
        <f>IF(NOT(ISBLANK($B1725)),VLOOKUP($B1725,AssetCategories!$A:$E,2,0),"")</f>
        <v/>
      </c>
      <c r="EN1725" t="str">
        <f>IF(NOT(ISBLANK($B1725)),VLOOKUP($B1725,AssetCategories!$A:$E,3,0),"")</f>
        <v/>
      </c>
      <c r="EP1725" s="33" t="str">
        <f t="shared" si="53"/>
        <v/>
      </c>
    </row>
    <row r="1726" spans="16:146" x14ac:dyDescent="0.25">
      <c r="P1726" s="33" t="str" cm="1">
        <f t="array" ref="P1726">IFERROR(SUM(VALUE(_xlfn.TEXTSPLIT(O1726, ";"))), "")</f>
        <v/>
      </c>
      <c r="DO1726" t="str">
        <f t="shared" si="52"/>
        <v/>
      </c>
      <c r="EG1726" s="33" t="str">
        <f>IF(NOT(ISBLANK($B1726)),VLOOKUP($B1726,AssetCategories!$A:$E,5,0),"")</f>
        <v/>
      </c>
      <c r="EH1726" t="str">
        <f>IF(NOT(ISBLANK($B1726)),VLOOKUP($B1726,AssetCategories!$A:$E,4,0),"")</f>
        <v/>
      </c>
      <c r="EM1726" t="str">
        <f>IF(NOT(ISBLANK($B1726)),VLOOKUP($B1726,AssetCategories!$A:$E,2,0),"")</f>
        <v/>
      </c>
      <c r="EN1726" t="str">
        <f>IF(NOT(ISBLANK($B1726)),VLOOKUP($B1726,AssetCategories!$A:$E,3,0),"")</f>
        <v/>
      </c>
      <c r="EP1726" s="33" t="str">
        <f t="shared" si="53"/>
        <v/>
      </c>
    </row>
    <row r="1727" spans="16:146" x14ac:dyDescent="0.25">
      <c r="P1727" s="33" t="str" cm="1">
        <f t="array" ref="P1727">IFERROR(SUM(VALUE(_xlfn.TEXTSPLIT(O1727, ";"))), "")</f>
        <v/>
      </c>
      <c r="DO1727" t="str">
        <f t="shared" si="52"/>
        <v/>
      </c>
      <c r="EG1727" s="33" t="str">
        <f>IF(NOT(ISBLANK($B1727)),VLOOKUP($B1727,AssetCategories!$A:$E,5,0),"")</f>
        <v/>
      </c>
      <c r="EH1727" t="str">
        <f>IF(NOT(ISBLANK($B1727)),VLOOKUP($B1727,AssetCategories!$A:$E,4,0),"")</f>
        <v/>
      </c>
      <c r="EM1727" t="str">
        <f>IF(NOT(ISBLANK($B1727)),VLOOKUP($B1727,AssetCategories!$A:$E,2,0),"")</f>
        <v/>
      </c>
      <c r="EN1727" t="str">
        <f>IF(NOT(ISBLANK($B1727)),VLOOKUP($B1727,AssetCategories!$A:$E,3,0),"")</f>
        <v/>
      </c>
      <c r="EP1727" s="33" t="str">
        <f t="shared" si="53"/>
        <v/>
      </c>
    </row>
    <row r="1728" spans="16:146" x14ac:dyDescent="0.25">
      <c r="P1728" s="33" t="str" cm="1">
        <f t="array" ref="P1728">IFERROR(SUM(VALUE(_xlfn.TEXTSPLIT(O1728, ";"))), "")</f>
        <v/>
      </c>
      <c r="DO1728" t="str">
        <f t="shared" si="52"/>
        <v/>
      </c>
      <c r="EG1728" s="33" t="str">
        <f>IF(NOT(ISBLANK($B1728)),VLOOKUP($B1728,AssetCategories!$A:$E,5,0),"")</f>
        <v/>
      </c>
      <c r="EH1728" t="str">
        <f>IF(NOT(ISBLANK($B1728)),VLOOKUP($B1728,AssetCategories!$A:$E,4,0),"")</f>
        <v/>
      </c>
      <c r="EM1728" t="str">
        <f>IF(NOT(ISBLANK($B1728)),VLOOKUP($B1728,AssetCategories!$A:$E,2,0),"")</f>
        <v/>
      </c>
      <c r="EN1728" t="str">
        <f>IF(NOT(ISBLANK($B1728)),VLOOKUP($B1728,AssetCategories!$A:$E,3,0),"")</f>
        <v/>
      </c>
      <c r="EP1728" s="33" t="str">
        <f t="shared" si="53"/>
        <v/>
      </c>
    </row>
    <row r="1729" spans="16:146" x14ac:dyDescent="0.25">
      <c r="P1729" s="33" t="str" cm="1">
        <f t="array" ref="P1729">IFERROR(SUM(VALUE(_xlfn.TEXTSPLIT(O1729, ";"))), "")</f>
        <v/>
      </c>
      <c r="DO1729" t="str">
        <f t="shared" si="52"/>
        <v/>
      </c>
      <c r="EG1729" s="33" t="str">
        <f>IF(NOT(ISBLANK($B1729)),VLOOKUP($B1729,AssetCategories!$A:$E,5,0),"")</f>
        <v/>
      </c>
      <c r="EH1729" t="str">
        <f>IF(NOT(ISBLANK($B1729)),VLOOKUP($B1729,AssetCategories!$A:$E,4,0),"")</f>
        <v/>
      </c>
      <c r="EM1729" t="str">
        <f>IF(NOT(ISBLANK($B1729)),VLOOKUP($B1729,AssetCategories!$A:$E,2,0),"")</f>
        <v/>
      </c>
      <c r="EN1729" t="str">
        <f>IF(NOT(ISBLANK($B1729)),VLOOKUP($B1729,AssetCategories!$A:$E,3,0),"")</f>
        <v/>
      </c>
      <c r="EP1729" s="33" t="str">
        <f t="shared" si="53"/>
        <v/>
      </c>
    </row>
    <row r="1730" spans="16:146" x14ac:dyDescent="0.25">
      <c r="P1730" s="33" t="str" cm="1">
        <f t="array" ref="P1730">IFERROR(SUM(VALUE(_xlfn.TEXTSPLIT(O1730, ";"))), "")</f>
        <v/>
      </c>
      <c r="DO1730" t="str">
        <f t="shared" si="52"/>
        <v/>
      </c>
      <c r="EG1730" s="33" t="str">
        <f>IF(NOT(ISBLANK($B1730)),VLOOKUP($B1730,AssetCategories!$A:$E,5,0),"")</f>
        <v/>
      </c>
      <c r="EH1730" t="str">
        <f>IF(NOT(ISBLANK($B1730)),VLOOKUP($B1730,AssetCategories!$A:$E,4,0),"")</f>
        <v/>
      </c>
      <c r="EM1730" t="str">
        <f>IF(NOT(ISBLANK($B1730)),VLOOKUP($B1730,AssetCategories!$A:$E,2,0),"")</f>
        <v/>
      </c>
      <c r="EN1730" t="str">
        <f>IF(NOT(ISBLANK($B1730)),VLOOKUP($B1730,AssetCategories!$A:$E,3,0),"")</f>
        <v/>
      </c>
      <c r="EP1730" s="33" t="str">
        <f t="shared" si="53"/>
        <v/>
      </c>
    </row>
    <row r="1731" spans="16:146" x14ac:dyDescent="0.25">
      <c r="P1731" s="33" t="str" cm="1">
        <f t="array" ref="P1731">IFERROR(SUM(VALUE(_xlfn.TEXTSPLIT(O1731, ";"))), "")</f>
        <v/>
      </c>
      <c r="DO1731" t="str">
        <f t="shared" si="52"/>
        <v/>
      </c>
      <c r="EG1731" s="33" t="str">
        <f>IF(NOT(ISBLANK($B1731)),VLOOKUP($B1731,AssetCategories!$A:$E,5,0),"")</f>
        <v/>
      </c>
      <c r="EH1731" t="str">
        <f>IF(NOT(ISBLANK($B1731)),VLOOKUP($B1731,AssetCategories!$A:$E,4,0),"")</f>
        <v/>
      </c>
      <c r="EM1731" t="str">
        <f>IF(NOT(ISBLANK($B1731)),VLOOKUP($B1731,AssetCategories!$A:$E,2,0),"")</f>
        <v/>
      </c>
      <c r="EN1731" t="str">
        <f>IF(NOT(ISBLANK($B1731)),VLOOKUP($B1731,AssetCategories!$A:$E,3,0),"")</f>
        <v/>
      </c>
      <c r="EP1731" s="33" t="str">
        <f t="shared" si="53"/>
        <v/>
      </c>
    </row>
    <row r="1732" spans="16:146" x14ac:dyDescent="0.25">
      <c r="P1732" s="33" t="str" cm="1">
        <f t="array" ref="P1732">IFERROR(SUM(VALUE(_xlfn.TEXTSPLIT(O1732, ";"))), "")</f>
        <v/>
      </c>
      <c r="DO1732" t="str">
        <f t="shared" si="52"/>
        <v/>
      </c>
      <c r="EG1732" s="33" t="str">
        <f>IF(NOT(ISBLANK($B1732)),VLOOKUP($B1732,AssetCategories!$A:$E,5,0),"")</f>
        <v/>
      </c>
      <c r="EH1732" t="str">
        <f>IF(NOT(ISBLANK($B1732)),VLOOKUP($B1732,AssetCategories!$A:$E,4,0),"")</f>
        <v/>
      </c>
      <c r="EM1732" t="str">
        <f>IF(NOT(ISBLANK($B1732)),VLOOKUP($B1732,AssetCategories!$A:$E,2,0),"")</f>
        <v/>
      </c>
      <c r="EN1732" t="str">
        <f>IF(NOT(ISBLANK($B1732)),VLOOKUP($B1732,AssetCategories!$A:$E,3,0),"")</f>
        <v/>
      </c>
      <c r="EP1732" s="33" t="str">
        <f t="shared" si="53"/>
        <v/>
      </c>
    </row>
    <row r="1733" spans="16:146" x14ac:dyDescent="0.25">
      <c r="P1733" s="33" t="str" cm="1">
        <f t="array" ref="P1733">IFERROR(SUM(VALUE(_xlfn.TEXTSPLIT(O1733, ";"))), "")</f>
        <v/>
      </c>
      <c r="DO1733" t="str">
        <f t="shared" ref="DO1733:DO1796" si="54">IF(SUM(DE1733:DN1733)=0, "", SUM(DE1733:DN1733))</f>
        <v/>
      </c>
      <c r="EG1733" s="33" t="str">
        <f>IF(NOT(ISBLANK($B1733)),VLOOKUP($B1733,AssetCategories!$A:$E,5,0),"")</f>
        <v/>
      </c>
      <c r="EH1733" t="str">
        <f>IF(NOT(ISBLANK($B1733)),VLOOKUP($B1733,AssetCategories!$A:$E,4,0),"")</f>
        <v/>
      </c>
      <c r="EM1733" t="str">
        <f>IF(NOT(ISBLANK($B1733)),VLOOKUP($B1733,AssetCategories!$A:$E,2,0),"")</f>
        <v/>
      </c>
      <c r="EN1733" t="str">
        <f>IF(NOT(ISBLANK($B1733)),VLOOKUP($B1733,AssetCategories!$A:$E,3,0),"")</f>
        <v/>
      </c>
      <c r="EP1733" s="33" t="str">
        <f t="shared" ref="EP1733:EP1796" si="55">IFERROR(P1733-EO1733, "")</f>
        <v/>
      </c>
    </row>
    <row r="1734" spans="16:146" x14ac:dyDescent="0.25">
      <c r="P1734" s="33" t="str" cm="1">
        <f t="array" ref="P1734">IFERROR(SUM(VALUE(_xlfn.TEXTSPLIT(O1734, ";"))), "")</f>
        <v/>
      </c>
      <c r="DO1734" t="str">
        <f t="shared" si="54"/>
        <v/>
      </c>
      <c r="EG1734" s="33" t="str">
        <f>IF(NOT(ISBLANK($B1734)),VLOOKUP($B1734,AssetCategories!$A:$E,5,0),"")</f>
        <v/>
      </c>
      <c r="EH1734" t="str">
        <f>IF(NOT(ISBLANK($B1734)),VLOOKUP($B1734,AssetCategories!$A:$E,4,0),"")</f>
        <v/>
      </c>
      <c r="EM1734" t="str">
        <f>IF(NOT(ISBLANK($B1734)),VLOOKUP($B1734,AssetCategories!$A:$E,2,0),"")</f>
        <v/>
      </c>
      <c r="EN1734" t="str">
        <f>IF(NOT(ISBLANK($B1734)),VLOOKUP($B1734,AssetCategories!$A:$E,3,0),"")</f>
        <v/>
      </c>
      <c r="EP1734" s="33" t="str">
        <f t="shared" si="55"/>
        <v/>
      </c>
    </row>
    <row r="1735" spans="16:146" x14ac:dyDescent="0.25">
      <c r="P1735" s="33" t="str" cm="1">
        <f t="array" ref="P1735">IFERROR(SUM(VALUE(_xlfn.TEXTSPLIT(O1735, ";"))), "")</f>
        <v/>
      </c>
      <c r="DO1735" t="str">
        <f t="shared" si="54"/>
        <v/>
      </c>
      <c r="EG1735" s="33" t="str">
        <f>IF(NOT(ISBLANK($B1735)),VLOOKUP($B1735,AssetCategories!$A:$E,5,0),"")</f>
        <v/>
      </c>
      <c r="EH1735" t="str">
        <f>IF(NOT(ISBLANK($B1735)),VLOOKUP($B1735,AssetCategories!$A:$E,4,0),"")</f>
        <v/>
      </c>
      <c r="EM1735" t="str">
        <f>IF(NOT(ISBLANK($B1735)),VLOOKUP($B1735,AssetCategories!$A:$E,2,0),"")</f>
        <v/>
      </c>
      <c r="EN1735" t="str">
        <f>IF(NOT(ISBLANK($B1735)),VLOOKUP($B1735,AssetCategories!$A:$E,3,0),"")</f>
        <v/>
      </c>
      <c r="EP1735" s="33" t="str">
        <f t="shared" si="55"/>
        <v/>
      </c>
    </row>
    <row r="1736" spans="16:146" x14ac:dyDescent="0.25">
      <c r="P1736" s="33" t="str" cm="1">
        <f t="array" ref="P1736">IFERROR(SUM(VALUE(_xlfn.TEXTSPLIT(O1736, ";"))), "")</f>
        <v/>
      </c>
      <c r="DO1736" t="str">
        <f t="shared" si="54"/>
        <v/>
      </c>
      <c r="EG1736" s="33" t="str">
        <f>IF(NOT(ISBLANK($B1736)),VLOOKUP($B1736,AssetCategories!$A:$E,5,0),"")</f>
        <v/>
      </c>
      <c r="EH1736" t="str">
        <f>IF(NOT(ISBLANK($B1736)),VLOOKUP($B1736,AssetCategories!$A:$E,4,0),"")</f>
        <v/>
      </c>
      <c r="EM1736" t="str">
        <f>IF(NOT(ISBLANK($B1736)),VLOOKUP($B1736,AssetCategories!$A:$E,2,0),"")</f>
        <v/>
      </c>
      <c r="EN1736" t="str">
        <f>IF(NOT(ISBLANK($B1736)),VLOOKUP($B1736,AssetCategories!$A:$E,3,0),"")</f>
        <v/>
      </c>
      <c r="EP1736" s="33" t="str">
        <f t="shared" si="55"/>
        <v/>
      </c>
    </row>
    <row r="1737" spans="16:146" x14ac:dyDescent="0.25">
      <c r="P1737" s="33" t="str" cm="1">
        <f t="array" ref="P1737">IFERROR(SUM(VALUE(_xlfn.TEXTSPLIT(O1737, ";"))), "")</f>
        <v/>
      </c>
      <c r="DO1737" t="str">
        <f t="shared" si="54"/>
        <v/>
      </c>
      <c r="EG1737" s="33" t="str">
        <f>IF(NOT(ISBLANK($B1737)),VLOOKUP($B1737,AssetCategories!$A:$E,5,0),"")</f>
        <v/>
      </c>
      <c r="EH1737" t="str">
        <f>IF(NOT(ISBLANK($B1737)),VLOOKUP($B1737,AssetCategories!$A:$E,4,0),"")</f>
        <v/>
      </c>
      <c r="EM1737" t="str">
        <f>IF(NOT(ISBLANK($B1737)),VLOOKUP($B1737,AssetCategories!$A:$E,2,0),"")</f>
        <v/>
      </c>
      <c r="EN1737" t="str">
        <f>IF(NOT(ISBLANK($B1737)),VLOOKUP($B1737,AssetCategories!$A:$E,3,0),"")</f>
        <v/>
      </c>
      <c r="EP1737" s="33" t="str">
        <f t="shared" si="55"/>
        <v/>
      </c>
    </row>
    <row r="1738" spans="16:146" x14ac:dyDescent="0.25">
      <c r="P1738" s="33" t="str" cm="1">
        <f t="array" ref="P1738">IFERROR(SUM(VALUE(_xlfn.TEXTSPLIT(O1738, ";"))), "")</f>
        <v/>
      </c>
      <c r="DO1738" t="str">
        <f t="shared" si="54"/>
        <v/>
      </c>
      <c r="EG1738" s="33" t="str">
        <f>IF(NOT(ISBLANK($B1738)),VLOOKUP($B1738,AssetCategories!$A:$E,5,0),"")</f>
        <v/>
      </c>
      <c r="EH1738" t="str">
        <f>IF(NOT(ISBLANK($B1738)),VLOOKUP($B1738,AssetCategories!$A:$E,4,0),"")</f>
        <v/>
      </c>
      <c r="EM1738" t="str">
        <f>IF(NOT(ISBLANK($B1738)),VLOOKUP($B1738,AssetCategories!$A:$E,2,0),"")</f>
        <v/>
      </c>
      <c r="EN1738" t="str">
        <f>IF(NOT(ISBLANK($B1738)),VLOOKUP($B1738,AssetCategories!$A:$E,3,0),"")</f>
        <v/>
      </c>
      <c r="EP1738" s="33" t="str">
        <f t="shared" si="55"/>
        <v/>
      </c>
    </row>
    <row r="1739" spans="16:146" x14ac:dyDescent="0.25">
      <c r="P1739" s="33" t="str" cm="1">
        <f t="array" ref="P1739">IFERROR(SUM(VALUE(_xlfn.TEXTSPLIT(O1739, ";"))), "")</f>
        <v/>
      </c>
      <c r="DO1739" t="str">
        <f t="shared" si="54"/>
        <v/>
      </c>
      <c r="EG1739" s="33" t="str">
        <f>IF(NOT(ISBLANK($B1739)),VLOOKUP($B1739,AssetCategories!$A:$E,5,0),"")</f>
        <v/>
      </c>
      <c r="EH1739" t="str">
        <f>IF(NOT(ISBLANK($B1739)),VLOOKUP($B1739,AssetCategories!$A:$E,4,0),"")</f>
        <v/>
      </c>
      <c r="EM1739" t="str">
        <f>IF(NOT(ISBLANK($B1739)),VLOOKUP($B1739,AssetCategories!$A:$E,2,0),"")</f>
        <v/>
      </c>
      <c r="EN1739" t="str">
        <f>IF(NOT(ISBLANK($B1739)),VLOOKUP($B1739,AssetCategories!$A:$E,3,0),"")</f>
        <v/>
      </c>
      <c r="EP1739" s="33" t="str">
        <f t="shared" si="55"/>
        <v/>
      </c>
    </row>
    <row r="1740" spans="16:146" x14ac:dyDescent="0.25">
      <c r="P1740" s="33" t="str" cm="1">
        <f t="array" ref="P1740">IFERROR(SUM(VALUE(_xlfn.TEXTSPLIT(O1740, ";"))), "")</f>
        <v/>
      </c>
      <c r="DO1740" t="str">
        <f t="shared" si="54"/>
        <v/>
      </c>
      <c r="EG1740" s="33" t="str">
        <f>IF(NOT(ISBLANK($B1740)),VLOOKUP($B1740,AssetCategories!$A:$E,5,0),"")</f>
        <v/>
      </c>
      <c r="EH1740" t="str">
        <f>IF(NOT(ISBLANK($B1740)),VLOOKUP($B1740,AssetCategories!$A:$E,4,0),"")</f>
        <v/>
      </c>
      <c r="EM1740" t="str">
        <f>IF(NOT(ISBLANK($B1740)),VLOOKUP($B1740,AssetCategories!$A:$E,2,0),"")</f>
        <v/>
      </c>
      <c r="EN1740" t="str">
        <f>IF(NOT(ISBLANK($B1740)),VLOOKUP($B1740,AssetCategories!$A:$E,3,0),"")</f>
        <v/>
      </c>
      <c r="EP1740" s="33" t="str">
        <f t="shared" si="55"/>
        <v/>
      </c>
    </row>
    <row r="1741" spans="16:146" x14ac:dyDescent="0.25">
      <c r="P1741" s="33" t="str" cm="1">
        <f t="array" ref="P1741">IFERROR(SUM(VALUE(_xlfn.TEXTSPLIT(O1741, ";"))), "")</f>
        <v/>
      </c>
      <c r="DO1741" t="str">
        <f t="shared" si="54"/>
        <v/>
      </c>
      <c r="EG1741" s="33" t="str">
        <f>IF(NOT(ISBLANK($B1741)),VLOOKUP($B1741,AssetCategories!$A:$E,5,0),"")</f>
        <v/>
      </c>
      <c r="EH1741" t="str">
        <f>IF(NOT(ISBLANK($B1741)),VLOOKUP($B1741,AssetCategories!$A:$E,4,0),"")</f>
        <v/>
      </c>
      <c r="EM1741" t="str">
        <f>IF(NOT(ISBLANK($B1741)),VLOOKUP($B1741,AssetCategories!$A:$E,2,0),"")</f>
        <v/>
      </c>
      <c r="EN1741" t="str">
        <f>IF(NOT(ISBLANK($B1741)),VLOOKUP($B1741,AssetCategories!$A:$E,3,0),"")</f>
        <v/>
      </c>
      <c r="EP1741" s="33" t="str">
        <f t="shared" si="55"/>
        <v/>
      </c>
    </row>
    <row r="1742" spans="16:146" x14ac:dyDescent="0.25">
      <c r="P1742" s="33" t="str" cm="1">
        <f t="array" ref="P1742">IFERROR(SUM(VALUE(_xlfn.TEXTSPLIT(O1742, ";"))), "")</f>
        <v/>
      </c>
      <c r="DO1742" t="str">
        <f t="shared" si="54"/>
        <v/>
      </c>
      <c r="EG1742" s="33" t="str">
        <f>IF(NOT(ISBLANK($B1742)),VLOOKUP($B1742,AssetCategories!$A:$E,5,0),"")</f>
        <v/>
      </c>
      <c r="EH1742" t="str">
        <f>IF(NOT(ISBLANK($B1742)),VLOOKUP($B1742,AssetCategories!$A:$E,4,0),"")</f>
        <v/>
      </c>
      <c r="EM1742" t="str">
        <f>IF(NOT(ISBLANK($B1742)),VLOOKUP($B1742,AssetCategories!$A:$E,2,0),"")</f>
        <v/>
      </c>
      <c r="EN1742" t="str">
        <f>IF(NOT(ISBLANK($B1742)),VLOOKUP($B1742,AssetCategories!$A:$E,3,0),"")</f>
        <v/>
      </c>
      <c r="EP1742" s="33" t="str">
        <f t="shared" si="55"/>
        <v/>
      </c>
    </row>
    <row r="1743" spans="16:146" x14ac:dyDescent="0.25">
      <c r="P1743" s="33" t="str" cm="1">
        <f t="array" ref="P1743">IFERROR(SUM(VALUE(_xlfn.TEXTSPLIT(O1743, ";"))), "")</f>
        <v/>
      </c>
      <c r="DO1743" t="str">
        <f t="shared" si="54"/>
        <v/>
      </c>
      <c r="EG1743" s="33" t="str">
        <f>IF(NOT(ISBLANK($B1743)),VLOOKUP($B1743,AssetCategories!$A:$E,5,0),"")</f>
        <v/>
      </c>
      <c r="EH1743" t="str">
        <f>IF(NOT(ISBLANK($B1743)),VLOOKUP($B1743,AssetCategories!$A:$E,4,0),"")</f>
        <v/>
      </c>
      <c r="EM1743" t="str">
        <f>IF(NOT(ISBLANK($B1743)),VLOOKUP($B1743,AssetCategories!$A:$E,2,0),"")</f>
        <v/>
      </c>
      <c r="EN1743" t="str">
        <f>IF(NOT(ISBLANK($B1743)),VLOOKUP($B1743,AssetCategories!$A:$E,3,0),"")</f>
        <v/>
      </c>
      <c r="EP1743" s="33" t="str">
        <f t="shared" si="55"/>
        <v/>
      </c>
    </row>
    <row r="1744" spans="16:146" x14ac:dyDescent="0.25">
      <c r="P1744" s="33" t="str" cm="1">
        <f t="array" ref="P1744">IFERROR(SUM(VALUE(_xlfn.TEXTSPLIT(O1744, ";"))), "")</f>
        <v/>
      </c>
      <c r="DO1744" t="str">
        <f t="shared" si="54"/>
        <v/>
      </c>
      <c r="EG1744" s="33" t="str">
        <f>IF(NOT(ISBLANK($B1744)),VLOOKUP($B1744,AssetCategories!$A:$E,5,0),"")</f>
        <v/>
      </c>
      <c r="EH1744" t="str">
        <f>IF(NOT(ISBLANK($B1744)),VLOOKUP($B1744,AssetCategories!$A:$E,4,0),"")</f>
        <v/>
      </c>
      <c r="EM1744" t="str">
        <f>IF(NOT(ISBLANK($B1744)),VLOOKUP($B1744,AssetCategories!$A:$E,2,0),"")</f>
        <v/>
      </c>
      <c r="EN1744" t="str">
        <f>IF(NOT(ISBLANK($B1744)),VLOOKUP($B1744,AssetCategories!$A:$E,3,0),"")</f>
        <v/>
      </c>
      <c r="EP1744" s="33" t="str">
        <f t="shared" si="55"/>
        <v/>
      </c>
    </row>
    <row r="1745" spans="16:146" x14ac:dyDescent="0.25">
      <c r="P1745" s="33" t="str" cm="1">
        <f t="array" ref="P1745">IFERROR(SUM(VALUE(_xlfn.TEXTSPLIT(O1745, ";"))), "")</f>
        <v/>
      </c>
      <c r="DO1745" t="str">
        <f t="shared" si="54"/>
        <v/>
      </c>
      <c r="EG1745" s="33" t="str">
        <f>IF(NOT(ISBLANK($B1745)),VLOOKUP($B1745,AssetCategories!$A:$E,5,0),"")</f>
        <v/>
      </c>
      <c r="EH1745" t="str">
        <f>IF(NOT(ISBLANK($B1745)),VLOOKUP($B1745,AssetCategories!$A:$E,4,0),"")</f>
        <v/>
      </c>
      <c r="EM1745" t="str">
        <f>IF(NOT(ISBLANK($B1745)),VLOOKUP($B1745,AssetCategories!$A:$E,2,0),"")</f>
        <v/>
      </c>
      <c r="EN1745" t="str">
        <f>IF(NOT(ISBLANK($B1745)),VLOOKUP($B1745,AssetCategories!$A:$E,3,0),"")</f>
        <v/>
      </c>
      <c r="EP1745" s="33" t="str">
        <f t="shared" si="55"/>
        <v/>
      </c>
    </row>
    <row r="1746" spans="16:146" x14ac:dyDescent="0.25">
      <c r="P1746" s="33" t="str" cm="1">
        <f t="array" ref="P1746">IFERROR(SUM(VALUE(_xlfn.TEXTSPLIT(O1746, ";"))), "")</f>
        <v/>
      </c>
      <c r="DO1746" t="str">
        <f t="shared" si="54"/>
        <v/>
      </c>
      <c r="EG1746" s="33" t="str">
        <f>IF(NOT(ISBLANK($B1746)),VLOOKUP($B1746,AssetCategories!$A:$E,5,0),"")</f>
        <v/>
      </c>
      <c r="EH1746" t="str">
        <f>IF(NOT(ISBLANK($B1746)),VLOOKUP($B1746,AssetCategories!$A:$E,4,0),"")</f>
        <v/>
      </c>
      <c r="EM1746" t="str">
        <f>IF(NOT(ISBLANK($B1746)),VLOOKUP($B1746,AssetCategories!$A:$E,2,0),"")</f>
        <v/>
      </c>
      <c r="EN1746" t="str">
        <f>IF(NOT(ISBLANK($B1746)),VLOOKUP($B1746,AssetCategories!$A:$E,3,0),"")</f>
        <v/>
      </c>
      <c r="EP1746" s="33" t="str">
        <f t="shared" si="55"/>
        <v/>
      </c>
    </row>
    <row r="1747" spans="16:146" x14ac:dyDescent="0.25">
      <c r="P1747" s="33" t="str" cm="1">
        <f t="array" ref="P1747">IFERROR(SUM(VALUE(_xlfn.TEXTSPLIT(O1747, ";"))), "")</f>
        <v/>
      </c>
      <c r="DO1747" t="str">
        <f t="shared" si="54"/>
        <v/>
      </c>
      <c r="EG1747" s="33" t="str">
        <f>IF(NOT(ISBLANK($B1747)),VLOOKUP($B1747,AssetCategories!$A:$E,5,0),"")</f>
        <v/>
      </c>
      <c r="EH1747" t="str">
        <f>IF(NOT(ISBLANK($B1747)),VLOOKUP($B1747,AssetCategories!$A:$E,4,0),"")</f>
        <v/>
      </c>
      <c r="EM1747" t="str">
        <f>IF(NOT(ISBLANK($B1747)),VLOOKUP($B1747,AssetCategories!$A:$E,2,0),"")</f>
        <v/>
      </c>
      <c r="EN1747" t="str">
        <f>IF(NOT(ISBLANK($B1747)),VLOOKUP($B1747,AssetCategories!$A:$E,3,0),"")</f>
        <v/>
      </c>
      <c r="EP1747" s="33" t="str">
        <f t="shared" si="55"/>
        <v/>
      </c>
    </row>
    <row r="1748" spans="16:146" x14ac:dyDescent="0.25">
      <c r="P1748" s="33" t="str" cm="1">
        <f t="array" ref="P1748">IFERROR(SUM(VALUE(_xlfn.TEXTSPLIT(O1748, ";"))), "")</f>
        <v/>
      </c>
      <c r="DO1748" t="str">
        <f t="shared" si="54"/>
        <v/>
      </c>
      <c r="EG1748" s="33" t="str">
        <f>IF(NOT(ISBLANK($B1748)),VLOOKUP($B1748,AssetCategories!$A:$E,5,0),"")</f>
        <v/>
      </c>
      <c r="EH1748" t="str">
        <f>IF(NOT(ISBLANK($B1748)),VLOOKUP($B1748,AssetCategories!$A:$E,4,0),"")</f>
        <v/>
      </c>
      <c r="EM1748" t="str">
        <f>IF(NOT(ISBLANK($B1748)),VLOOKUP($B1748,AssetCategories!$A:$E,2,0),"")</f>
        <v/>
      </c>
      <c r="EN1748" t="str">
        <f>IF(NOT(ISBLANK($B1748)),VLOOKUP($B1748,AssetCategories!$A:$E,3,0),"")</f>
        <v/>
      </c>
      <c r="EP1748" s="33" t="str">
        <f t="shared" si="55"/>
        <v/>
      </c>
    </row>
    <row r="1749" spans="16:146" x14ac:dyDescent="0.25">
      <c r="P1749" s="33" t="str" cm="1">
        <f t="array" ref="P1749">IFERROR(SUM(VALUE(_xlfn.TEXTSPLIT(O1749, ";"))), "")</f>
        <v/>
      </c>
      <c r="DO1749" t="str">
        <f t="shared" si="54"/>
        <v/>
      </c>
      <c r="EG1749" s="33" t="str">
        <f>IF(NOT(ISBLANK($B1749)),VLOOKUP($B1749,AssetCategories!$A:$E,5,0),"")</f>
        <v/>
      </c>
      <c r="EH1749" t="str">
        <f>IF(NOT(ISBLANK($B1749)),VLOOKUP($B1749,AssetCategories!$A:$E,4,0),"")</f>
        <v/>
      </c>
      <c r="EM1749" t="str">
        <f>IF(NOT(ISBLANK($B1749)),VLOOKUP($B1749,AssetCategories!$A:$E,2,0),"")</f>
        <v/>
      </c>
      <c r="EN1749" t="str">
        <f>IF(NOT(ISBLANK($B1749)),VLOOKUP($B1749,AssetCategories!$A:$E,3,0),"")</f>
        <v/>
      </c>
      <c r="EP1749" s="33" t="str">
        <f t="shared" si="55"/>
        <v/>
      </c>
    </row>
    <row r="1750" spans="16:146" x14ac:dyDescent="0.25">
      <c r="P1750" s="33" t="str" cm="1">
        <f t="array" ref="P1750">IFERROR(SUM(VALUE(_xlfn.TEXTSPLIT(O1750, ";"))), "")</f>
        <v/>
      </c>
      <c r="DO1750" t="str">
        <f t="shared" si="54"/>
        <v/>
      </c>
      <c r="EG1750" s="33" t="str">
        <f>IF(NOT(ISBLANK($B1750)),VLOOKUP($B1750,AssetCategories!$A:$E,5,0),"")</f>
        <v/>
      </c>
      <c r="EH1750" t="str">
        <f>IF(NOT(ISBLANK($B1750)),VLOOKUP($B1750,AssetCategories!$A:$E,4,0),"")</f>
        <v/>
      </c>
      <c r="EM1750" t="str">
        <f>IF(NOT(ISBLANK($B1750)),VLOOKUP($B1750,AssetCategories!$A:$E,2,0),"")</f>
        <v/>
      </c>
      <c r="EN1750" t="str">
        <f>IF(NOT(ISBLANK($B1750)),VLOOKUP($B1750,AssetCategories!$A:$E,3,0),"")</f>
        <v/>
      </c>
      <c r="EP1750" s="33" t="str">
        <f t="shared" si="55"/>
        <v/>
      </c>
    </row>
    <row r="1751" spans="16:146" x14ac:dyDescent="0.25">
      <c r="P1751" s="33" t="str" cm="1">
        <f t="array" ref="P1751">IFERROR(SUM(VALUE(_xlfn.TEXTSPLIT(O1751, ";"))), "")</f>
        <v/>
      </c>
      <c r="DO1751" t="str">
        <f t="shared" si="54"/>
        <v/>
      </c>
      <c r="EG1751" s="33" t="str">
        <f>IF(NOT(ISBLANK($B1751)),VLOOKUP($B1751,AssetCategories!$A:$E,5,0),"")</f>
        <v/>
      </c>
      <c r="EH1751" t="str">
        <f>IF(NOT(ISBLANK($B1751)),VLOOKUP($B1751,AssetCategories!$A:$E,4,0),"")</f>
        <v/>
      </c>
      <c r="EM1751" t="str">
        <f>IF(NOT(ISBLANK($B1751)),VLOOKUP($B1751,AssetCategories!$A:$E,2,0),"")</f>
        <v/>
      </c>
      <c r="EN1751" t="str">
        <f>IF(NOT(ISBLANK($B1751)),VLOOKUP($B1751,AssetCategories!$A:$E,3,0),"")</f>
        <v/>
      </c>
      <c r="EP1751" s="33" t="str">
        <f t="shared" si="55"/>
        <v/>
      </c>
    </row>
    <row r="1752" spans="16:146" x14ac:dyDescent="0.25">
      <c r="P1752" s="33" t="str" cm="1">
        <f t="array" ref="P1752">IFERROR(SUM(VALUE(_xlfn.TEXTSPLIT(O1752, ";"))), "")</f>
        <v/>
      </c>
      <c r="DO1752" t="str">
        <f t="shared" si="54"/>
        <v/>
      </c>
      <c r="EG1752" s="33" t="str">
        <f>IF(NOT(ISBLANK($B1752)),VLOOKUP($B1752,AssetCategories!$A:$E,5,0),"")</f>
        <v/>
      </c>
      <c r="EH1752" t="str">
        <f>IF(NOT(ISBLANK($B1752)),VLOOKUP($B1752,AssetCategories!$A:$E,4,0),"")</f>
        <v/>
      </c>
      <c r="EM1752" t="str">
        <f>IF(NOT(ISBLANK($B1752)),VLOOKUP($B1752,AssetCategories!$A:$E,2,0),"")</f>
        <v/>
      </c>
      <c r="EN1752" t="str">
        <f>IF(NOT(ISBLANK($B1752)),VLOOKUP($B1752,AssetCategories!$A:$E,3,0),"")</f>
        <v/>
      </c>
      <c r="EP1752" s="33" t="str">
        <f t="shared" si="55"/>
        <v/>
      </c>
    </row>
    <row r="1753" spans="16:146" x14ac:dyDescent="0.25">
      <c r="P1753" s="33" t="str" cm="1">
        <f t="array" ref="P1753">IFERROR(SUM(VALUE(_xlfn.TEXTSPLIT(O1753, ";"))), "")</f>
        <v/>
      </c>
      <c r="DO1753" t="str">
        <f t="shared" si="54"/>
        <v/>
      </c>
      <c r="EG1753" s="33" t="str">
        <f>IF(NOT(ISBLANK($B1753)),VLOOKUP($B1753,AssetCategories!$A:$E,5,0),"")</f>
        <v/>
      </c>
      <c r="EH1753" t="str">
        <f>IF(NOT(ISBLANK($B1753)),VLOOKUP($B1753,AssetCategories!$A:$E,4,0),"")</f>
        <v/>
      </c>
      <c r="EM1753" t="str">
        <f>IF(NOT(ISBLANK($B1753)),VLOOKUP($B1753,AssetCategories!$A:$E,2,0),"")</f>
        <v/>
      </c>
      <c r="EN1753" t="str">
        <f>IF(NOT(ISBLANK($B1753)),VLOOKUP($B1753,AssetCategories!$A:$E,3,0),"")</f>
        <v/>
      </c>
      <c r="EP1753" s="33" t="str">
        <f t="shared" si="55"/>
        <v/>
      </c>
    </row>
    <row r="1754" spans="16:146" x14ac:dyDescent="0.25">
      <c r="P1754" s="33" t="str" cm="1">
        <f t="array" ref="P1754">IFERROR(SUM(VALUE(_xlfn.TEXTSPLIT(O1754, ";"))), "")</f>
        <v/>
      </c>
      <c r="DO1754" t="str">
        <f t="shared" si="54"/>
        <v/>
      </c>
      <c r="EG1754" s="33" t="str">
        <f>IF(NOT(ISBLANK($B1754)),VLOOKUP($B1754,AssetCategories!$A:$E,5,0),"")</f>
        <v/>
      </c>
      <c r="EH1754" t="str">
        <f>IF(NOT(ISBLANK($B1754)),VLOOKUP($B1754,AssetCategories!$A:$E,4,0),"")</f>
        <v/>
      </c>
      <c r="EM1754" t="str">
        <f>IF(NOT(ISBLANK($B1754)),VLOOKUP($B1754,AssetCategories!$A:$E,2,0),"")</f>
        <v/>
      </c>
      <c r="EN1754" t="str">
        <f>IF(NOT(ISBLANK($B1754)),VLOOKUP($B1754,AssetCategories!$A:$E,3,0),"")</f>
        <v/>
      </c>
      <c r="EP1754" s="33" t="str">
        <f t="shared" si="55"/>
        <v/>
      </c>
    </row>
    <row r="1755" spans="16:146" x14ac:dyDescent="0.25">
      <c r="P1755" s="33" t="str" cm="1">
        <f t="array" ref="P1755">IFERROR(SUM(VALUE(_xlfn.TEXTSPLIT(O1755, ";"))), "")</f>
        <v/>
      </c>
      <c r="DO1755" t="str">
        <f t="shared" si="54"/>
        <v/>
      </c>
      <c r="EG1755" s="33" t="str">
        <f>IF(NOT(ISBLANK($B1755)),VLOOKUP($B1755,AssetCategories!$A:$E,5,0),"")</f>
        <v/>
      </c>
      <c r="EH1755" t="str">
        <f>IF(NOT(ISBLANK($B1755)),VLOOKUP($B1755,AssetCategories!$A:$E,4,0),"")</f>
        <v/>
      </c>
      <c r="EM1755" t="str">
        <f>IF(NOT(ISBLANK($B1755)),VLOOKUP($B1755,AssetCategories!$A:$E,2,0),"")</f>
        <v/>
      </c>
      <c r="EN1755" t="str">
        <f>IF(NOT(ISBLANK($B1755)),VLOOKUP($B1755,AssetCategories!$A:$E,3,0),"")</f>
        <v/>
      </c>
      <c r="EP1755" s="33" t="str">
        <f t="shared" si="55"/>
        <v/>
      </c>
    </row>
    <row r="1756" spans="16:146" x14ac:dyDescent="0.25">
      <c r="P1756" s="33" t="str" cm="1">
        <f t="array" ref="P1756">IFERROR(SUM(VALUE(_xlfn.TEXTSPLIT(O1756, ";"))), "")</f>
        <v/>
      </c>
      <c r="DO1756" t="str">
        <f t="shared" si="54"/>
        <v/>
      </c>
      <c r="EG1756" s="33" t="str">
        <f>IF(NOT(ISBLANK($B1756)),VLOOKUP($B1756,AssetCategories!$A:$E,5,0),"")</f>
        <v/>
      </c>
      <c r="EH1756" t="str">
        <f>IF(NOT(ISBLANK($B1756)),VLOOKUP($B1756,AssetCategories!$A:$E,4,0),"")</f>
        <v/>
      </c>
      <c r="EM1756" t="str">
        <f>IF(NOT(ISBLANK($B1756)),VLOOKUP($B1756,AssetCategories!$A:$E,2,0),"")</f>
        <v/>
      </c>
      <c r="EN1756" t="str">
        <f>IF(NOT(ISBLANK($B1756)),VLOOKUP($B1756,AssetCategories!$A:$E,3,0),"")</f>
        <v/>
      </c>
      <c r="EP1756" s="33" t="str">
        <f t="shared" si="55"/>
        <v/>
      </c>
    </row>
    <row r="1757" spans="16:146" x14ac:dyDescent="0.25">
      <c r="P1757" s="33" t="str" cm="1">
        <f t="array" ref="P1757">IFERROR(SUM(VALUE(_xlfn.TEXTSPLIT(O1757, ";"))), "")</f>
        <v/>
      </c>
      <c r="DO1757" t="str">
        <f t="shared" si="54"/>
        <v/>
      </c>
      <c r="EG1757" s="33" t="str">
        <f>IF(NOT(ISBLANK($B1757)),VLOOKUP($B1757,AssetCategories!$A:$E,5,0),"")</f>
        <v/>
      </c>
      <c r="EH1757" t="str">
        <f>IF(NOT(ISBLANK($B1757)),VLOOKUP($B1757,AssetCategories!$A:$E,4,0),"")</f>
        <v/>
      </c>
      <c r="EM1757" t="str">
        <f>IF(NOT(ISBLANK($B1757)),VLOOKUP($B1757,AssetCategories!$A:$E,2,0),"")</f>
        <v/>
      </c>
      <c r="EN1757" t="str">
        <f>IF(NOT(ISBLANK($B1757)),VLOOKUP($B1757,AssetCategories!$A:$E,3,0),"")</f>
        <v/>
      </c>
      <c r="EP1757" s="33" t="str">
        <f t="shared" si="55"/>
        <v/>
      </c>
    </row>
    <row r="1758" spans="16:146" x14ac:dyDescent="0.25">
      <c r="P1758" s="33" t="str" cm="1">
        <f t="array" ref="P1758">IFERROR(SUM(VALUE(_xlfn.TEXTSPLIT(O1758, ";"))), "")</f>
        <v/>
      </c>
      <c r="DO1758" t="str">
        <f t="shared" si="54"/>
        <v/>
      </c>
      <c r="EG1758" s="33" t="str">
        <f>IF(NOT(ISBLANK($B1758)),VLOOKUP($B1758,AssetCategories!$A:$E,5,0),"")</f>
        <v/>
      </c>
      <c r="EH1758" t="str">
        <f>IF(NOT(ISBLANK($B1758)),VLOOKUP($B1758,AssetCategories!$A:$E,4,0),"")</f>
        <v/>
      </c>
      <c r="EM1758" t="str">
        <f>IF(NOT(ISBLANK($B1758)),VLOOKUP($B1758,AssetCategories!$A:$E,2,0),"")</f>
        <v/>
      </c>
      <c r="EN1758" t="str">
        <f>IF(NOT(ISBLANK($B1758)),VLOOKUP($B1758,AssetCategories!$A:$E,3,0),"")</f>
        <v/>
      </c>
      <c r="EP1758" s="33" t="str">
        <f t="shared" si="55"/>
        <v/>
      </c>
    </row>
    <row r="1759" spans="16:146" x14ac:dyDescent="0.25">
      <c r="P1759" s="33" t="str" cm="1">
        <f t="array" ref="P1759">IFERROR(SUM(VALUE(_xlfn.TEXTSPLIT(O1759, ";"))), "")</f>
        <v/>
      </c>
      <c r="DO1759" t="str">
        <f t="shared" si="54"/>
        <v/>
      </c>
      <c r="EG1759" s="33" t="str">
        <f>IF(NOT(ISBLANK($B1759)),VLOOKUP($B1759,AssetCategories!$A:$E,5,0),"")</f>
        <v/>
      </c>
      <c r="EH1759" t="str">
        <f>IF(NOT(ISBLANK($B1759)),VLOOKUP($B1759,AssetCategories!$A:$E,4,0),"")</f>
        <v/>
      </c>
      <c r="EM1759" t="str">
        <f>IF(NOT(ISBLANK($B1759)),VLOOKUP($B1759,AssetCategories!$A:$E,2,0),"")</f>
        <v/>
      </c>
      <c r="EN1759" t="str">
        <f>IF(NOT(ISBLANK($B1759)),VLOOKUP($B1759,AssetCategories!$A:$E,3,0),"")</f>
        <v/>
      </c>
      <c r="EP1759" s="33" t="str">
        <f t="shared" si="55"/>
        <v/>
      </c>
    </row>
    <row r="1760" spans="16:146" x14ac:dyDescent="0.25">
      <c r="P1760" s="33" t="str" cm="1">
        <f t="array" ref="P1760">IFERROR(SUM(VALUE(_xlfn.TEXTSPLIT(O1760, ";"))), "")</f>
        <v/>
      </c>
      <c r="DO1760" t="str">
        <f t="shared" si="54"/>
        <v/>
      </c>
      <c r="EG1760" s="33" t="str">
        <f>IF(NOT(ISBLANK($B1760)),VLOOKUP($B1760,AssetCategories!$A:$E,5,0),"")</f>
        <v/>
      </c>
      <c r="EH1760" t="str">
        <f>IF(NOT(ISBLANK($B1760)),VLOOKUP($B1760,AssetCategories!$A:$E,4,0),"")</f>
        <v/>
      </c>
      <c r="EM1760" t="str">
        <f>IF(NOT(ISBLANK($B1760)),VLOOKUP($B1760,AssetCategories!$A:$E,2,0),"")</f>
        <v/>
      </c>
      <c r="EN1760" t="str">
        <f>IF(NOT(ISBLANK($B1760)),VLOOKUP($B1760,AssetCategories!$A:$E,3,0),"")</f>
        <v/>
      </c>
      <c r="EP1760" s="33" t="str">
        <f t="shared" si="55"/>
        <v/>
      </c>
    </row>
    <row r="1761" spans="16:146" x14ac:dyDescent="0.25">
      <c r="P1761" s="33" t="str" cm="1">
        <f t="array" ref="P1761">IFERROR(SUM(VALUE(_xlfn.TEXTSPLIT(O1761, ";"))), "")</f>
        <v/>
      </c>
      <c r="DO1761" t="str">
        <f t="shared" si="54"/>
        <v/>
      </c>
      <c r="EG1761" s="33" t="str">
        <f>IF(NOT(ISBLANK($B1761)),VLOOKUP($B1761,AssetCategories!$A:$E,5,0),"")</f>
        <v/>
      </c>
      <c r="EH1761" t="str">
        <f>IF(NOT(ISBLANK($B1761)),VLOOKUP($B1761,AssetCategories!$A:$E,4,0),"")</f>
        <v/>
      </c>
      <c r="EM1761" t="str">
        <f>IF(NOT(ISBLANK($B1761)),VLOOKUP($B1761,AssetCategories!$A:$E,2,0),"")</f>
        <v/>
      </c>
      <c r="EN1761" t="str">
        <f>IF(NOT(ISBLANK($B1761)),VLOOKUP($B1761,AssetCategories!$A:$E,3,0),"")</f>
        <v/>
      </c>
      <c r="EP1761" s="33" t="str">
        <f t="shared" si="55"/>
        <v/>
      </c>
    </row>
    <row r="1762" spans="16:146" x14ac:dyDescent="0.25">
      <c r="P1762" s="33" t="str" cm="1">
        <f t="array" ref="P1762">IFERROR(SUM(VALUE(_xlfn.TEXTSPLIT(O1762, ";"))), "")</f>
        <v/>
      </c>
      <c r="DO1762" t="str">
        <f t="shared" si="54"/>
        <v/>
      </c>
      <c r="EG1762" s="33" t="str">
        <f>IF(NOT(ISBLANK($B1762)),VLOOKUP($B1762,AssetCategories!$A:$E,5,0),"")</f>
        <v/>
      </c>
      <c r="EH1762" t="str">
        <f>IF(NOT(ISBLANK($B1762)),VLOOKUP($B1762,AssetCategories!$A:$E,4,0),"")</f>
        <v/>
      </c>
      <c r="EM1762" t="str">
        <f>IF(NOT(ISBLANK($B1762)),VLOOKUP($B1762,AssetCategories!$A:$E,2,0),"")</f>
        <v/>
      </c>
      <c r="EN1762" t="str">
        <f>IF(NOT(ISBLANK($B1762)),VLOOKUP($B1762,AssetCategories!$A:$E,3,0),"")</f>
        <v/>
      </c>
      <c r="EP1762" s="33" t="str">
        <f t="shared" si="55"/>
        <v/>
      </c>
    </row>
    <row r="1763" spans="16:146" x14ac:dyDescent="0.25">
      <c r="P1763" s="33" t="str" cm="1">
        <f t="array" ref="P1763">IFERROR(SUM(VALUE(_xlfn.TEXTSPLIT(O1763, ";"))), "")</f>
        <v/>
      </c>
      <c r="DO1763" t="str">
        <f t="shared" si="54"/>
        <v/>
      </c>
      <c r="EG1763" s="33" t="str">
        <f>IF(NOT(ISBLANK($B1763)),VLOOKUP($B1763,AssetCategories!$A:$E,5,0),"")</f>
        <v/>
      </c>
      <c r="EH1763" t="str">
        <f>IF(NOT(ISBLANK($B1763)),VLOOKUP($B1763,AssetCategories!$A:$E,4,0),"")</f>
        <v/>
      </c>
      <c r="EM1763" t="str">
        <f>IF(NOT(ISBLANK($B1763)),VLOOKUP($B1763,AssetCategories!$A:$E,2,0),"")</f>
        <v/>
      </c>
      <c r="EN1763" t="str">
        <f>IF(NOT(ISBLANK($B1763)),VLOOKUP($B1763,AssetCategories!$A:$E,3,0),"")</f>
        <v/>
      </c>
      <c r="EP1763" s="33" t="str">
        <f t="shared" si="55"/>
        <v/>
      </c>
    </row>
    <row r="1764" spans="16:146" x14ac:dyDescent="0.25">
      <c r="P1764" s="33" t="str" cm="1">
        <f t="array" ref="P1764">IFERROR(SUM(VALUE(_xlfn.TEXTSPLIT(O1764, ";"))), "")</f>
        <v/>
      </c>
      <c r="DO1764" t="str">
        <f t="shared" si="54"/>
        <v/>
      </c>
      <c r="EG1764" s="33" t="str">
        <f>IF(NOT(ISBLANK($B1764)),VLOOKUP($B1764,AssetCategories!$A:$E,5,0),"")</f>
        <v/>
      </c>
      <c r="EH1764" t="str">
        <f>IF(NOT(ISBLANK($B1764)),VLOOKUP($B1764,AssetCategories!$A:$E,4,0),"")</f>
        <v/>
      </c>
      <c r="EM1764" t="str">
        <f>IF(NOT(ISBLANK($B1764)),VLOOKUP($B1764,AssetCategories!$A:$E,2,0),"")</f>
        <v/>
      </c>
      <c r="EN1764" t="str">
        <f>IF(NOT(ISBLANK($B1764)),VLOOKUP($B1764,AssetCategories!$A:$E,3,0),"")</f>
        <v/>
      </c>
      <c r="EP1764" s="33" t="str">
        <f t="shared" si="55"/>
        <v/>
      </c>
    </row>
    <row r="1765" spans="16:146" x14ac:dyDescent="0.25">
      <c r="P1765" s="33" t="str" cm="1">
        <f t="array" ref="P1765">IFERROR(SUM(VALUE(_xlfn.TEXTSPLIT(O1765, ";"))), "")</f>
        <v/>
      </c>
      <c r="DO1765" t="str">
        <f t="shared" si="54"/>
        <v/>
      </c>
      <c r="EG1765" s="33" t="str">
        <f>IF(NOT(ISBLANK($B1765)),VLOOKUP($B1765,AssetCategories!$A:$E,5,0),"")</f>
        <v/>
      </c>
      <c r="EH1765" t="str">
        <f>IF(NOT(ISBLANK($B1765)),VLOOKUP($B1765,AssetCategories!$A:$E,4,0),"")</f>
        <v/>
      </c>
      <c r="EM1765" t="str">
        <f>IF(NOT(ISBLANK($B1765)),VLOOKUP($B1765,AssetCategories!$A:$E,2,0),"")</f>
        <v/>
      </c>
      <c r="EN1765" t="str">
        <f>IF(NOT(ISBLANK($B1765)),VLOOKUP($B1765,AssetCategories!$A:$E,3,0),"")</f>
        <v/>
      </c>
      <c r="EP1765" s="33" t="str">
        <f t="shared" si="55"/>
        <v/>
      </c>
    </row>
    <row r="1766" spans="16:146" x14ac:dyDescent="0.25">
      <c r="P1766" s="33" t="str" cm="1">
        <f t="array" ref="P1766">IFERROR(SUM(VALUE(_xlfn.TEXTSPLIT(O1766, ";"))), "")</f>
        <v/>
      </c>
      <c r="DO1766" t="str">
        <f t="shared" si="54"/>
        <v/>
      </c>
      <c r="EG1766" s="33" t="str">
        <f>IF(NOT(ISBLANK($B1766)),VLOOKUP($B1766,AssetCategories!$A:$E,5,0),"")</f>
        <v/>
      </c>
      <c r="EH1766" t="str">
        <f>IF(NOT(ISBLANK($B1766)),VLOOKUP($B1766,AssetCategories!$A:$E,4,0),"")</f>
        <v/>
      </c>
      <c r="EM1766" t="str">
        <f>IF(NOT(ISBLANK($B1766)),VLOOKUP($B1766,AssetCategories!$A:$E,2,0),"")</f>
        <v/>
      </c>
      <c r="EN1766" t="str">
        <f>IF(NOT(ISBLANK($B1766)),VLOOKUP($B1766,AssetCategories!$A:$E,3,0),"")</f>
        <v/>
      </c>
      <c r="EP1766" s="33" t="str">
        <f t="shared" si="55"/>
        <v/>
      </c>
    </row>
    <row r="1767" spans="16:146" x14ac:dyDescent="0.25">
      <c r="P1767" s="33" t="str" cm="1">
        <f t="array" ref="P1767">IFERROR(SUM(VALUE(_xlfn.TEXTSPLIT(O1767, ";"))), "")</f>
        <v/>
      </c>
      <c r="DO1767" t="str">
        <f t="shared" si="54"/>
        <v/>
      </c>
      <c r="EG1767" s="33" t="str">
        <f>IF(NOT(ISBLANK($B1767)),VLOOKUP($B1767,AssetCategories!$A:$E,5,0),"")</f>
        <v/>
      </c>
      <c r="EH1767" t="str">
        <f>IF(NOT(ISBLANK($B1767)),VLOOKUP($B1767,AssetCategories!$A:$E,4,0),"")</f>
        <v/>
      </c>
      <c r="EM1767" t="str">
        <f>IF(NOT(ISBLANK($B1767)),VLOOKUP($B1767,AssetCategories!$A:$E,2,0),"")</f>
        <v/>
      </c>
      <c r="EN1767" t="str">
        <f>IF(NOT(ISBLANK($B1767)),VLOOKUP($B1767,AssetCategories!$A:$E,3,0),"")</f>
        <v/>
      </c>
      <c r="EP1767" s="33" t="str">
        <f t="shared" si="55"/>
        <v/>
      </c>
    </row>
    <row r="1768" spans="16:146" x14ac:dyDescent="0.25">
      <c r="P1768" s="33" t="str" cm="1">
        <f t="array" ref="P1768">IFERROR(SUM(VALUE(_xlfn.TEXTSPLIT(O1768, ";"))), "")</f>
        <v/>
      </c>
      <c r="DO1768" t="str">
        <f t="shared" si="54"/>
        <v/>
      </c>
      <c r="EG1768" s="33" t="str">
        <f>IF(NOT(ISBLANK($B1768)),VLOOKUP($B1768,AssetCategories!$A:$E,5,0),"")</f>
        <v/>
      </c>
      <c r="EH1768" t="str">
        <f>IF(NOT(ISBLANK($B1768)),VLOOKUP($B1768,AssetCategories!$A:$E,4,0),"")</f>
        <v/>
      </c>
      <c r="EM1768" t="str">
        <f>IF(NOT(ISBLANK($B1768)),VLOOKUP($B1768,AssetCategories!$A:$E,2,0),"")</f>
        <v/>
      </c>
      <c r="EN1768" t="str">
        <f>IF(NOT(ISBLANK($B1768)),VLOOKUP($B1768,AssetCategories!$A:$E,3,0),"")</f>
        <v/>
      </c>
      <c r="EP1768" s="33" t="str">
        <f t="shared" si="55"/>
        <v/>
      </c>
    </row>
    <row r="1769" spans="16:146" x14ac:dyDescent="0.25">
      <c r="P1769" s="33" t="str" cm="1">
        <f t="array" ref="P1769">IFERROR(SUM(VALUE(_xlfn.TEXTSPLIT(O1769, ";"))), "")</f>
        <v/>
      </c>
      <c r="DO1769" t="str">
        <f t="shared" si="54"/>
        <v/>
      </c>
      <c r="EG1769" s="33" t="str">
        <f>IF(NOT(ISBLANK($B1769)),VLOOKUP($B1769,AssetCategories!$A:$E,5,0),"")</f>
        <v/>
      </c>
      <c r="EH1769" t="str">
        <f>IF(NOT(ISBLANK($B1769)),VLOOKUP($B1769,AssetCategories!$A:$E,4,0),"")</f>
        <v/>
      </c>
      <c r="EM1769" t="str">
        <f>IF(NOT(ISBLANK($B1769)),VLOOKUP($B1769,AssetCategories!$A:$E,2,0),"")</f>
        <v/>
      </c>
      <c r="EN1769" t="str">
        <f>IF(NOT(ISBLANK($B1769)),VLOOKUP($B1769,AssetCategories!$A:$E,3,0),"")</f>
        <v/>
      </c>
      <c r="EP1769" s="33" t="str">
        <f t="shared" si="55"/>
        <v/>
      </c>
    </row>
    <row r="1770" spans="16:146" x14ac:dyDescent="0.25">
      <c r="P1770" s="33" t="str" cm="1">
        <f t="array" ref="P1770">IFERROR(SUM(VALUE(_xlfn.TEXTSPLIT(O1770, ";"))), "")</f>
        <v/>
      </c>
      <c r="DO1770" t="str">
        <f t="shared" si="54"/>
        <v/>
      </c>
      <c r="EG1770" s="33" t="str">
        <f>IF(NOT(ISBLANK($B1770)),VLOOKUP($B1770,AssetCategories!$A:$E,5,0),"")</f>
        <v/>
      </c>
      <c r="EH1770" t="str">
        <f>IF(NOT(ISBLANK($B1770)),VLOOKUP($B1770,AssetCategories!$A:$E,4,0),"")</f>
        <v/>
      </c>
      <c r="EM1770" t="str">
        <f>IF(NOT(ISBLANK($B1770)),VLOOKUP($B1770,AssetCategories!$A:$E,2,0),"")</f>
        <v/>
      </c>
      <c r="EN1770" t="str">
        <f>IF(NOT(ISBLANK($B1770)),VLOOKUP($B1770,AssetCategories!$A:$E,3,0),"")</f>
        <v/>
      </c>
      <c r="EP1770" s="33" t="str">
        <f t="shared" si="55"/>
        <v/>
      </c>
    </row>
    <row r="1771" spans="16:146" x14ac:dyDescent="0.25">
      <c r="P1771" s="33" t="str" cm="1">
        <f t="array" ref="P1771">IFERROR(SUM(VALUE(_xlfn.TEXTSPLIT(O1771, ";"))), "")</f>
        <v/>
      </c>
      <c r="DO1771" t="str">
        <f t="shared" si="54"/>
        <v/>
      </c>
      <c r="EG1771" s="33" t="str">
        <f>IF(NOT(ISBLANK($B1771)),VLOOKUP($B1771,AssetCategories!$A:$E,5,0),"")</f>
        <v/>
      </c>
      <c r="EH1771" t="str">
        <f>IF(NOT(ISBLANK($B1771)),VLOOKUP($B1771,AssetCategories!$A:$E,4,0),"")</f>
        <v/>
      </c>
      <c r="EM1771" t="str">
        <f>IF(NOT(ISBLANK($B1771)),VLOOKUP($B1771,AssetCategories!$A:$E,2,0),"")</f>
        <v/>
      </c>
      <c r="EN1771" t="str">
        <f>IF(NOT(ISBLANK($B1771)),VLOOKUP($B1771,AssetCategories!$A:$E,3,0),"")</f>
        <v/>
      </c>
      <c r="EP1771" s="33" t="str">
        <f t="shared" si="55"/>
        <v/>
      </c>
    </row>
    <row r="1772" spans="16:146" x14ac:dyDescent="0.25">
      <c r="P1772" s="33" t="str" cm="1">
        <f t="array" ref="P1772">IFERROR(SUM(VALUE(_xlfn.TEXTSPLIT(O1772, ";"))), "")</f>
        <v/>
      </c>
      <c r="DO1772" t="str">
        <f t="shared" si="54"/>
        <v/>
      </c>
      <c r="EG1772" s="33" t="str">
        <f>IF(NOT(ISBLANK($B1772)),VLOOKUP($B1772,AssetCategories!$A:$E,5,0),"")</f>
        <v/>
      </c>
      <c r="EH1772" t="str">
        <f>IF(NOT(ISBLANK($B1772)),VLOOKUP($B1772,AssetCategories!$A:$E,4,0),"")</f>
        <v/>
      </c>
      <c r="EM1772" t="str">
        <f>IF(NOT(ISBLANK($B1772)),VLOOKUP($B1772,AssetCategories!$A:$E,2,0),"")</f>
        <v/>
      </c>
      <c r="EN1772" t="str">
        <f>IF(NOT(ISBLANK($B1772)),VLOOKUP($B1772,AssetCategories!$A:$E,3,0),"")</f>
        <v/>
      </c>
      <c r="EP1772" s="33" t="str">
        <f t="shared" si="55"/>
        <v/>
      </c>
    </row>
    <row r="1773" spans="16:146" x14ac:dyDescent="0.25">
      <c r="P1773" s="33" t="str" cm="1">
        <f t="array" ref="P1773">IFERROR(SUM(VALUE(_xlfn.TEXTSPLIT(O1773, ";"))), "")</f>
        <v/>
      </c>
      <c r="DO1773" t="str">
        <f t="shared" si="54"/>
        <v/>
      </c>
      <c r="EG1773" s="33" t="str">
        <f>IF(NOT(ISBLANK($B1773)),VLOOKUP($B1773,AssetCategories!$A:$E,5,0),"")</f>
        <v/>
      </c>
      <c r="EH1773" t="str">
        <f>IF(NOT(ISBLANK($B1773)),VLOOKUP($B1773,AssetCategories!$A:$E,4,0),"")</f>
        <v/>
      </c>
      <c r="EM1773" t="str">
        <f>IF(NOT(ISBLANK($B1773)),VLOOKUP($B1773,AssetCategories!$A:$E,2,0),"")</f>
        <v/>
      </c>
      <c r="EN1773" t="str">
        <f>IF(NOT(ISBLANK($B1773)),VLOOKUP($B1773,AssetCategories!$A:$E,3,0),"")</f>
        <v/>
      </c>
      <c r="EP1773" s="33" t="str">
        <f t="shared" si="55"/>
        <v/>
      </c>
    </row>
    <row r="1774" spans="16:146" x14ac:dyDescent="0.25">
      <c r="P1774" s="33" t="str" cm="1">
        <f t="array" ref="P1774">IFERROR(SUM(VALUE(_xlfn.TEXTSPLIT(O1774, ";"))), "")</f>
        <v/>
      </c>
      <c r="DO1774" t="str">
        <f t="shared" si="54"/>
        <v/>
      </c>
      <c r="EG1774" s="33" t="str">
        <f>IF(NOT(ISBLANK($B1774)),VLOOKUP($B1774,AssetCategories!$A:$E,5,0),"")</f>
        <v/>
      </c>
      <c r="EH1774" t="str">
        <f>IF(NOT(ISBLANK($B1774)),VLOOKUP($B1774,AssetCategories!$A:$E,4,0),"")</f>
        <v/>
      </c>
      <c r="EM1774" t="str">
        <f>IF(NOT(ISBLANK($B1774)),VLOOKUP($B1774,AssetCategories!$A:$E,2,0),"")</f>
        <v/>
      </c>
      <c r="EN1774" t="str">
        <f>IF(NOT(ISBLANK($B1774)),VLOOKUP($B1774,AssetCategories!$A:$E,3,0),"")</f>
        <v/>
      </c>
      <c r="EP1774" s="33" t="str">
        <f t="shared" si="55"/>
        <v/>
      </c>
    </row>
    <row r="1775" spans="16:146" x14ac:dyDescent="0.25">
      <c r="P1775" s="33" t="str" cm="1">
        <f t="array" ref="P1775">IFERROR(SUM(VALUE(_xlfn.TEXTSPLIT(O1775, ";"))), "")</f>
        <v/>
      </c>
      <c r="DO1775" t="str">
        <f t="shared" si="54"/>
        <v/>
      </c>
      <c r="EG1775" s="33" t="str">
        <f>IF(NOT(ISBLANK($B1775)),VLOOKUP($B1775,AssetCategories!$A:$E,5,0),"")</f>
        <v/>
      </c>
      <c r="EH1775" t="str">
        <f>IF(NOT(ISBLANK($B1775)),VLOOKUP($B1775,AssetCategories!$A:$E,4,0),"")</f>
        <v/>
      </c>
      <c r="EM1775" t="str">
        <f>IF(NOT(ISBLANK($B1775)),VLOOKUP($B1775,AssetCategories!$A:$E,2,0),"")</f>
        <v/>
      </c>
      <c r="EN1775" t="str">
        <f>IF(NOT(ISBLANK($B1775)),VLOOKUP($B1775,AssetCategories!$A:$E,3,0),"")</f>
        <v/>
      </c>
      <c r="EP1775" s="33" t="str">
        <f t="shared" si="55"/>
        <v/>
      </c>
    </row>
    <row r="1776" spans="16:146" x14ac:dyDescent="0.25">
      <c r="P1776" s="33" t="str" cm="1">
        <f t="array" ref="P1776">IFERROR(SUM(VALUE(_xlfn.TEXTSPLIT(O1776, ";"))), "")</f>
        <v/>
      </c>
      <c r="DO1776" t="str">
        <f t="shared" si="54"/>
        <v/>
      </c>
      <c r="EG1776" s="33" t="str">
        <f>IF(NOT(ISBLANK($B1776)),VLOOKUP($B1776,AssetCategories!$A:$E,5,0),"")</f>
        <v/>
      </c>
      <c r="EH1776" t="str">
        <f>IF(NOT(ISBLANK($B1776)),VLOOKUP($B1776,AssetCategories!$A:$E,4,0),"")</f>
        <v/>
      </c>
      <c r="EM1776" t="str">
        <f>IF(NOT(ISBLANK($B1776)),VLOOKUP($B1776,AssetCategories!$A:$E,2,0),"")</f>
        <v/>
      </c>
      <c r="EN1776" t="str">
        <f>IF(NOT(ISBLANK($B1776)),VLOOKUP($B1776,AssetCategories!$A:$E,3,0),"")</f>
        <v/>
      </c>
      <c r="EP1776" s="33" t="str">
        <f t="shared" si="55"/>
        <v/>
      </c>
    </row>
    <row r="1777" spans="16:146" x14ac:dyDescent="0.25">
      <c r="P1777" s="33" t="str" cm="1">
        <f t="array" ref="P1777">IFERROR(SUM(VALUE(_xlfn.TEXTSPLIT(O1777, ";"))), "")</f>
        <v/>
      </c>
      <c r="DO1777" t="str">
        <f t="shared" si="54"/>
        <v/>
      </c>
      <c r="EG1777" s="33" t="str">
        <f>IF(NOT(ISBLANK($B1777)),VLOOKUP($B1777,AssetCategories!$A:$E,5,0),"")</f>
        <v/>
      </c>
      <c r="EH1777" t="str">
        <f>IF(NOT(ISBLANK($B1777)),VLOOKUP($B1777,AssetCategories!$A:$E,4,0),"")</f>
        <v/>
      </c>
      <c r="EM1777" t="str">
        <f>IF(NOT(ISBLANK($B1777)),VLOOKUP($B1777,AssetCategories!$A:$E,2,0),"")</f>
        <v/>
      </c>
      <c r="EN1777" t="str">
        <f>IF(NOT(ISBLANK($B1777)),VLOOKUP($B1777,AssetCategories!$A:$E,3,0),"")</f>
        <v/>
      </c>
      <c r="EP1777" s="33" t="str">
        <f t="shared" si="55"/>
        <v/>
      </c>
    </row>
    <row r="1778" spans="16:146" x14ac:dyDescent="0.25">
      <c r="P1778" s="33" t="str" cm="1">
        <f t="array" ref="P1778">IFERROR(SUM(VALUE(_xlfn.TEXTSPLIT(O1778, ";"))), "")</f>
        <v/>
      </c>
      <c r="DO1778" t="str">
        <f t="shared" si="54"/>
        <v/>
      </c>
      <c r="EG1778" s="33" t="str">
        <f>IF(NOT(ISBLANK($B1778)),VLOOKUP($B1778,AssetCategories!$A:$E,5,0),"")</f>
        <v/>
      </c>
      <c r="EH1778" t="str">
        <f>IF(NOT(ISBLANK($B1778)),VLOOKUP($B1778,AssetCategories!$A:$E,4,0),"")</f>
        <v/>
      </c>
      <c r="EM1778" t="str">
        <f>IF(NOT(ISBLANK($B1778)),VLOOKUP($B1778,AssetCategories!$A:$E,2,0),"")</f>
        <v/>
      </c>
      <c r="EN1778" t="str">
        <f>IF(NOT(ISBLANK($B1778)),VLOOKUP($B1778,AssetCategories!$A:$E,3,0),"")</f>
        <v/>
      </c>
      <c r="EP1778" s="33" t="str">
        <f t="shared" si="55"/>
        <v/>
      </c>
    </row>
    <row r="1779" spans="16:146" x14ac:dyDescent="0.25">
      <c r="P1779" s="33" t="str" cm="1">
        <f t="array" ref="P1779">IFERROR(SUM(VALUE(_xlfn.TEXTSPLIT(O1779, ";"))), "")</f>
        <v/>
      </c>
      <c r="DO1779" t="str">
        <f t="shared" si="54"/>
        <v/>
      </c>
      <c r="EG1779" s="33" t="str">
        <f>IF(NOT(ISBLANK($B1779)),VLOOKUP($B1779,AssetCategories!$A:$E,5,0),"")</f>
        <v/>
      </c>
      <c r="EH1779" t="str">
        <f>IF(NOT(ISBLANK($B1779)),VLOOKUP($B1779,AssetCategories!$A:$E,4,0),"")</f>
        <v/>
      </c>
      <c r="EM1779" t="str">
        <f>IF(NOT(ISBLANK($B1779)),VLOOKUP($B1779,AssetCategories!$A:$E,2,0),"")</f>
        <v/>
      </c>
      <c r="EN1779" t="str">
        <f>IF(NOT(ISBLANK($B1779)),VLOOKUP($B1779,AssetCategories!$A:$E,3,0),"")</f>
        <v/>
      </c>
      <c r="EP1779" s="33" t="str">
        <f t="shared" si="55"/>
        <v/>
      </c>
    </row>
    <row r="1780" spans="16:146" x14ac:dyDescent="0.25">
      <c r="P1780" s="33" t="str" cm="1">
        <f t="array" ref="P1780">IFERROR(SUM(VALUE(_xlfn.TEXTSPLIT(O1780, ";"))), "")</f>
        <v/>
      </c>
      <c r="DO1780" t="str">
        <f t="shared" si="54"/>
        <v/>
      </c>
      <c r="EG1780" s="33" t="str">
        <f>IF(NOT(ISBLANK($B1780)),VLOOKUP($B1780,AssetCategories!$A:$E,5,0),"")</f>
        <v/>
      </c>
      <c r="EH1780" t="str">
        <f>IF(NOT(ISBLANK($B1780)),VLOOKUP($B1780,AssetCategories!$A:$E,4,0),"")</f>
        <v/>
      </c>
      <c r="EM1780" t="str">
        <f>IF(NOT(ISBLANK($B1780)),VLOOKUP($B1780,AssetCategories!$A:$E,2,0),"")</f>
        <v/>
      </c>
      <c r="EN1780" t="str">
        <f>IF(NOT(ISBLANK($B1780)),VLOOKUP($B1780,AssetCategories!$A:$E,3,0),"")</f>
        <v/>
      </c>
      <c r="EP1780" s="33" t="str">
        <f t="shared" si="55"/>
        <v/>
      </c>
    </row>
    <row r="1781" spans="16:146" x14ac:dyDescent="0.25">
      <c r="P1781" s="33" t="str" cm="1">
        <f t="array" ref="P1781">IFERROR(SUM(VALUE(_xlfn.TEXTSPLIT(O1781, ";"))), "")</f>
        <v/>
      </c>
      <c r="DO1781" t="str">
        <f t="shared" si="54"/>
        <v/>
      </c>
      <c r="EG1781" s="33" t="str">
        <f>IF(NOT(ISBLANK($B1781)),VLOOKUP($B1781,AssetCategories!$A:$E,5,0),"")</f>
        <v/>
      </c>
      <c r="EH1781" t="str">
        <f>IF(NOT(ISBLANK($B1781)),VLOOKUP($B1781,AssetCategories!$A:$E,4,0),"")</f>
        <v/>
      </c>
      <c r="EM1781" t="str">
        <f>IF(NOT(ISBLANK($B1781)),VLOOKUP($B1781,AssetCategories!$A:$E,2,0),"")</f>
        <v/>
      </c>
      <c r="EN1781" t="str">
        <f>IF(NOT(ISBLANK($B1781)),VLOOKUP($B1781,AssetCategories!$A:$E,3,0),"")</f>
        <v/>
      </c>
      <c r="EP1781" s="33" t="str">
        <f t="shared" si="55"/>
        <v/>
      </c>
    </row>
    <row r="1782" spans="16:146" x14ac:dyDescent="0.25">
      <c r="P1782" s="33" t="str" cm="1">
        <f t="array" ref="P1782">IFERROR(SUM(VALUE(_xlfn.TEXTSPLIT(O1782, ";"))), "")</f>
        <v/>
      </c>
      <c r="DO1782" t="str">
        <f t="shared" si="54"/>
        <v/>
      </c>
      <c r="EG1782" s="33" t="str">
        <f>IF(NOT(ISBLANK($B1782)),VLOOKUP($B1782,AssetCategories!$A:$E,5,0),"")</f>
        <v/>
      </c>
      <c r="EH1782" t="str">
        <f>IF(NOT(ISBLANK($B1782)),VLOOKUP($B1782,AssetCategories!$A:$E,4,0),"")</f>
        <v/>
      </c>
      <c r="EM1782" t="str">
        <f>IF(NOT(ISBLANK($B1782)),VLOOKUP($B1782,AssetCategories!$A:$E,2,0),"")</f>
        <v/>
      </c>
      <c r="EN1782" t="str">
        <f>IF(NOT(ISBLANK($B1782)),VLOOKUP($B1782,AssetCategories!$A:$E,3,0),"")</f>
        <v/>
      </c>
      <c r="EP1782" s="33" t="str">
        <f t="shared" si="55"/>
        <v/>
      </c>
    </row>
    <row r="1783" spans="16:146" x14ac:dyDescent="0.25">
      <c r="P1783" s="33" t="str" cm="1">
        <f t="array" ref="P1783">IFERROR(SUM(VALUE(_xlfn.TEXTSPLIT(O1783, ";"))), "")</f>
        <v/>
      </c>
      <c r="DO1783" t="str">
        <f t="shared" si="54"/>
        <v/>
      </c>
      <c r="EG1783" s="33" t="str">
        <f>IF(NOT(ISBLANK($B1783)),VLOOKUP($B1783,AssetCategories!$A:$E,5,0),"")</f>
        <v/>
      </c>
      <c r="EH1783" t="str">
        <f>IF(NOT(ISBLANK($B1783)),VLOOKUP($B1783,AssetCategories!$A:$E,4,0),"")</f>
        <v/>
      </c>
      <c r="EM1783" t="str">
        <f>IF(NOT(ISBLANK($B1783)),VLOOKUP($B1783,AssetCategories!$A:$E,2,0),"")</f>
        <v/>
      </c>
      <c r="EN1783" t="str">
        <f>IF(NOT(ISBLANK($B1783)),VLOOKUP($B1783,AssetCategories!$A:$E,3,0),"")</f>
        <v/>
      </c>
      <c r="EP1783" s="33" t="str">
        <f t="shared" si="55"/>
        <v/>
      </c>
    </row>
    <row r="1784" spans="16:146" x14ac:dyDescent="0.25">
      <c r="P1784" s="33" t="str" cm="1">
        <f t="array" ref="P1784">IFERROR(SUM(VALUE(_xlfn.TEXTSPLIT(O1784, ";"))), "")</f>
        <v/>
      </c>
      <c r="DO1784" t="str">
        <f t="shared" si="54"/>
        <v/>
      </c>
      <c r="EG1784" s="33" t="str">
        <f>IF(NOT(ISBLANK($B1784)),VLOOKUP($B1784,AssetCategories!$A:$E,5,0),"")</f>
        <v/>
      </c>
      <c r="EH1784" t="str">
        <f>IF(NOT(ISBLANK($B1784)),VLOOKUP($B1784,AssetCategories!$A:$E,4,0),"")</f>
        <v/>
      </c>
      <c r="EM1784" t="str">
        <f>IF(NOT(ISBLANK($B1784)),VLOOKUP($B1784,AssetCategories!$A:$E,2,0),"")</f>
        <v/>
      </c>
      <c r="EN1784" t="str">
        <f>IF(NOT(ISBLANK($B1784)),VLOOKUP($B1784,AssetCategories!$A:$E,3,0),"")</f>
        <v/>
      </c>
      <c r="EP1784" s="33" t="str">
        <f t="shared" si="55"/>
        <v/>
      </c>
    </row>
    <row r="1785" spans="16:146" x14ac:dyDescent="0.25">
      <c r="P1785" s="33" t="str" cm="1">
        <f t="array" ref="P1785">IFERROR(SUM(VALUE(_xlfn.TEXTSPLIT(O1785, ";"))), "")</f>
        <v/>
      </c>
      <c r="DO1785" t="str">
        <f t="shared" si="54"/>
        <v/>
      </c>
      <c r="EG1785" s="33" t="str">
        <f>IF(NOT(ISBLANK($B1785)),VLOOKUP($B1785,AssetCategories!$A:$E,5,0),"")</f>
        <v/>
      </c>
      <c r="EH1785" t="str">
        <f>IF(NOT(ISBLANK($B1785)),VLOOKUP($B1785,AssetCategories!$A:$E,4,0),"")</f>
        <v/>
      </c>
      <c r="EM1785" t="str">
        <f>IF(NOT(ISBLANK($B1785)),VLOOKUP($B1785,AssetCategories!$A:$E,2,0),"")</f>
        <v/>
      </c>
      <c r="EN1785" t="str">
        <f>IF(NOT(ISBLANK($B1785)),VLOOKUP($B1785,AssetCategories!$A:$E,3,0),"")</f>
        <v/>
      </c>
      <c r="EP1785" s="33" t="str">
        <f t="shared" si="55"/>
        <v/>
      </c>
    </row>
    <row r="1786" spans="16:146" x14ac:dyDescent="0.25">
      <c r="P1786" s="33" t="str" cm="1">
        <f t="array" ref="P1786">IFERROR(SUM(VALUE(_xlfn.TEXTSPLIT(O1786, ";"))), "")</f>
        <v/>
      </c>
      <c r="DO1786" t="str">
        <f t="shared" si="54"/>
        <v/>
      </c>
      <c r="EG1786" s="33" t="str">
        <f>IF(NOT(ISBLANK($B1786)),VLOOKUP($B1786,AssetCategories!$A:$E,5,0),"")</f>
        <v/>
      </c>
      <c r="EH1786" t="str">
        <f>IF(NOT(ISBLANK($B1786)),VLOOKUP($B1786,AssetCategories!$A:$E,4,0),"")</f>
        <v/>
      </c>
      <c r="EM1786" t="str">
        <f>IF(NOT(ISBLANK($B1786)),VLOOKUP($B1786,AssetCategories!$A:$E,2,0),"")</f>
        <v/>
      </c>
      <c r="EN1786" t="str">
        <f>IF(NOT(ISBLANK($B1786)),VLOOKUP($B1786,AssetCategories!$A:$E,3,0),"")</f>
        <v/>
      </c>
      <c r="EP1786" s="33" t="str">
        <f t="shared" si="55"/>
        <v/>
      </c>
    </row>
    <row r="1787" spans="16:146" x14ac:dyDescent="0.25">
      <c r="P1787" s="33" t="str" cm="1">
        <f t="array" ref="P1787">IFERROR(SUM(VALUE(_xlfn.TEXTSPLIT(O1787, ";"))), "")</f>
        <v/>
      </c>
      <c r="DO1787" t="str">
        <f t="shared" si="54"/>
        <v/>
      </c>
      <c r="EG1787" s="33" t="str">
        <f>IF(NOT(ISBLANK($B1787)),VLOOKUP($B1787,AssetCategories!$A:$E,5,0),"")</f>
        <v/>
      </c>
      <c r="EH1787" t="str">
        <f>IF(NOT(ISBLANK($B1787)),VLOOKUP($B1787,AssetCategories!$A:$E,4,0),"")</f>
        <v/>
      </c>
      <c r="EM1787" t="str">
        <f>IF(NOT(ISBLANK($B1787)),VLOOKUP($B1787,AssetCategories!$A:$E,2,0),"")</f>
        <v/>
      </c>
      <c r="EN1787" t="str">
        <f>IF(NOT(ISBLANK($B1787)),VLOOKUP($B1787,AssetCategories!$A:$E,3,0),"")</f>
        <v/>
      </c>
      <c r="EP1787" s="33" t="str">
        <f t="shared" si="55"/>
        <v/>
      </c>
    </row>
    <row r="1788" spans="16:146" x14ac:dyDescent="0.25">
      <c r="P1788" s="33" t="str" cm="1">
        <f t="array" ref="P1788">IFERROR(SUM(VALUE(_xlfn.TEXTSPLIT(O1788, ";"))), "")</f>
        <v/>
      </c>
      <c r="DO1788" t="str">
        <f t="shared" si="54"/>
        <v/>
      </c>
      <c r="EG1788" s="33" t="str">
        <f>IF(NOT(ISBLANK($B1788)),VLOOKUP($B1788,AssetCategories!$A:$E,5,0),"")</f>
        <v/>
      </c>
      <c r="EH1788" t="str">
        <f>IF(NOT(ISBLANK($B1788)),VLOOKUP($B1788,AssetCategories!$A:$E,4,0),"")</f>
        <v/>
      </c>
      <c r="EM1788" t="str">
        <f>IF(NOT(ISBLANK($B1788)),VLOOKUP($B1788,AssetCategories!$A:$E,2,0),"")</f>
        <v/>
      </c>
      <c r="EN1788" t="str">
        <f>IF(NOT(ISBLANK($B1788)),VLOOKUP($B1788,AssetCategories!$A:$E,3,0),"")</f>
        <v/>
      </c>
      <c r="EP1788" s="33" t="str">
        <f t="shared" si="55"/>
        <v/>
      </c>
    </row>
    <row r="1789" spans="16:146" x14ac:dyDescent="0.25">
      <c r="P1789" s="33" t="str" cm="1">
        <f t="array" ref="P1789">IFERROR(SUM(VALUE(_xlfn.TEXTSPLIT(O1789, ";"))), "")</f>
        <v/>
      </c>
      <c r="DO1789" t="str">
        <f t="shared" si="54"/>
        <v/>
      </c>
      <c r="EG1789" s="33" t="str">
        <f>IF(NOT(ISBLANK($B1789)),VLOOKUP($B1789,AssetCategories!$A:$E,5,0),"")</f>
        <v/>
      </c>
      <c r="EH1789" t="str">
        <f>IF(NOT(ISBLANK($B1789)),VLOOKUP($B1789,AssetCategories!$A:$E,4,0),"")</f>
        <v/>
      </c>
      <c r="EM1789" t="str">
        <f>IF(NOT(ISBLANK($B1789)),VLOOKUP($B1789,AssetCategories!$A:$E,2,0),"")</f>
        <v/>
      </c>
      <c r="EN1789" t="str">
        <f>IF(NOT(ISBLANK($B1789)),VLOOKUP($B1789,AssetCategories!$A:$E,3,0),"")</f>
        <v/>
      </c>
      <c r="EP1789" s="33" t="str">
        <f t="shared" si="55"/>
        <v/>
      </c>
    </row>
    <row r="1790" spans="16:146" x14ac:dyDescent="0.25">
      <c r="P1790" s="33" t="str" cm="1">
        <f t="array" ref="P1790">IFERROR(SUM(VALUE(_xlfn.TEXTSPLIT(O1790, ";"))), "")</f>
        <v/>
      </c>
      <c r="DO1790" t="str">
        <f t="shared" si="54"/>
        <v/>
      </c>
      <c r="EG1790" s="33" t="str">
        <f>IF(NOT(ISBLANK($B1790)),VLOOKUP($B1790,AssetCategories!$A:$E,5,0),"")</f>
        <v/>
      </c>
      <c r="EH1790" t="str">
        <f>IF(NOT(ISBLANK($B1790)),VLOOKUP($B1790,AssetCategories!$A:$E,4,0),"")</f>
        <v/>
      </c>
      <c r="EM1790" t="str">
        <f>IF(NOT(ISBLANK($B1790)),VLOOKUP($B1790,AssetCategories!$A:$E,2,0),"")</f>
        <v/>
      </c>
      <c r="EN1790" t="str">
        <f>IF(NOT(ISBLANK($B1790)),VLOOKUP($B1790,AssetCategories!$A:$E,3,0),"")</f>
        <v/>
      </c>
      <c r="EP1790" s="33" t="str">
        <f t="shared" si="55"/>
        <v/>
      </c>
    </row>
    <row r="1791" spans="16:146" x14ac:dyDescent="0.25">
      <c r="P1791" s="33" t="str" cm="1">
        <f t="array" ref="P1791">IFERROR(SUM(VALUE(_xlfn.TEXTSPLIT(O1791, ";"))), "")</f>
        <v/>
      </c>
      <c r="DO1791" t="str">
        <f t="shared" si="54"/>
        <v/>
      </c>
      <c r="EG1791" s="33" t="str">
        <f>IF(NOT(ISBLANK($B1791)),VLOOKUP($B1791,AssetCategories!$A:$E,5,0),"")</f>
        <v/>
      </c>
      <c r="EH1791" t="str">
        <f>IF(NOT(ISBLANK($B1791)),VLOOKUP($B1791,AssetCategories!$A:$E,4,0),"")</f>
        <v/>
      </c>
      <c r="EM1791" t="str">
        <f>IF(NOT(ISBLANK($B1791)),VLOOKUP($B1791,AssetCategories!$A:$E,2,0),"")</f>
        <v/>
      </c>
      <c r="EN1791" t="str">
        <f>IF(NOT(ISBLANK($B1791)),VLOOKUP($B1791,AssetCategories!$A:$E,3,0),"")</f>
        <v/>
      </c>
      <c r="EP1791" s="33" t="str">
        <f t="shared" si="55"/>
        <v/>
      </c>
    </row>
    <row r="1792" spans="16:146" x14ac:dyDescent="0.25">
      <c r="P1792" s="33" t="str" cm="1">
        <f t="array" ref="P1792">IFERROR(SUM(VALUE(_xlfn.TEXTSPLIT(O1792, ";"))), "")</f>
        <v/>
      </c>
      <c r="DO1792" t="str">
        <f t="shared" si="54"/>
        <v/>
      </c>
      <c r="EG1792" s="33" t="str">
        <f>IF(NOT(ISBLANK($B1792)),VLOOKUP($B1792,AssetCategories!$A:$E,5,0),"")</f>
        <v/>
      </c>
      <c r="EH1792" t="str">
        <f>IF(NOT(ISBLANK($B1792)),VLOOKUP($B1792,AssetCategories!$A:$E,4,0),"")</f>
        <v/>
      </c>
      <c r="EM1792" t="str">
        <f>IF(NOT(ISBLANK($B1792)),VLOOKUP($B1792,AssetCategories!$A:$E,2,0),"")</f>
        <v/>
      </c>
      <c r="EN1792" t="str">
        <f>IF(NOT(ISBLANK($B1792)),VLOOKUP($B1792,AssetCategories!$A:$E,3,0),"")</f>
        <v/>
      </c>
      <c r="EP1792" s="33" t="str">
        <f t="shared" si="55"/>
        <v/>
      </c>
    </row>
    <row r="1793" spans="16:146" x14ac:dyDescent="0.25">
      <c r="P1793" s="33" t="str" cm="1">
        <f t="array" ref="P1793">IFERROR(SUM(VALUE(_xlfn.TEXTSPLIT(O1793, ";"))), "")</f>
        <v/>
      </c>
      <c r="DO1793" t="str">
        <f t="shared" si="54"/>
        <v/>
      </c>
      <c r="EG1793" s="33" t="str">
        <f>IF(NOT(ISBLANK($B1793)),VLOOKUP($B1793,AssetCategories!$A:$E,5,0),"")</f>
        <v/>
      </c>
      <c r="EH1793" t="str">
        <f>IF(NOT(ISBLANK($B1793)),VLOOKUP($B1793,AssetCategories!$A:$E,4,0),"")</f>
        <v/>
      </c>
      <c r="EM1793" t="str">
        <f>IF(NOT(ISBLANK($B1793)),VLOOKUP($B1793,AssetCategories!$A:$E,2,0),"")</f>
        <v/>
      </c>
      <c r="EN1793" t="str">
        <f>IF(NOT(ISBLANK($B1793)),VLOOKUP($B1793,AssetCategories!$A:$E,3,0),"")</f>
        <v/>
      </c>
      <c r="EP1793" s="33" t="str">
        <f t="shared" si="55"/>
        <v/>
      </c>
    </row>
    <row r="1794" spans="16:146" x14ac:dyDescent="0.25">
      <c r="P1794" s="33" t="str" cm="1">
        <f t="array" ref="P1794">IFERROR(SUM(VALUE(_xlfn.TEXTSPLIT(O1794, ";"))), "")</f>
        <v/>
      </c>
      <c r="DO1794" t="str">
        <f t="shared" si="54"/>
        <v/>
      </c>
      <c r="EG1794" s="33" t="str">
        <f>IF(NOT(ISBLANK($B1794)),VLOOKUP($B1794,AssetCategories!$A:$E,5,0),"")</f>
        <v/>
      </c>
      <c r="EH1794" t="str">
        <f>IF(NOT(ISBLANK($B1794)),VLOOKUP($B1794,AssetCategories!$A:$E,4,0),"")</f>
        <v/>
      </c>
      <c r="EM1794" t="str">
        <f>IF(NOT(ISBLANK($B1794)),VLOOKUP($B1794,AssetCategories!$A:$E,2,0),"")</f>
        <v/>
      </c>
      <c r="EN1794" t="str">
        <f>IF(NOT(ISBLANK($B1794)),VLOOKUP($B1794,AssetCategories!$A:$E,3,0),"")</f>
        <v/>
      </c>
      <c r="EP1794" s="33" t="str">
        <f t="shared" si="55"/>
        <v/>
      </c>
    </row>
    <row r="1795" spans="16:146" x14ac:dyDescent="0.25">
      <c r="P1795" s="33" t="str" cm="1">
        <f t="array" ref="P1795">IFERROR(SUM(VALUE(_xlfn.TEXTSPLIT(O1795, ";"))), "")</f>
        <v/>
      </c>
      <c r="DO1795" t="str">
        <f t="shared" si="54"/>
        <v/>
      </c>
      <c r="EG1795" s="33" t="str">
        <f>IF(NOT(ISBLANK($B1795)),VLOOKUP($B1795,AssetCategories!$A:$E,5,0),"")</f>
        <v/>
      </c>
      <c r="EH1795" t="str">
        <f>IF(NOT(ISBLANK($B1795)),VLOOKUP($B1795,AssetCategories!$A:$E,4,0),"")</f>
        <v/>
      </c>
      <c r="EM1795" t="str">
        <f>IF(NOT(ISBLANK($B1795)),VLOOKUP($B1795,AssetCategories!$A:$E,2,0),"")</f>
        <v/>
      </c>
      <c r="EN1795" t="str">
        <f>IF(NOT(ISBLANK($B1795)),VLOOKUP($B1795,AssetCategories!$A:$E,3,0),"")</f>
        <v/>
      </c>
      <c r="EP1795" s="33" t="str">
        <f t="shared" si="55"/>
        <v/>
      </c>
    </row>
    <row r="1796" spans="16:146" x14ac:dyDescent="0.25">
      <c r="P1796" s="33" t="str" cm="1">
        <f t="array" ref="P1796">IFERROR(SUM(VALUE(_xlfn.TEXTSPLIT(O1796, ";"))), "")</f>
        <v/>
      </c>
      <c r="DO1796" t="str">
        <f t="shared" si="54"/>
        <v/>
      </c>
      <c r="EG1796" s="33" t="str">
        <f>IF(NOT(ISBLANK($B1796)),VLOOKUP($B1796,AssetCategories!$A:$E,5,0),"")</f>
        <v/>
      </c>
      <c r="EH1796" t="str">
        <f>IF(NOT(ISBLANK($B1796)),VLOOKUP($B1796,AssetCategories!$A:$E,4,0),"")</f>
        <v/>
      </c>
      <c r="EM1796" t="str">
        <f>IF(NOT(ISBLANK($B1796)),VLOOKUP($B1796,AssetCategories!$A:$E,2,0),"")</f>
        <v/>
      </c>
      <c r="EN1796" t="str">
        <f>IF(NOT(ISBLANK($B1796)),VLOOKUP($B1796,AssetCategories!$A:$E,3,0),"")</f>
        <v/>
      </c>
      <c r="EP1796" s="33" t="str">
        <f t="shared" si="55"/>
        <v/>
      </c>
    </row>
    <row r="1797" spans="16:146" x14ac:dyDescent="0.25">
      <c r="P1797" s="33" t="str" cm="1">
        <f t="array" ref="P1797">IFERROR(SUM(VALUE(_xlfn.TEXTSPLIT(O1797, ";"))), "")</f>
        <v/>
      </c>
      <c r="DO1797" t="str">
        <f t="shared" ref="DO1797:DO1860" si="56">IF(SUM(DE1797:DN1797)=0, "", SUM(DE1797:DN1797))</f>
        <v/>
      </c>
      <c r="EG1797" s="33" t="str">
        <f>IF(NOT(ISBLANK($B1797)),VLOOKUP($B1797,AssetCategories!$A:$E,5,0),"")</f>
        <v/>
      </c>
      <c r="EH1797" t="str">
        <f>IF(NOT(ISBLANK($B1797)),VLOOKUP($B1797,AssetCategories!$A:$E,4,0),"")</f>
        <v/>
      </c>
      <c r="EM1797" t="str">
        <f>IF(NOT(ISBLANK($B1797)),VLOOKUP($B1797,AssetCategories!$A:$E,2,0),"")</f>
        <v/>
      </c>
      <c r="EN1797" t="str">
        <f>IF(NOT(ISBLANK($B1797)),VLOOKUP($B1797,AssetCategories!$A:$E,3,0),"")</f>
        <v/>
      </c>
      <c r="EP1797" s="33" t="str">
        <f t="shared" ref="EP1797:EP1860" si="57">IFERROR(P1797-EO1797, "")</f>
        <v/>
      </c>
    </row>
    <row r="1798" spans="16:146" x14ac:dyDescent="0.25">
      <c r="P1798" s="33" t="str" cm="1">
        <f t="array" ref="P1798">IFERROR(SUM(VALUE(_xlfn.TEXTSPLIT(O1798, ";"))), "")</f>
        <v/>
      </c>
      <c r="DO1798" t="str">
        <f t="shared" si="56"/>
        <v/>
      </c>
      <c r="EG1798" s="33" t="str">
        <f>IF(NOT(ISBLANK($B1798)),VLOOKUP($B1798,AssetCategories!$A:$E,5,0),"")</f>
        <v/>
      </c>
      <c r="EH1798" t="str">
        <f>IF(NOT(ISBLANK($B1798)),VLOOKUP($B1798,AssetCategories!$A:$E,4,0),"")</f>
        <v/>
      </c>
      <c r="EM1798" t="str">
        <f>IF(NOT(ISBLANK($B1798)),VLOOKUP($B1798,AssetCategories!$A:$E,2,0),"")</f>
        <v/>
      </c>
      <c r="EN1798" t="str">
        <f>IF(NOT(ISBLANK($B1798)),VLOOKUP($B1798,AssetCategories!$A:$E,3,0),"")</f>
        <v/>
      </c>
      <c r="EP1798" s="33" t="str">
        <f t="shared" si="57"/>
        <v/>
      </c>
    </row>
    <row r="1799" spans="16:146" x14ac:dyDescent="0.25">
      <c r="P1799" s="33" t="str" cm="1">
        <f t="array" ref="P1799">IFERROR(SUM(VALUE(_xlfn.TEXTSPLIT(O1799, ";"))), "")</f>
        <v/>
      </c>
      <c r="DO1799" t="str">
        <f t="shared" si="56"/>
        <v/>
      </c>
      <c r="EG1799" s="33" t="str">
        <f>IF(NOT(ISBLANK($B1799)),VLOOKUP($B1799,AssetCategories!$A:$E,5,0),"")</f>
        <v/>
      </c>
      <c r="EH1799" t="str">
        <f>IF(NOT(ISBLANK($B1799)),VLOOKUP($B1799,AssetCategories!$A:$E,4,0),"")</f>
        <v/>
      </c>
      <c r="EM1799" t="str">
        <f>IF(NOT(ISBLANK($B1799)),VLOOKUP($B1799,AssetCategories!$A:$E,2,0),"")</f>
        <v/>
      </c>
      <c r="EN1799" t="str">
        <f>IF(NOT(ISBLANK($B1799)),VLOOKUP($B1799,AssetCategories!$A:$E,3,0),"")</f>
        <v/>
      </c>
      <c r="EP1799" s="33" t="str">
        <f t="shared" si="57"/>
        <v/>
      </c>
    </row>
    <row r="1800" spans="16:146" x14ac:dyDescent="0.25">
      <c r="P1800" s="33" t="str" cm="1">
        <f t="array" ref="P1800">IFERROR(SUM(VALUE(_xlfn.TEXTSPLIT(O1800, ";"))), "")</f>
        <v/>
      </c>
      <c r="DO1800" t="str">
        <f t="shared" si="56"/>
        <v/>
      </c>
      <c r="EG1800" s="33" t="str">
        <f>IF(NOT(ISBLANK($B1800)),VLOOKUP($B1800,AssetCategories!$A:$E,5,0),"")</f>
        <v/>
      </c>
      <c r="EH1800" t="str">
        <f>IF(NOT(ISBLANK($B1800)),VLOOKUP($B1800,AssetCategories!$A:$E,4,0),"")</f>
        <v/>
      </c>
      <c r="EM1800" t="str">
        <f>IF(NOT(ISBLANK($B1800)),VLOOKUP($B1800,AssetCategories!$A:$E,2,0),"")</f>
        <v/>
      </c>
      <c r="EN1800" t="str">
        <f>IF(NOT(ISBLANK($B1800)),VLOOKUP($B1800,AssetCategories!$A:$E,3,0),"")</f>
        <v/>
      </c>
      <c r="EP1800" s="33" t="str">
        <f t="shared" si="57"/>
        <v/>
      </c>
    </row>
    <row r="1801" spans="16:146" x14ac:dyDescent="0.25">
      <c r="P1801" s="33" t="str" cm="1">
        <f t="array" ref="P1801">IFERROR(SUM(VALUE(_xlfn.TEXTSPLIT(O1801, ";"))), "")</f>
        <v/>
      </c>
      <c r="DO1801" t="str">
        <f t="shared" si="56"/>
        <v/>
      </c>
      <c r="EG1801" s="33" t="str">
        <f>IF(NOT(ISBLANK($B1801)),VLOOKUP($B1801,AssetCategories!$A:$E,5,0),"")</f>
        <v/>
      </c>
      <c r="EH1801" t="str">
        <f>IF(NOT(ISBLANK($B1801)),VLOOKUP($B1801,AssetCategories!$A:$E,4,0),"")</f>
        <v/>
      </c>
      <c r="EM1801" t="str">
        <f>IF(NOT(ISBLANK($B1801)),VLOOKUP($B1801,AssetCategories!$A:$E,2,0),"")</f>
        <v/>
      </c>
      <c r="EN1801" t="str">
        <f>IF(NOT(ISBLANK($B1801)),VLOOKUP($B1801,AssetCategories!$A:$E,3,0),"")</f>
        <v/>
      </c>
      <c r="EP1801" s="33" t="str">
        <f t="shared" si="57"/>
        <v/>
      </c>
    </row>
    <row r="1802" spans="16:146" x14ac:dyDescent="0.25">
      <c r="P1802" s="33" t="str" cm="1">
        <f t="array" ref="P1802">IFERROR(SUM(VALUE(_xlfn.TEXTSPLIT(O1802, ";"))), "")</f>
        <v/>
      </c>
      <c r="DO1802" t="str">
        <f t="shared" si="56"/>
        <v/>
      </c>
      <c r="EG1802" s="33" t="str">
        <f>IF(NOT(ISBLANK($B1802)),VLOOKUP($B1802,AssetCategories!$A:$E,5,0),"")</f>
        <v/>
      </c>
      <c r="EH1802" t="str">
        <f>IF(NOT(ISBLANK($B1802)),VLOOKUP($B1802,AssetCategories!$A:$E,4,0),"")</f>
        <v/>
      </c>
      <c r="EM1802" t="str">
        <f>IF(NOT(ISBLANK($B1802)),VLOOKUP($B1802,AssetCategories!$A:$E,2,0),"")</f>
        <v/>
      </c>
      <c r="EN1802" t="str">
        <f>IF(NOT(ISBLANK($B1802)),VLOOKUP($B1802,AssetCategories!$A:$E,3,0),"")</f>
        <v/>
      </c>
      <c r="EP1802" s="33" t="str">
        <f t="shared" si="57"/>
        <v/>
      </c>
    </row>
    <row r="1803" spans="16:146" x14ac:dyDescent="0.25">
      <c r="P1803" s="33" t="str" cm="1">
        <f t="array" ref="P1803">IFERROR(SUM(VALUE(_xlfn.TEXTSPLIT(O1803, ";"))), "")</f>
        <v/>
      </c>
      <c r="DO1803" t="str">
        <f t="shared" si="56"/>
        <v/>
      </c>
      <c r="EG1803" s="33" t="str">
        <f>IF(NOT(ISBLANK($B1803)),VLOOKUP($B1803,AssetCategories!$A:$E,5,0),"")</f>
        <v/>
      </c>
      <c r="EH1803" t="str">
        <f>IF(NOT(ISBLANK($B1803)),VLOOKUP($B1803,AssetCategories!$A:$E,4,0),"")</f>
        <v/>
      </c>
      <c r="EM1803" t="str">
        <f>IF(NOT(ISBLANK($B1803)),VLOOKUP($B1803,AssetCategories!$A:$E,2,0),"")</f>
        <v/>
      </c>
      <c r="EN1803" t="str">
        <f>IF(NOT(ISBLANK($B1803)),VLOOKUP($B1803,AssetCategories!$A:$E,3,0),"")</f>
        <v/>
      </c>
      <c r="EP1803" s="33" t="str">
        <f t="shared" si="57"/>
        <v/>
      </c>
    </row>
    <row r="1804" spans="16:146" x14ac:dyDescent="0.25">
      <c r="P1804" s="33" t="str" cm="1">
        <f t="array" ref="P1804">IFERROR(SUM(VALUE(_xlfn.TEXTSPLIT(O1804, ";"))), "")</f>
        <v/>
      </c>
      <c r="DO1804" t="str">
        <f t="shared" si="56"/>
        <v/>
      </c>
      <c r="EG1804" s="33" t="str">
        <f>IF(NOT(ISBLANK($B1804)),VLOOKUP($B1804,AssetCategories!$A:$E,5,0),"")</f>
        <v/>
      </c>
      <c r="EH1804" t="str">
        <f>IF(NOT(ISBLANK($B1804)),VLOOKUP($B1804,AssetCategories!$A:$E,4,0),"")</f>
        <v/>
      </c>
      <c r="EM1804" t="str">
        <f>IF(NOT(ISBLANK($B1804)),VLOOKUP($B1804,AssetCategories!$A:$E,2,0),"")</f>
        <v/>
      </c>
      <c r="EN1804" t="str">
        <f>IF(NOT(ISBLANK($B1804)),VLOOKUP($B1804,AssetCategories!$A:$E,3,0),"")</f>
        <v/>
      </c>
      <c r="EP1804" s="33" t="str">
        <f t="shared" si="57"/>
        <v/>
      </c>
    </row>
    <row r="1805" spans="16:146" x14ac:dyDescent="0.25">
      <c r="P1805" s="33" t="str" cm="1">
        <f t="array" ref="P1805">IFERROR(SUM(VALUE(_xlfn.TEXTSPLIT(O1805, ";"))), "")</f>
        <v/>
      </c>
      <c r="DO1805" t="str">
        <f t="shared" si="56"/>
        <v/>
      </c>
      <c r="EG1805" s="33" t="str">
        <f>IF(NOT(ISBLANK($B1805)),VLOOKUP($B1805,AssetCategories!$A:$E,5,0),"")</f>
        <v/>
      </c>
      <c r="EH1805" t="str">
        <f>IF(NOT(ISBLANK($B1805)),VLOOKUP($B1805,AssetCategories!$A:$E,4,0),"")</f>
        <v/>
      </c>
      <c r="EM1805" t="str">
        <f>IF(NOT(ISBLANK($B1805)),VLOOKUP($B1805,AssetCategories!$A:$E,2,0),"")</f>
        <v/>
      </c>
      <c r="EN1805" t="str">
        <f>IF(NOT(ISBLANK($B1805)),VLOOKUP($B1805,AssetCategories!$A:$E,3,0),"")</f>
        <v/>
      </c>
      <c r="EP1805" s="33" t="str">
        <f t="shared" si="57"/>
        <v/>
      </c>
    </row>
    <row r="1806" spans="16:146" x14ac:dyDescent="0.25">
      <c r="P1806" s="33" t="str" cm="1">
        <f t="array" ref="P1806">IFERROR(SUM(VALUE(_xlfn.TEXTSPLIT(O1806, ";"))), "")</f>
        <v/>
      </c>
      <c r="DO1806" t="str">
        <f t="shared" si="56"/>
        <v/>
      </c>
      <c r="EG1806" s="33" t="str">
        <f>IF(NOT(ISBLANK($B1806)),VLOOKUP($B1806,AssetCategories!$A:$E,5,0),"")</f>
        <v/>
      </c>
      <c r="EH1806" t="str">
        <f>IF(NOT(ISBLANK($B1806)),VLOOKUP($B1806,AssetCategories!$A:$E,4,0),"")</f>
        <v/>
      </c>
      <c r="EM1806" t="str">
        <f>IF(NOT(ISBLANK($B1806)),VLOOKUP($B1806,AssetCategories!$A:$E,2,0),"")</f>
        <v/>
      </c>
      <c r="EN1806" t="str">
        <f>IF(NOT(ISBLANK($B1806)),VLOOKUP($B1806,AssetCategories!$A:$E,3,0),"")</f>
        <v/>
      </c>
      <c r="EP1806" s="33" t="str">
        <f t="shared" si="57"/>
        <v/>
      </c>
    </row>
    <row r="1807" spans="16:146" x14ac:dyDescent="0.25">
      <c r="P1807" s="33" t="str" cm="1">
        <f t="array" ref="P1807">IFERROR(SUM(VALUE(_xlfn.TEXTSPLIT(O1807, ";"))), "")</f>
        <v/>
      </c>
      <c r="DO1807" t="str">
        <f t="shared" si="56"/>
        <v/>
      </c>
      <c r="EG1807" s="33" t="str">
        <f>IF(NOT(ISBLANK($B1807)),VLOOKUP($B1807,AssetCategories!$A:$E,5,0),"")</f>
        <v/>
      </c>
      <c r="EH1807" t="str">
        <f>IF(NOT(ISBLANK($B1807)),VLOOKUP($B1807,AssetCategories!$A:$E,4,0),"")</f>
        <v/>
      </c>
      <c r="EM1807" t="str">
        <f>IF(NOT(ISBLANK($B1807)),VLOOKUP($B1807,AssetCategories!$A:$E,2,0),"")</f>
        <v/>
      </c>
      <c r="EN1807" t="str">
        <f>IF(NOT(ISBLANK($B1807)),VLOOKUP($B1807,AssetCategories!$A:$E,3,0),"")</f>
        <v/>
      </c>
      <c r="EP1807" s="33" t="str">
        <f t="shared" si="57"/>
        <v/>
      </c>
    </row>
    <row r="1808" spans="16:146" x14ac:dyDescent="0.25">
      <c r="P1808" s="33" t="str" cm="1">
        <f t="array" ref="P1808">IFERROR(SUM(VALUE(_xlfn.TEXTSPLIT(O1808, ";"))), "")</f>
        <v/>
      </c>
      <c r="DO1808" t="str">
        <f t="shared" si="56"/>
        <v/>
      </c>
      <c r="EG1808" s="33" t="str">
        <f>IF(NOT(ISBLANK($B1808)),VLOOKUP($B1808,AssetCategories!$A:$E,5,0),"")</f>
        <v/>
      </c>
      <c r="EH1808" t="str">
        <f>IF(NOT(ISBLANK($B1808)),VLOOKUP($B1808,AssetCategories!$A:$E,4,0),"")</f>
        <v/>
      </c>
      <c r="EM1808" t="str">
        <f>IF(NOT(ISBLANK($B1808)),VLOOKUP($B1808,AssetCategories!$A:$E,2,0),"")</f>
        <v/>
      </c>
      <c r="EN1808" t="str">
        <f>IF(NOT(ISBLANK($B1808)),VLOOKUP($B1808,AssetCategories!$A:$E,3,0),"")</f>
        <v/>
      </c>
      <c r="EP1808" s="33" t="str">
        <f t="shared" si="57"/>
        <v/>
      </c>
    </row>
    <row r="1809" spans="16:146" x14ac:dyDescent="0.25">
      <c r="P1809" s="33" t="str" cm="1">
        <f t="array" ref="P1809">IFERROR(SUM(VALUE(_xlfn.TEXTSPLIT(O1809, ";"))), "")</f>
        <v/>
      </c>
      <c r="DO1809" t="str">
        <f t="shared" si="56"/>
        <v/>
      </c>
      <c r="EG1809" s="33" t="str">
        <f>IF(NOT(ISBLANK($B1809)),VLOOKUP($B1809,AssetCategories!$A:$E,5,0),"")</f>
        <v/>
      </c>
      <c r="EH1809" t="str">
        <f>IF(NOT(ISBLANK($B1809)),VLOOKUP($B1809,AssetCategories!$A:$E,4,0),"")</f>
        <v/>
      </c>
      <c r="EM1809" t="str">
        <f>IF(NOT(ISBLANK($B1809)),VLOOKUP($B1809,AssetCategories!$A:$E,2,0),"")</f>
        <v/>
      </c>
      <c r="EN1809" t="str">
        <f>IF(NOT(ISBLANK($B1809)),VLOOKUP($B1809,AssetCategories!$A:$E,3,0),"")</f>
        <v/>
      </c>
      <c r="EP1809" s="33" t="str">
        <f t="shared" si="57"/>
        <v/>
      </c>
    </row>
    <row r="1810" spans="16:146" x14ac:dyDescent="0.25">
      <c r="P1810" s="33" t="str" cm="1">
        <f t="array" ref="P1810">IFERROR(SUM(VALUE(_xlfn.TEXTSPLIT(O1810, ";"))), "")</f>
        <v/>
      </c>
      <c r="DO1810" t="str">
        <f t="shared" si="56"/>
        <v/>
      </c>
      <c r="EG1810" s="33" t="str">
        <f>IF(NOT(ISBLANK($B1810)),VLOOKUP($B1810,AssetCategories!$A:$E,5,0),"")</f>
        <v/>
      </c>
      <c r="EH1810" t="str">
        <f>IF(NOT(ISBLANK($B1810)),VLOOKUP($B1810,AssetCategories!$A:$E,4,0),"")</f>
        <v/>
      </c>
      <c r="EM1810" t="str">
        <f>IF(NOT(ISBLANK($B1810)),VLOOKUP($B1810,AssetCategories!$A:$E,2,0),"")</f>
        <v/>
      </c>
      <c r="EN1810" t="str">
        <f>IF(NOT(ISBLANK($B1810)),VLOOKUP($B1810,AssetCategories!$A:$E,3,0),"")</f>
        <v/>
      </c>
      <c r="EP1810" s="33" t="str">
        <f t="shared" si="57"/>
        <v/>
      </c>
    </row>
    <row r="1811" spans="16:146" x14ac:dyDescent="0.25">
      <c r="P1811" s="33" t="str" cm="1">
        <f t="array" ref="P1811">IFERROR(SUM(VALUE(_xlfn.TEXTSPLIT(O1811, ";"))), "")</f>
        <v/>
      </c>
      <c r="DO1811" t="str">
        <f t="shared" si="56"/>
        <v/>
      </c>
      <c r="EG1811" s="33" t="str">
        <f>IF(NOT(ISBLANK($B1811)),VLOOKUP($B1811,AssetCategories!$A:$E,5,0),"")</f>
        <v/>
      </c>
      <c r="EH1811" t="str">
        <f>IF(NOT(ISBLANK($B1811)),VLOOKUP($B1811,AssetCategories!$A:$E,4,0),"")</f>
        <v/>
      </c>
      <c r="EM1811" t="str">
        <f>IF(NOT(ISBLANK($B1811)),VLOOKUP($B1811,AssetCategories!$A:$E,2,0),"")</f>
        <v/>
      </c>
      <c r="EN1811" t="str">
        <f>IF(NOT(ISBLANK($B1811)),VLOOKUP($B1811,AssetCategories!$A:$E,3,0),"")</f>
        <v/>
      </c>
      <c r="EP1811" s="33" t="str">
        <f t="shared" si="57"/>
        <v/>
      </c>
    </row>
    <row r="1812" spans="16:146" x14ac:dyDescent="0.25">
      <c r="P1812" s="33" t="str" cm="1">
        <f t="array" ref="P1812">IFERROR(SUM(VALUE(_xlfn.TEXTSPLIT(O1812, ";"))), "")</f>
        <v/>
      </c>
      <c r="DO1812" t="str">
        <f t="shared" si="56"/>
        <v/>
      </c>
      <c r="EG1812" s="33" t="str">
        <f>IF(NOT(ISBLANK($B1812)),VLOOKUP($B1812,AssetCategories!$A:$E,5,0),"")</f>
        <v/>
      </c>
      <c r="EH1812" t="str">
        <f>IF(NOT(ISBLANK($B1812)),VLOOKUP($B1812,AssetCategories!$A:$E,4,0),"")</f>
        <v/>
      </c>
      <c r="EM1812" t="str">
        <f>IF(NOT(ISBLANK($B1812)),VLOOKUP($B1812,AssetCategories!$A:$E,2,0),"")</f>
        <v/>
      </c>
      <c r="EN1812" t="str">
        <f>IF(NOT(ISBLANK($B1812)),VLOOKUP($B1812,AssetCategories!$A:$E,3,0),"")</f>
        <v/>
      </c>
      <c r="EP1812" s="33" t="str">
        <f t="shared" si="57"/>
        <v/>
      </c>
    </row>
    <row r="1813" spans="16:146" x14ac:dyDescent="0.25">
      <c r="P1813" s="33" t="str" cm="1">
        <f t="array" ref="P1813">IFERROR(SUM(VALUE(_xlfn.TEXTSPLIT(O1813, ";"))), "")</f>
        <v/>
      </c>
      <c r="DO1813" t="str">
        <f t="shared" si="56"/>
        <v/>
      </c>
      <c r="EG1813" s="33" t="str">
        <f>IF(NOT(ISBLANK($B1813)),VLOOKUP($B1813,AssetCategories!$A:$E,5,0),"")</f>
        <v/>
      </c>
      <c r="EH1813" t="str">
        <f>IF(NOT(ISBLANK($B1813)),VLOOKUP($B1813,AssetCategories!$A:$E,4,0),"")</f>
        <v/>
      </c>
      <c r="EM1813" t="str">
        <f>IF(NOT(ISBLANK($B1813)),VLOOKUP($B1813,AssetCategories!$A:$E,2,0),"")</f>
        <v/>
      </c>
      <c r="EN1813" t="str">
        <f>IF(NOT(ISBLANK($B1813)),VLOOKUP($B1813,AssetCategories!$A:$E,3,0),"")</f>
        <v/>
      </c>
      <c r="EP1813" s="33" t="str">
        <f t="shared" si="57"/>
        <v/>
      </c>
    </row>
    <row r="1814" spans="16:146" x14ac:dyDescent="0.25">
      <c r="P1814" s="33" t="str" cm="1">
        <f t="array" ref="P1814">IFERROR(SUM(VALUE(_xlfn.TEXTSPLIT(O1814, ";"))), "")</f>
        <v/>
      </c>
      <c r="DO1814" t="str">
        <f t="shared" si="56"/>
        <v/>
      </c>
      <c r="EG1814" s="33" t="str">
        <f>IF(NOT(ISBLANK($B1814)),VLOOKUP($B1814,AssetCategories!$A:$E,5,0),"")</f>
        <v/>
      </c>
      <c r="EH1814" t="str">
        <f>IF(NOT(ISBLANK($B1814)),VLOOKUP($B1814,AssetCategories!$A:$E,4,0),"")</f>
        <v/>
      </c>
      <c r="EM1814" t="str">
        <f>IF(NOT(ISBLANK($B1814)),VLOOKUP($B1814,AssetCategories!$A:$E,2,0),"")</f>
        <v/>
      </c>
      <c r="EN1814" t="str">
        <f>IF(NOT(ISBLANK($B1814)),VLOOKUP($B1814,AssetCategories!$A:$E,3,0),"")</f>
        <v/>
      </c>
      <c r="EP1814" s="33" t="str">
        <f t="shared" si="57"/>
        <v/>
      </c>
    </row>
    <row r="1815" spans="16:146" x14ac:dyDescent="0.25">
      <c r="P1815" s="33" t="str" cm="1">
        <f t="array" ref="P1815">IFERROR(SUM(VALUE(_xlfn.TEXTSPLIT(O1815, ";"))), "")</f>
        <v/>
      </c>
      <c r="DO1815" t="str">
        <f t="shared" si="56"/>
        <v/>
      </c>
      <c r="EG1815" s="33" t="str">
        <f>IF(NOT(ISBLANK($B1815)),VLOOKUP($B1815,AssetCategories!$A:$E,5,0),"")</f>
        <v/>
      </c>
      <c r="EH1815" t="str">
        <f>IF(NOT(ISBLANK($B1815)),VLOOKUP($B1815,AssetCategories!$A:$E,4,0),"")</f>
        <v/>
      </c>
      <c r="EM1815" t="str">
        <f>IF(NOT(ISBLANK($B1815)),VLOOKUP($B1815,AssetCategories!$A:$E,2,0),"")</f>
        <v/>
      </c>
      <c r="EN1815" t="str">
        <f>IF(NOT(ISBLANK($B1815)),VLOOKUP($B1815,AssetCategories!$A:$E,3,0),"")</f>
        <v/>
      </c>
      <c r="EP1815" s="33" t="str">
        <f t="shared" si="57"/>
        <v/>
      </c>
    </row>
    <row r="1816" spans="16:146" x14ac:dyDescent="0.25">
      <c r="P1816" s="33" t="str" cm="1">
        <f t="array" ref="P1816">IFERROR(SUM(VALUE(_xlfn.TEXTSPLIT(O1816, ";"))), "")</f>
        <v/>
      </c>
      <c r="DO1816" t="str">
        <f t="shared" si="56"/>
        <v/>
      </c>
      <c r="EG1816" s="33" t="str">
        <f>IF(NOT(ISBLANK($B1816)),VLOOKUP($B1816,AssetCategories!$A:$E,5,0),"")</f>
        <v/>
      </c>
      <c r="EH1816" t="str">
        <f>IF(NOT(ISBLANK($B1816)),VLOOKUP($B1816,AssetCategories!$A:$E,4,0),"")</f>
        <v/>
      </c>
      <c r="EM1816" t="str">
        <f>IF(NOT(ISBLANK($B1816)),VLOOKUP($B1816,AssetCategories!$A:$E,2,0),"")</f>
        <v/>
      </c>
      <c r="EN1816" t="str">
        <f>IF(NOT(ISBLANK($B1816)),VLOOKUP($B1816,AssetCategories!$A:$E,3,0),"")</f>
        <v/>
      </c>
      <c r="EP1816" s="33" t="str">
        <f t="shared" si="57"/>
        <v/>
      </c>
    </row>
    <row r="1817" spans="16:146" x14ac:dyDescent="0.25">
      <c r="P1817" s="33" t="str" cm="1">
        <f t="array" ref="P1817">IFERROR(SUM(VALUE(_xlfn.TEXTSPLIT(O1817, ";"))), "")</f>
        <v/>
      </c>
      <c r="DO1817" t="str">
        <f t="shared" si="56"/>
        <v/>
      </c>
      <c r="EG1817" s="33" t="str">
        <f>IF(NOT(ISBLANK($B1817)),VLOOKUP($B1817,AssetCategories!$A:$E,5,0),"")</f>
        <v/>
      </c>
      <c r="EH1817" t="str">
        <f>IF(NOT(ISBLANK($B1817)),VLOOKUP($B1817,AssetCategories!$A:$E,4,0),"")</f>
        <v/>
      </c>
      <c r="EM1817" t="str">
        <f>IF(NOT(ISBLANK($B1817)),VLOOKUP($B1817,AssetCategories!$A:$E,2,0),"")</f>
        <v/>
      </c>
      <c r="EN1817" t="str">
        <f>IF(NOT(ISBLANK($B1817)),VLOOKUP($B1817,AssetCategories!$A:$E,3,0),"")</f>
        <v/>
      </c>
      <c r="EP1817" s="33" t="str">
        <f t="shared" si="57"/>
        <v/>
      </c>
    </row>
    <row r="1818" spans="16:146" x14ac:dyDescent="0.25">
      <c r="P1818" s="33" t="str" cm="1">
        <f t="array" ref="P1818">IFERROR(SUM(VALUE(_xlfn.TEXTSPLIT(O1818, ";"))), "")</f>
        <v/>
      </c>
      <c r="DO1818" t="str">
        <f t="shared" si="56"/>
        <v/>
      </c>
      <c r="EG1818" s="33" t="str">
        <f>IF(NOT(ISBLANK($B1818)),VLOOKUP($B1818,AssetCategories!$A:$E,5,0),"")</f>
        <v/>
      </c>
      <c r="EH1818" t="str">
        <f>IF(NOT(ISBLANK($B1818)),VLOOKUP($B1818,AssetCategories!$A:$E,4,0),"")</f>
        <v/>
      </c>
      <c r="EM1818" t="str">
        <f>IF(NOT(ISBLANK($B1818)),VLOOKUP($B1818,AssetCategories!$A:$E,2,0),"")</f>
        <v/>
      </c>
      <c r="EN1818" t="str">
        <f>IF(NOT(ISBLANK($B1818)),VLOOKUP($B1818,AssetCategories!$A:$E,3,0),"")</f>
        <v/>
      </c>
      <c r="EP1818" s="33" t="str">
        <f t="shared" si="57"/>
        <v/>
      </c>
    </row>
    <row r="1819" spans="16:146" x14ac:dyDescent="0.25">
      <c r="P1819" s="33" t="str" cm="1">
        <f t="array" ref="P1819">IFERROR(SUM(VALUE(_xlfn.TEXTSPLIT(O1819, ";"))), "")</f>
        <v/>
      </c>
      <c r="DO1819" t="str">
        <f t="shared" si="56"/>
        <v/>
      </c>
      <c r="EG1819" s="33" t="str">
        <f>IF(NOT(ISBLANK($B1819)),VLOOKUP($B1819,AssetCategories!$A:$E,5,0),"")</f>
        <v/>
      </c>
      <c r="EH1819" t="str">
        <f>IF(NOT(ISBLANK($B1819)),VLOOKUP($B1819,AssetCategories!$A:$E,4,0),"")</f>
        <v/>
      </c>
      <c r="EM1819" t="str">
        <f>IF(NOT(ISBLANK($B1819)),VLOOKUP($B1819,AssetCategories!$A:$E,2,0),"")</f>
        <v/>
      </c>
      <c r="EN1819" t="str">
        <f>IF(NOT(ISBLANK($B1819)),VLOOKUP($B1819,AssetCategories!$A:$E,3,0),"")</f>
        <v/>
      </c>
      <c r="EP1819" s="33" t="str">
        <f t="shared" si="57"/>
        <v/>
      </c>
    </row>
    <row r="1820" spans="16:146" x14ac:dyDescent="0.25">
      <c r="P1820" s="33" t="str" cm="1">
        <f t="array" ref="P1820">IFERROR(SUM(VALUE(_xlfn.TEXTSPLIT(O1820, ";"))), "")</f>
        <v/>
      </c>
      <c r="DO1820" t="str">
        <f t="shared" si="56"/>
        <v/>
      </c>
      <c r="EG1820" s="33" t="str">
        <f>IF(NOT(ISBLANK($B1820)),VLOOKUP($B1820,AssetCategories!$A:$E,5,0),"")</f>
        <v/>
      </c>
      <c r="EH1820" t="str">
        <f>IF(NOT(ISBLANK($B1820)),VLOOKUP($B1820,AssetCategories!$A:$E,4,0),"")</f>
        <v/>
      </c>
      <c r="EM1820" t="str">
        <f>IF(NOT(ISBLANK($B1820)),VLOOKUP($B1820,AssetCategories!$A:$E,2,0),"")</f>
        <v/>
      </c>
      <c r="EN1820" t="str">
        <f>IF(NOT(ISBLANK($B1820)),VLOOKUP($B1820,AssetCategories!$A:$E,3,0),"")</f>
        <v/>
      </c>
      <c r="EP1820" s="33" t="str">
        <f t="shared" si="57"/>
        <v/>
      </c>
    </row>
    <row r="1821" spans="16:146" x14ac:dyDescent="0.25">
      <c r="P1821" s="33" t="str" cm="1">
        <f t="array" ref="P1821">IFERROR(SUM(VALUE(_xlfn.TEXTSPLIT(O1821, ";"))), "")</f>
        <v/>
      </c>
      <c r="DO1821" t="str">
        <f t="shared" si="56"/>
        <v/>
      </c>
      <c r="EG1821" s="33" t="str">
        <f>IF(NOT(ISBLANK($B1821)),VLOOKUP($B1821,AssetCategories!$A:$E,5,0),"")</f>
        <v/>
      </c>
      <c r="EH1821" t="str">
        <f>IF(NOT(ISBLANK($B1821)),VLOOKUP($B1821,AssetCategories!$A:$E,4,0),"")</f>
        <v/>
      </c>
      <c r="EM1821" t="str">
        <f>IF(NOT(ISBLANK($B1821)),VLOOKUP($B1821,AssetCategories!$A:$E,2,0),"")</f>
        <v/>
      </c>
      <c r="EN1821" t="str">
        <f>IF(NOT(ISBLANK($B1821)),VLOOKUP($B1821,AssetCategories!$A:$E,3,0),"")</f>
        <v/>
      </c>
      <c r="EP1821" s="33" t="str">
        <f t="shared" si="57"/>
        <v/>
      </c>
    </row>
    <row r="1822" spans="16:146" x14ac:dyDescent="0.25">
      <c r="P1822" s="33" t="str" cm="1">
        <f t="array" ref="P1822">IFERROR(SUM(VALUE(_xlfn.TEXTSPLIT(O1822, ";"))), "")</f>
        <v/>
      </c>
      <c r="DO1822" t="str">
        <f t="shared" si="56"/>
        <v/>
      </c>
      <c r="EG1822" s="33" t="str">
        <f>IF(NOT(ISBLANK($B1822)),VLOOKUP($B1822,AssetCategories!$A:$E,5,0),"")</f>
        <v/>
      </c>
      <c r="EH1822" t="str">
        <f>IF(NOT(ISBLANK($B1822)),VLOOKUP($B1822,AssetCategories!$A:$E,4,0),"")</f>
        <v/>
      </c>
      <c r="EM1822" t="str">
        <f>IF(NOT(ISBLANK($B1822)),VLOOKUP($B1822,AssetCategories!$A:$E,2,0),"")</f>
        <v/>
      </c>
      <c r="EN1822" t="str">
        <f>IF(NOT(ISBLANK($B1822)),VLOOKUP($B1822,AssetCategories!$A:$E,3,0),"")</f>
        <v/>
      </c>
      <c r="EP1822" s="33" t="str">
        <f t="shared" si="57"/>
        <v/>
      </c>
    </row>
    <row r="1823" spans="16:146" x14ac:dyDescent="0.25">
      <c r="P1823" s="33" t="str" cm="1">
        <f t="array" ref="P1823">IFERROR(SUM(VALUE(_xlfn.TEXTSPLIT(O1823, ";"))), "")</f>
        <v/>
      </c>
      <c r="DO1823" t="str">
        <f t="shared" si="56"/>
        <v/>
      </c>
      <c r="EG1823" s="33" t="str">
        <f>IF(NOT(ISBLANK($B1823)),VLOOKUP($B1823,AssetCategories!$A:$E,5,0),"")</f>
        <v/>
      </c>
      <c r="EH1823" t="str">
        <f>IF(NOT(ISBLANK($B1823)),VLOOKUP($B1823,AssetCategories!$A:$E,4,0),"")</f>
        <v/>
      </c>
      <c r="EM1823" t="str">
        <f>IF(NOT(ISBLANK($B1823)),VLOOKUP($B1823,AssetCategories!$A:$E,2,0),"")</f>
        <v/>
      </c>
      <c r="EN1823" t="str">
        <f>IF(NOT(ISBLANK($B1823)),VLOOKUP($B1823,AssetCategories!$A:$E,3,0),"")</f>
        <v/>
      </c>
      <c r="EP1823" s="33" t="str">
        <f t="shared" si="57"/>
        <v/>
      </c>
    </row>
    <row r="1824" spans="16:146" x14ac:dyDescent="0.25">
      <c r="P1824" s="33" t="str" cm="1">
        <f t="array" ref="P1824">IFERROR(SUM(VALUE(_xlfn.TEXTSPLIT(O1824, ";"))), "")</f>
        <v/>
      </c>
      <c r="DO1824" t="str">
        <f t="shared" si="56"/>
        <v/>
      </c>
      <c r="EG1824" s="33" t="str">
        <f>IF(NOT(ISBLANK($B1824)),VLOOKUP($B1824,AssetCategories!$A:$E,5,0),"")</f>
        <v/>
      </c>
      <c r="EH1824" t="str">
        <f>IF(NOT(ISBLANK($B1824)),VLOOKUP($B1824,AssetCategories!$A:$E,4,0),"")</f>
        <v/>
      </c>
      <c r="EM1824" t="str">
        <f>IF(NOT(ISBLANK($B1824)),VLOOKUP($B1824,AssetCategories!$A:$E,2,0),"")</f>
        <v/>
      </c>
      <c r="EN1824" t="str">
        <f>IF(NOT(ISBLANK($B1824)),VLOOKUP($B1824,AssetCategories!$A:$E,3,0),"")</f>
        <v/>
      </c>
      <c r="EP1824" s="33" t="str">
        <f t="shared" si="57"/>
        <v/>
      </c>
    </row>
    <row r="1825" spans="16:146" x14ac:dyDescent="0.25">
      <c r="P1825" s="33" t="str" cm="1">
        <f t="array" ref="P1825">IFERROR(SUM(VALUE(_xlfn.TEXTSPLIT(O1825, ";"))), "")</f>
        <v/>
      </c>
      <c r="DO1825" t="str">
        <f t="shared" si="56"/>
        <v/>
      </c>
      <c r="EG1825" s="33" t="str">
        <f>IF(NOT(ISBLANK($B1825)),VLOOKUP($B1825,AssetCategories!$A:$E,5,0),"")</f>
        <v/>
      </c>
      <c r="EH1825" t="str">
        <f>IF(NOT(ISBLANK($B1825)),VLOOKUP($B1825,AssetCategories!$A:$E,4,0),"")</f>
        <v/>
      </c>
      <c r="EM1825" t="str">
        <f>IF(NOT(ISBLANK($B1825)),VLOOKUP($B1825,AssetCategories!$A:$E,2,0),"")</f>
        <v/>
      </c>
      <c r="EN1825" t="str">
        <f>IF(NOT(ISBLANK($B1825)),VLOOKUP($B1825,AssetCategories!$A:$E,3,0),"")</f>
        <v/>
      </c>
      <c r="EP1825" s="33" t="str">
        <f t="shared" si="57"/>
        <v/>
      </c>
    </row>
    <row r="1826" spans="16:146" x14ac:dyDescent="0.25">
      <c r="P1826" s="33" t="str" cm="1">
        <f t="array" ref="P1826">IFERROR(SUM(VALUE(_xlfn.TEXTSPLIT(O1826, ";"))), "")</f>
        <v/>
      </c>
      <c r="DO1826" t="str">
        <f t="shared" si="56"/>
        <v/>
      </c>
      <c r="EG1826" s="33" t="str">
        <f>IF(NOT(ISBLANK($B1826)),VLOOKUP($B1826,AssetCategories!$A:$E,5,0),"")</f>
        <v/>
      </c>
      <c r="EH1826" t="str">
        <f>IF(NOT(ISBLANK($B1826)),VLOOKUP($B1826,AssetCategories!$A:$E,4,0),"")</f>
        <v/>
      </c>
      <c r="EM1826" t="str">
        <f>IF(NOT(ISBLANK($B1826)),VLOOKUP($B1826,AssetCategories!$A:$E,2,0),"")</f>
        <v/>
      </c>
      <c r="EN1826" t="str">
        <f>IF(NOT(ISBLANK($B1826)),VLOOKUP($B1826,AssetCategories!$A:$E,3,0),"")</f>
        <v/>
      </c>
      <c r="EP1826" s="33" t="str">
        <f t="shared" si="57"/>
        <v/>
      </c>
    </row>
    <row r="1827" spans="16:146" x14ac:dyDescent="0.25">
      <c r="P1827" s="33" t="str" cm="1">
        <f t="array" ref="P1827">IFERROR(SUM(VALUE(_xlfn.TEXTSPLIT(O1827, ";"))), "")</f>
        <v/>
      </c>
      <c r="DO1827" t="str">
        <f t="shared" si="56"/>
        <v/>
      </c>
      <c r="EG1827" s="33" t="str">
        <f>IF(NOT(ISBLANK($B1827)),VLOOKUP($B1827,AssetCategories!$A:$E,5,0),"")</f>
        <v/>
      </c>
      <c r="EH1827" t="str">
        <f>IF(NOT(ISBLANK($B1827)),VLOOKUP($B1827,AssetCategories!$A:$E,4,0),"")</f>
        <v/>
      </c>
      <c r="EM1827" t="str">
        <f>IF(NOT(ISBLANK($B1827)),VLOOKUP($B1827,AssetCategories!$A:$E,2,0),"")</f>
        <v/>
      </c>
      <c r="EN1827" t="str">
        <f>IF(NOT(ISBLANK($B1827)),VLOOKUP($B1827,AssetCategories!$A:$E,3,0),"")</f>
        <v/>
      </c>
      <c r="EP1827" s="33" t="str">
        <f t="shared" si="57"/>
        <v/>
      </c>
    </row>
    <row r="1828" spans="16:146" x14ac:dyDescent="0.25">
      <c r="P1828" s="33" t="str" cm="1">
        <f t="array" ref="P1828">IFERROR(SUM(VALUE(_xlfn.TEXTSPLIT(O1828, ";"))), "")</f>
        <v/>
      </c>
      <c r="DO1828" t="str">
        <f t="shared" si="56"/>
        <v/>
      </c>
      <c r="EG1828" s="33" t="str">
        <f>IF(NOT(ISBLANK($B1828)),VLOOKUP($B1828,AssetCategories!$A:$E,5,0),"")</f>
        <v/>
      </c>
      <c r="EH1828" t="str">
        <f>IF(NOT(ISBLANK($B1828)),VLOOKUP($B1828,AssetCategories!$A:$E,4,0),"")</f>
        <v/>
      </c>
      <c r="EM1828" t="str">
        <f>IF(NOT(ISBLANK($B1828)),VLOOKUP($B1828,AssetCategories!$A:$E,2,0),"")</f>
        <v/>
      </c>
      <c r="EN1828" t="str">
        <f>IF(NOT(ISBLANK($B1828)),VLOOKUP($B1828,AssetCategories!$A:$E,3,0),"")</f>
        <v/>
      </c>
      <c r="EP1828" s="33" t="str">
        <f t="shared" si="57"/>
        <v/>
      </c>
    </row>
    <row r="1829" spans="16:146" x14ac:dyDescent="0.25">
      <c r="P1829" s="33" t="str" cm="1">
        <f t="array" ref="P1829">IFERROR(SUM(VALUE(_xlfn.TEXTSPLIT(O1829, ";"))), "")</f>
        <v/>
      </c>
      <c r="DO1829" t="str">
        <f t="shared" si="56"/>
        <v/>
      </c>
      <c r="EG1829" s="33" t="str">
        <f>IF(NOT(ISBLANK($B1829)),VLOOKUP($B1829,AssetCategories!$A:$E,5,0),"")</f>
        <v/>
      </c>
      <c r="EH1829" t="str">
        <f>IF(NOT(ISBLANK($B1829)),VLOOKUP($B1829,AssetCategories!$A:$E,4,0),"")</f>
        <v/>
      </c>
      <c r="EM1829" t="str">
        <f>IF(NOT(ISBLANK($B1829)),VLOOKUP($B1829,AssetCategories!$A:$E,2,0),"")</f>
        <v/>
      </c>
      <c r="EN1829" t="str">
        <f>IF(NOT(ISBLANK($B1829)),VLOOKUP($B1829,AssetCategories!$A:$E,3,0),"")</f>
        <v/>
      </c>
      <c r="EP1829" s="33" t="str">
        <f t="shared" si="57"/>
        <v/>
      </c>
    </row>
    <row r="1830" spans="16:146" x14ac:dyDescent="0.25">
      <c r="P1830" s="33" t="str" cm="1">
        <f t="array" ref="P1830">IFERROR(SUM(VALUE(_xlfn.TEXTSPLIT(O1830, ";"))), "")</f>
        <v/>
      </c>
      <c r="DO1830" t="str">
        <f t="shared" si="56"/>
        <v/>
      </c>
      <c r="EG1830" s="33" t="str">
        <f>IF(NOT(ISBLANK($B1830)),VLOOKUP($B1830,AssetCategories!$A:$E,5,0),"")</f>
        <v/>
      </c>
      <c r="EH1830" t="str">
        <f>IF(NOT(ISBLANK($B1830)),VLOOKUP($B1830,AssetCategories!$A:$E,4,0),"")</f>
        <v/>
      </c>
      <c r="EM1830" t="str">
        <f>IF(NOT(ISBLANK($B1830)),VLOOKUP($B1830,AssetCategories!$A:$E,2,0),"")</f>
        <v/>
      </c>
      <c r="EN1830" t="str">
        <f>IF(NOT(ISBLANK($B1830)),VLOOKUP($B1830,AssetCategories!$A:$E,3,0),"")</f>
        <v/>
      </c>
      <c r="EP1830" s="33" t="str">
        <f t="shared" si="57"/>
        <v/>
      </c>
    </row>
    <row r="1831" spans="16:146" x14ac:dyDescent="0.25">
      <c r="P1831" s="33" t="str" cm="1">
        <f t="array" ref="P1831">IFERROR(SUM(VALUE(_xlfn.TEXTSPLIT(O1831, ";"))), "")</f>
        <v/>
      </c>
      <c r="DO1831" t="str">
        <f t="shared" si="56"/>
        <v/>
      </c>
      <c r="EG1831" s="33" t="str">
        <f>IF(NOT(ISBLANK($B1831)),VLOOKUP($B1831,AssetCategories!$A:$E,5,0),"")</f>
        <v/>
      </c>
      <c r="EH1831" t="str">
        <f>IF(NOT(ISBLANK($B1831)),VLOOKUP($B1831,AssetCategories!$A:$E,4,0),"")</f>
        <v/>
      </c>
      <c r="EM1831" t="str">
        <f>IF(NOT(ISBLANK($B1831)),VLOOKUP($B1831,AssetCategories!$A:$E,2,0),"")</f>
        <v/>
      </c>
      <c r="EN1831" t="str">
        <f>IF(NOT(ISBLANK($B1831)),VLOOKUP($B1831,AssetCategories!$A:$E,3,0),"")</f>
        <v/>
      </c>
      <c r="EP1831" s="33" t="str">
        <f t="shared" si="57"/>
        <v/>
      </c>
    </row>
    <row r="1832" spans="16:146" x14ac:dyDescent="0.25">
      <c r="P1832" s="33" t="str" cm="1">
        <f t="array" ref="P1832">IFERROR(SUM(VALUE(_xlfn.TEXTSPLIT(O1832, ";"))), "")</f>
        <v/>
      </c>
      <c r="DO1832" t="str">
        <f t="shared" si="56"/>
        <v/>
      </c>
      <c r="EG1832" s="33" t="str">
        <f>IF(NOT(ISBLANK($B1832)),VLOOKUP($B1832,AssetCategories!$A:$E,5,0),"")</f>
        <v/>
      </c>
      <c r="EH1832" t="str">
        <f>IF(NOT(ISBLANK($B1832)),VLOOKUP($B1832,AssetCategories!$A:$E,4,0),"")</f>
        <v/>
      </c>
      <c r="EM1832" t="str">
        <f>IF(NOT(ISBLANK($B1832)),VLOOKUP($B1832,AssetCategories!$A:$E,2,0),"")</f>
        <v/>
      </c>
      <c r="EN1832" t="str">
        <f>IF(NOT(ISBLANK($B1832)),VLOOKUP($B1832,AssetCategories!$A:$E,3,0),"")</f>
        <v/>
      </c>
      <c r="EP1832" s="33" t="str">
        <f t="shared" si="57"/>
        <v/>
      </c>
    </row>
    <row r="1833" spans="16:146" x14ac:dyDescent="0.25">
      <c r="P1833" s="33" t="str" cm="1">
        <f t="array" ref="P1833">IFERROR(SUM(VALUE(_xlfn.TEXTSPLIT(O1833, ";"))), "")</f>
        <v/>
      </c>
      <c r="DO1833" t="str">
        <f t="shared" si="56"/>
        <v/>
      </c>
      <c r="EG1833" s="33" t="str">
        <f>IF(NOT(ISBLANK($B1833)),VLOOKUP($B1833,AssetCategories!$A:$E,5,0),"")</f>
        <v/>
      </c>
      <c r="EH1833" t="str">
        <f>IF(NOT(ISBLANK($B1833)),VLOOKUP($B1833,AssetCategories!$A:$E,4,0),"")</f>
        <v/>
      </c>
      <c r="EM1833" t="str">
        <f>IF(NOT(ISBLANK($B1833)),VLOOKUP($B1833,AssetCategories!$A:$E,2,0),"")</f>
        <v/>
      </c>
      <c r="EN1833" t="str">
        <f>IF(NOT(ISBLANK($B1833)),VLOOKUP($B1833,AssetCategories!$A:$E,3,0),"")</f>
        <v/>
      </c>
      <c r="EP1833" s="33" t="str">
        <f t="shared" si="57"/>
        <v/>
      </c>
    </row>
    <row r="1834" spans="16:146" x14ac:dyDescent="0.25">
      <c r="P1834" s="33" t="str" cm="1">
        <f t="array" ref="P1834">IFERROR(SUM(VALUE(_xlfn.TEXTSPLIT(O1834, ";"))), "")</f>
        <v/>
      </c>
      <c r="DO1834" t="str">
        <f t="shared" si="56"/>
        <v/>
      </c>
      <c r="EG1834" s="33" t="str">
        <f>IF(NOT(ISBLANK($B1834)),VLOOKUP($B1834,AssetCategories!$A:$E,5,0),"")</f>
        <v/>
      </c>
      <c r="EH1834" t="str">
        <f>IF(NOT(ISBLANK($B1834)),VLOOKUP($B1834,AssetCategories!$A:$E,4,0),"")</f>
        <v/>
      </c>
      <c r="EM1834" t="str">
        <f>IF(NOT(ISBLANK($B1834)),VLOOKUP($B1834,AssetCategories!$A:$E,2,0),"")</f>
        <v/>
      </c>
      <c r="EN1834" t="str">
        <f>IF(NOT(ISBLANK($B1834)),VLOOKUP($B1834,AssetCategories!$A:$E,3,0),"")</f>
        <v/>
      </c>
      <c r="EP1834" s="33" t="str">
        <f t="shared" si="57"/>
        <v/>
      </c>
    </row>
    <row r="1835" spans="16:146" x14ac:dyDescent="0.25">
      <c r="P1835" s="33" t="str" cm="1">
        <f t="array" ref="P1835">IFERROR(SUM(VALUE(_xlfn.TEXTSPLIT(O1835, ";"))), "")</f>
        <v/>
      </c>
      <c r="DO1835" t="str">
        <f t="shared" si="56"/>
        <v/>
      </c>
      <c r="EG1835" s="33" t="str">
        <f>IF(NOT(ISBLANK($B1835)),VLOOKUP($B1835,AssetCategories!$A:$E,5,0),"")</f>
        <v/>
      </c>
      <c r="EH1835" t="str">
        <f>IF(NOT(ISBLANK($B1835)),VLOOKUP($B1835,AssetCategories!$A:$E,4,0),"")</f>
        <v/>
      </c>
      <c r="EM1835" t="str">
        <f>IF(NOT(ISBLANK($B1835)),VLOOKUP($B1835,AssetCategories!$A:$E,2,0),"")</f>
        <v/>
      </c>
      <c r="EN1835" t="str">
        <f>IF(NOT(ISBLANK($B1835)),VLOOKUP($B1835,AssetCategories!$A:$E,3,0),"")</f>
        <v/>
      </c>
      <c r="EP1835" s="33" t="str">
        <f t="shared" si="57"/>
        <v/>
      </c>
    </row>
    <row r="1836" spans="16:146" x14ac:dyDescent="0.25">
      <c r="P1836" s="33" t="str" cm="1">
        <f t="array" ref="P1836">IFERROR(SUM(VALUE(_xlfn.TEXTSPLIT(O1836, ";"))), "")</f>
        <v/>
      </c>
      <c r="DO1836" t="str">
        <f t="shared" si="56"/>
        <v/>
      </c>
      <c r="EG1836" s="33" t="str">
        <f>IF(NOT(ISBLANK($B1836)),VLOOKUP($B1836,AssetCategories!$A:$E,5,0),"")</f>
        <v/>
      </c>
      <c r="EH1836" t="str">
        <f>IF(NOT(ISBLANK($B1836)),VLOOKUP($B1836,AssetCategories!$A:$E,4,0),"")</f>
        <v/>
      </c>
      <c r="EM1836" t="str">
        <f>IF(NOT(ISBLANK($B1836)),VLOOKUP($B1836,AssetCategories!$A:$E,2,0),"")</f>
        <v/>
      </c>
      <c r="EN1836" t="str">
        <f>IF(NOT(ISBLANK($B1836)),VLOOKUP($B1836,AssetCategories!$A:$E,3,0),"")</f>
        <v/>
      </c>
      <c r="EP1836" s="33" t="str">
        <f t="shared" si="57"/>
        <v/>
      </c>
    </row>
    <row r="1837" spans="16:146" x14ac:dyDescent="0.25">
      <c r="P1837" s="33" t="str" cm="1">
        <f t="array" ref="P1837">IFERROR(SUM(VALUE(_xlfn.TEXTSPLIT(O1837, ";"))), "")</f>
        <v/>
      </c>
      <c r="DO1837" t="str">
        <f t="shared" si="56"/>
        <v/>
      </c>
      <c r="EG1837" s="33" t="str">
        <f>IF(NOT(ISBLANK($B1837)),VLOOKUP($B1837,AssetCategories!$A:$E,5,0),"")</f>
        <v/>
      </c>
      <c r="EH1837" t="str">
        <f>IF(NOT(ISBLANK($B1837)),VLOOKUP($B1837,AssetCategories!$A:$E,4,0),"")</f>
        <v/>
      </c>
      <c r="EM1837" t="str">
        <f>IF(NOT(ISBLANK($B1837)),VLOOKUP($B1837,AssetCategories!$A:$E,2,0),"")</f>
        <v/>
      </c>
      <c r="EN1837" t="str">
        <f>IF(NOT(ISBLANK($B1837)),VLOOKUP($B1837,AssetCategories!$A:$E,3,0),"")</f>
        <v/>
      </c>
      <c r="EP1837" s="33" t="str">
        <f t="shared" si="57"/>
        <v/>
      </c>
    </row>
    <row r="1838" spans="16:146" x14ac:dyDescent="0.25">
      <c r="P1838" s="33" t="str" cm="1">
        <f t="array" ref="P1838">IFERROR(SUM(VALUE(_xlfn.TEXTSPLIT(O1838, ";"))), "")</f>
        <v/>
      </c>
      <c r="DO1838" t="str">
        <f t="shared" si="56"/>
        <v/>
      </c>
      <c r="EG1838" s="33" t="str">
        <f>IF(NOT(ISBLANK($B1838)),VLOOKUP($B1838,AssetCategories!$A:$E,5,0),"")</f>
        <v/>
      </c>
      <c r="EH1838" t="str">
        <f>IF(NOT(ISBLANK($B1838)),VLOOKUP($B1838,AssetCategories!$A:$E,4,0),"")</f>
        <v/>
      </c>
      <c r="EM1838" t="str">
        <f>IF(NOT(ISBLANK($B1838)),VLOOKUP($B1838,AssetCategories!$A:$E,2,0),"")</f>
        <v/>
      </c>
      <c r="EN1838" t="str">
        <f>IF(NOT(ISBLANK($B1838)),VLOOKUP($B1838,AssetCategories!$A:$E,3,0),"")</f>
        <v/>
      </c>
      <c r="EP1838" s="33" t="str">
        <f t="shared" si="57"/>
        <v/>
      </c>
    </row>
    <row r="1839" spans="16:146" x14ac:dyDescent="0.25">
      <c r="P1839" s="33" t="str" cm="1">
        <f t="array" ref="P1839">IFERROR(SUM(VALUE(_xlfn.TEXTSPLIT(O1839, ";"))), "")</f>
        <v/>
      </c>
      <c r="DO1839" t="str">
        <f t="shared" si="56"/>
        <v/>
      </c>
      <c r="EG1839" s="33" t="str">
        <f>IF(NOT(ISBLANK($B1839)),VLOOKUP($B1839,AssetCategories!$A:$E,5,0),"")</f>
        <v/>
      </c>
      <c r="EH1839" t="str">
        <f>IF(NOT(ISBLANK($B1839)),VLOOKUP($B1839,AssetCategories!$A:$E,4,0),"")</f>
        <v/>
      </c>
      <c r="EM1839" t="str">
        <f>IF(NOT(ISBLANK($B1839)),VLOOKUP($B1839,AssetCategories!$A:$E,2,0),"")</f>
        <v/>
      </c>
      <c r="EN1839" t="str">
        <f>IF(NOT(ISBLANK($B1839)),VLOOKUP($B1839,AssetCategories!$A:$E,3,0),"")</f>
        <v/>
      </c>
      <c r="EP1839" s="33" t="str">
        <f t="shared" si="57"/>
        <v/>
      </c>
    </row>
    <row r="1840" spans="16:146" x14ac:dyDescent="0.25">
      <c r="P1840" s="33" t="str" cm="1">
        <f t="array" ref="P1840">IFERROR(SUM(VALUE(_xlfn.TEXTSPLIT(O1840, ";"))), "")</f>
        <v/>
      </c>
      <c r="DO1840" t="str">
        <f t="shared" si="56"/>
        <v/>
      </c>
      <c r="EG1840" s="33" t="str">
        <f>IF(NOT(ISBLANK($B1840)),VLOOKUP($B1840,AssetCategories!$A:$E,5,0),"")</f>
        <v/>
      </c>
      <c r="EH1840" t="str">
        <f>IF(NOT(ISBLANK($B1840)),VLOOKUP($B1840,AssetCategories!$A:$E,4,0),"")</f>
        <v/>
      </c>
      <c r="EM1840" t="str">
        <f>IF(NOT(ISBLANK($B1840)),VLOOKUP($B1840,AssetCategories!$A:$E,2,0),"")</f>
        <v/>
      </c>
      <c r="EN1840" t="str">
        <f>IF(NOT(ISBLANK($B1840)),VLOOKUP($B1840,AssetCategories!$A:$E,3,0),"")</f>
        <v/>
      </c>
      <c r="EP1840" s="33" t="str">
        <f t="shared" si="57"/>
        <v/>
      </c>
    </row>
    <row r="1841" spans="16:146" x14ac:dyDescent="0.25">
      <c r="P1841" s="33" t="str" cm="1">
        <f t="array" ref="P1841">IFERROR(SUM(VALUE(_xlfn.TEXTSPLIT(O1841, ";"))), "")</f>
        <v/>
      </c>
      <c r="DO1841" t="str">
        <f t="shared" si="56"/>
        <v/>
      </c>
      <c r="EG1841" s="33" t="str">
        <f>IF(NOT(ISBLANK($B1841)),VLOOKUP($B1841,AssetCategories!$A:$E,5,0),"")</f>
        <v/>
      </c>
      <c r="EH1841" t="str">
        <f>IF(NOT(ISBLANK($B1841)),VLOOKUP($B1841,AssetCategories!$A:$E,4,0),"")</f>
        <v/>
      </c>
      <c r="EM1841" t="str">
        <f>IF(NOT(ISBLANK($B1841)),VLOOKUP($B1841,AssetCategories!$A:$E,2,0),"")</f>
        <v/>
      </c>
      <c r="EN1841" t="str">
        <f>IF(NOT(ISBLANK($B1841)),VLOOKUP($B1841,AssetCategories!$A:$E,3,0),"")</f>
        <v/>
      </c>
      <c r="EP1841" s="33" t="str">
        <f t="shared" si="57"/>
        <v/>
      </c>
    </row>
    <row r="1842" spans="16:146" x14ac:dyDescent="0.25">
      <c r="P1842" s="33" t="str" cm="1">
        <f t="array" ref="P1842">IFERROR(SUM(VALUE(_xlfn.TEXTSPLIT(O1842, ";"))), "")</f>
        <v/>
      </c>
      <c r="DO1842" t="str">
        <f t="shared" si="56"/>
        <v/>
      </c>
      <c r="EG1842" s="33" t="str">
        <f>IF(NOT(ISBLANK($B1842)),VLOOKUP($B1842,AssetCategories!$A:$E,5,0),"")</f>
        <v/>
      </c>
      <c r="EH1842" t="str">
        <f>IF(NOT(ISBLANK($B1842)),VLOOKUP($B1842,AssetCategories!$A:$E,4,0),"")</f>
        <v/>
      </c>
      <c r="EM1842" t="str">
        <f>IF(NOT(ISBLANK($B1842)),VLOOKUP($B1842,AssetCategories!$A:$E,2,0),"")</f>
        <v/>
      </c>
      <c r="EN1842" t="str">
        <f>IF(NOT(ISBLANK($B1842)),VLOOKUP($B1842,AssetCategories!$A:$E,3,0),"")</f>
        <v/>
      </c>
      <c r="EP1842" s="33" t="str">
        <f t="shared" si="57"/>
        <v/>
      </c>
    </row>
    <row r="1843" spans="16:146" x14ac:dyDescent="0.25">
      <c r="P1843" s="33" t="str" cm="1">
        <f t="array" ref="P1843">IFERROR(SUM(VALUE(_xlfn.TEXTSPLIT(O1843, ";"))), "")</f>
        <v/>
      </c>
      <c r="DO1843" t="str">
        <f t="shared" si="56"/>
        <v/>
      </c>
      <c r="EG1843" s="33" t="str">
        <f>IF(NOT(ISBLANK($B1843)),VLOOKUP($B1843,AssetCategories!$A:$E,5,0),"")</f>
        <v/>
      </c>
      <c r="EH1843" t="str">
        <f>IF(NOT(ISBLANK($B1843)),VLOOKUP($B1843,AssetCategories!$A:$E,4,0),"")</f>
        <v/>
      </c>
      <c r="EM1843" t="str">
        <f>IF(NOT(ISBLANK($B1843)),VLOOKUP($B1843,AssetCategories!$A:$E,2,0),"")</f>
        <v/>
      </c>
      <c r="EN1843" t="str">
        <f>IF(NOT(ISBLANK($B1843)),VLOOKUP($B1843,AssetCategories!$A:$E,3,0),"")</f>
        <v/>
      </c>
      <c r="EP1843" s="33" t="str">
        <f t="shared" si="57"/>
        <v/>
      </c>
    </row>
    <row r="1844" spans="16:146" x14ac:dyDescent="0.25">
      <c r="P1844" s="33" t="str" cm="1">
        <f t="array" ref="P1844">IFERROR(SUM(VALUE(_xlfn.TEXTSPLIT(O1844, ";"))), "")</f>
        <v/>
      </c>
      <c r="DO1844" t="str">
        <f t="shared" si="56"/>
        <v/>
      </c>
      <c r="EG1844" s="33" t="str">
        <f>IF(NOT(ISBLANK($B1844)),VLOOKUP($B1844,AssetCategories!$A:$E,5,0),"")</f>
        <v/>
      </c>
      <c r="EH1844" t="str">
        <f>IF(NOT(ISBLANK($B1844)),VLOOKUP($B1844,AssetCategories!$A:$E,4,0),"")</f>
        <v/>
      </c>
      <c r="EM1844" t="str">
        <f>IF(NOT(ISBLANK($B1844)),VLOOKUP($B1844,AssetCategories!$A:$E,2,0),"")</f>
        <v/>
      </c>
      <c r="EN1844" t="str">
        <f>IF(NOT(ISBLANK($B1844)),VLOOKUP($B1844,AssetCategories!$A:$E,3,0),"")</f>
        <v/>
      </c>
      <c r="EP1844" s="33" t="str">
        <f t="shared" si="57"/>
        <v/>
      </c>
    </row>
    <row r="1845" spans="16:146" x14ac:dyDescent="0.25">
      <c r="P1845" s="33" t="str" cm="1">
        <f t="array" ref="P1845">IFERROR(SUM(VALUE(_xlfn.TEXTSPLIT(O1845, ";"))), "")</f>
        <v/>
      </c>
      <c r="DO1845" t="str">
        <f t="shared" si="56"/>
        <v/>
      </c>
      <c r="EG1845" s="33" t="str">
        <f>IF(NOT(ISBLANK($B1845)),VLOOKUP($B1845,AssetCategories!$A:$E,5,0),"")</f>
        <v/>
      </c>
      <c r="EH1845" t="str">
        <f>IF(NOT(ISBLANK($B1845)),VLOOKUP($B1845,AssetCategories!$A:$E,4,0),"")</f>
        <v/>
      </c>
      <c r="EM1845" t="str">
        <f>IF(NOT(ISBLANK($B1845)),VLOOKUP($B1845,AssetCategories!$A:$E,2,0),"")</f>
        <v/>
      </c>
      <c r="EN1845" t="str">
        <f>IF(NOT(ISBLANK($B1845)),VLOOKUP($B1845,AssetCategories!$A:$E,3,0),"")</f>
        <v/>
      </c>
      <c r="EP1845" s="33" t="str">
        <f t="shared" si="57"/>
        <v/>
      </c>
    </row>
    <row r="1846" spans="16:146" x14ac:dyDescent="0.25">
      <c r="P1846" s="33" t="str" cm="1">
        <f t="array" ref="P1846">IFERROR(SUM(VALUE(_xlfn.TEXTSPLIT(O1846, ";"))), "")</f>
        <v/>
      </c>
      <c r="DO1846" t="str">
        <f t="shared" si="56"/>
        <v/>
      </c>
      <c r="EG1846" s="33" t="str">
        <f>IF(NOT(ISBLANK($B1846)),VLOOKUP($B1846,AssetCategories!$A:$E,5,0),"")</f>
        <v/>
      </c>
      <c r="EH1846" t="str">
        <f>IF(NOT(ISBLANK($B1846)),VLOOKUP($B1846,AssetCategories!$A:$E,4,0),"")</f>
        <v/>
      </c>
      <c r="EM1846" t="str">
        <f>IF(NOT(ISBLANK($B1846)),VLOOKUP($B1846,AssetCategories!$A:$E,2,0),"")</f>
        <v/>
      </c>
      <c r="EN1846" t="str">
        <f>IF(NOT(ISBLANK($B1846)),VLOOKUP($B1846,AssetCategories!$A:$E,3,0),"")</f>
        <v/>
      </c>
      <c r="EP1846" s="33" t="str">
        <f t="shared" si="57"/>
        <v/>
      </c>
    </row>
    <row r="1847" spans="16:146" x14ac:dyDescent="0.25">
      <c r="P1847" s="33" t="str" cm="1">
        <f t="array" ref="P1847">IFERROR(SUM(VALUE(_xlfn.TEXTSPLIT(O1847, ";"))), "")</f>
        <v/>
      </c>
      <c r="DO1847" t="str">
        <f t="shared" si="56"/>
        <v/>
      </c>
      <c r="EG1847" s="33" t="str">
        <f>IF(NOT(ISBLANK($B1847)),VLOOKUP($B1847,AssetCategories!$A:$E,5,0),"")</f>
        <v/>
      </c>
      <c r="EH1847" t="str">
        <f>IF(NOT(ISBLANK($B1847)),VLOOKUP($B1847,AssetCategories!$A:$E,4,0),"")</f>
        <v/>
      </c>
      <c r="EM1847" t="str">
        <f>IF(NOT(ISBLANK($B1847)),VLOOKUP($B1847,AssetCategories!$A:$E,2,0),"")</f>
        <v/>
      </c>
      <c r="EN1847" t="str">
        <f>IF(NOT(ISBLANK($B1847)),VLOOKUP($B1847,AssetCategories!$A:$E,3,0),"")</f>
        <v/>
      </c>
      <c r="EP1847" s="33" t="str">
        <f t="shared" si="57"/>
        <v/>
      </c>
    </row>
    <row r="1848" spans="16:146" x14ac:dyDescent="0.25">
      <c r="P1848" s="33" t="str" cm="1">
        <f t="array" ref="P1848">IFERROR(SUM(VALUE(_xlfn.TEXTSPLIT(O1848, ";"))), "")</f>
        <v/>
      </c>
      <c r="DO1848" t="str">
        <f t="shared" si="56"/>
        <v/>
      </c>
      <c r="EG1848" s="33" t="str">
        <f>IF(NOT(ISBLANK($B1848)),VLOOKUP($B1848,AssetCategories!$A:$E,5,0),"")</f>
        <v/>
      </c>
      <c r="EH1848" t="str">
        <f>IF(NOT(ISBLANK($B1848)),VLOOKUP($B1848,AssetCategories!$A:$E,4,0),"")</f>
        <v/>
      </c>
      <c r="EM1848" t="str">
        <f>IF(NOT(ISBLANK($B1848)),VLOOKUP($B1848,AssetCategories!$A:$E,2,0),"")</f>
        <v/>
      </c>
      <c r="EN1848" t="str">
        <f>IF(NOT(ISBLANK($B1848)),VLOOKUP($B1848,AssetCategories!$A:$E,3,0),"")</f>
        <v/>
      </c>
      <c r="EP1848" s="33" t="str">
        <f t="shared" si="57"/>
        <v/>
      </c>
    </row>
    <row r="1849" spans="16:146" x14ac:dyDescent="0.25">
      <c r="P1849" s="33" t="str" cm="1">
        <f t="array" ref="P1849">IFERROR(SUM(VALUE(_xlfn.TEXTSPLIT(O1849, ";"))), "")</f>
        <v/>
      </c>
      <c r="DO1849" t="str">
        <f t="shared" si="56"/>
        <v/>
      </c>
      <c r="EG1849" s="33" t="str">
        <f>IF(NOT(ISBLANK($B1849)),VLOOKUP($B1849,AssetCategories!$A:$E,5,0),"")</f>
        <v/>
      </c>
      <c r="EH1849" t="str">
        <f>IF(NOT(ISBLANK($B1849)),VLOOKUP($B1849,AssetCategories!$A:$E,4,0),"")</f>
        <v/>
      </c>
      <c r="EM1849" t="str">
        <f>IF(NOT(ISBLANK($B1849)),VLOOKUP($B1849,AssetCategories!$A:$E,2,0),"")</f>
        <v/>
      </c>
      <c r="EN1849" t="str">
        <f>IF(NOT(ISBLANK($B1849)),VLOOKUP($B1849,AssetCategories!$A:$E,3,0),"")</f>
        <v/>
      </c>
      <c r="EP1849" s="33" t="str">
        <f t="shared" si="57"/>
        <v/>
      </c>
    </row>
    <row r="1850" spans="16:146" x14ac:dyDescent="0.25">
      <c r="P1850" s="33" t="str" cm="1">
        <f t="array" ref="P1850">IFERROR(SUM(VALUE(_xlfn.TEXTSPLIT(O1850, ";"))), "")</f>
        <v/>
      </c>
      <c r="DO1850" t="str">
        <f t="shared" si="56"/>
        <v/>
      </c>
      <c r="EG1850" s="33" t="str">
        <f>IF(NOT(ISBLANK($B1850)),VLOOKUP($B1850,AssetCategories!$A:$E,5,0),"")</f>
        <v/>
      </c>
      <c r="EH1850" t="str">
        <f>IF(NOT(ISBLANK($B1850)),VLOOKUP($B1850,AssetCategories!$A:$E,4,0),"")</f>
        <v/>
      </c>
      <c r="EM1850" t="str">
        <f>IF(NOT(ISBLANK($B1850)),VLOOKUP($B1850,AssetCategories!$A:$E,2,0),"")</f>
        <v/>
      </c>
      <c r="EN1850" t="str">
        <f>IF(NOT(ISBLANK($B1850)),VLOOKUP($B1850,AssetCategories!$A:$E,3,0),"")</f>
        <v/>
      </c>
      <c r="EP1850" s="33" t="str">
        <f t="shared" si="57"/>
        <v/>
      </c>
    </row>
    <row r="1851" spans="16:146" x14ac:dyDescent="0.25">
      <c r="P1851" s="33" t="str" cm="1">
        <f t="array" ref="P1851">IFERROR(SUM(VALUE(_xlfn.TEXTSPLIT(O1851, ";"))), "")</f>
        <v/>
      </c>
      <c r="DO1851" t="str">
        <f t="shared" si="56"/>
        <v/>
      </c>
      <c r="EG1851" s="33" t="str">
        <f>IF(NOT(ISBLANK($B1851)),VLOOKUP($B1851,AssetCategories!$A:$E,5,0),"")</f>
        <v/>
      </c>
      <c r="EH1851" t="str">
        <f>IF(NOT(ISBLANK($B1851)),VLOOKUP($B1851,AssetCategories!$A:$E,4,0),"")</f>
        <v/>
      </c>
      <c r="EM1851" t="str">
        <f>IF(NOT(ISBLANK($B1851)),VLOOKUP($B1851,AssetCategories!$A:$E,2,0),"")</f>
        <v/>
      </c>
      <c r="EN1851" t="str">
        <f>IF(NOT(ISBLANK($B1851)),VLOOKUP($B1851,AssetCategories!$A:$E,3,0),"")</f>
        <v/>
      </c>
      <c r="EP1851" s="33" t="str">
        <f t="shared" si="57"/>
        <v/>
      </c>
    </row>
    <row r="1852" spans="16:146" x14ac:dyDescent="0.25">
      <c r="P1852" s="33" t="str" cm="1">
        <f t="array" ref="P1852">IFERROR(SUM(VALUE(_xlfn.TEXTSPLIT(O1852, ";"))), "")</f>
        <v/>
      </c>
      <c r="DO1852" t="str">
        <f t="shared" si="56"/>
        <v/>
      </c>
      <c r="EG1852" s="33" t="str">
        <f>IF(NOT(ISBLANK($B1852)),VLOOKUP($B1852,AssetCategories!$A:$E,5,0),"")</f>
        <v/>
      </c>
      <c r="EH1852" t="str">
        <f>IF(NOT(ISBLANK($B1852)),VLOOKUP($B1852,AssetCategories!$A:$E,4,0),"")</f>
        <v/>
      </c>
      <c r="EM1852" t="str">
        <f>IF(NOT(ISBLANK($B1852)),VLOOKUP($B1852,AssetCategories!$A:$E,2,0),"")</f>
        <v/>
      </c>
      <c r="EN1852" t="str">
        <f>IF(NOT(ISBLANK($B1852)),VLOOKUP($B1852,AssetCategories!$A:$E,3,0),"")</f>
        <v/>
      </c>
      <c r="EP1852" s="33" t="str">
        <f t="shared" si="57"/>
        <v/>
      </c>
    </row>
    <row r="1853" spans="16:146" x14ac:dyDescent="0.25">
      <c r="P1853" s="33" t="str" cm="1">
        <f t="array" ref="P1853">IFERROR(SUM(VALUE(_xlfn.TEXTSPLIT(O1853, ";"))), "")</f>
        <v/>
      </c>
      <c r="DO1853" t="str">
        <f t="shared" si="56"/>
        <v/>
      </c>
      <c r="EG1853" s="33" t="str">
        <f>IF(NOT(ISBLANK($B1853)),VLOOKUP($B1853,AssetCategories!$A:$E,5,0),"")</f>
        <v/>
      </c>
      <c r="EH1853" t="str">
        <f>IF(NOT(ISBLANK($B1853)),VLOOKUP($B1853,AssetCategories!$A:$E,4,0),"")</f>
        <v/>
      </c>
      <c r="EM1853" t="str">
        <f>IF(NOT(ISBLANK($B1853)),VLOOKUP($B1853,AssetCategories!$A:$E,2,0),"")</f>
        <v/>
      </c>
      <c r="EN1853" t="str">
        <f>IF(NOT(ISBLANK($B1853)),VLOOKUP($B1853,AssetCategories!$A:$E,3,0),"")</f>
        <v/>
      </c>
      <c r="EP1853" s="33" t="str">
        <f t="shared" si="57"/>
        <v/>
      </c>
    </row>
    <row r="1854" spans="16:146" x14ac:dyDescent="0.25">
      <c r="P1854" s="33" t="str" cm="1">
        <f t="array" ref="P1854">IFERROR(SUM(VALUE(_xlfn.TEXTSPLIT(O1854, ";"))), "")</f>
        <v/>
      </c>
      <c r="DO1854" t="str">
        <f t="shared" si="56"/>
        <v/>
      </c>
      <c r="EG1854" s="33" t="str">
        <f>IF(NOT(ISBLANK($B1854)),VLOOKUP($B1854,AssetCategories!$A:$E,5,0),"")</f>
        <v/>
      </c>
      <c r="EH1854" t="str">
        <f>IF(NOT(ISBLANK($B1854)),VLOOKUP($B1854,AssetCategories!$A:$E,4,0),"")</f>
        <v/>
      </c>
      <c r="EM1854" t="str">
        <f>IF(NOT(ISBLANK($B1854)),VLOOKUP($B1854,AssetCategories!$A:$E,2,0),"")</f>
        <v/>
      </c>
      <c r="EN1854" t="str">
        <f>IF(NOT(ISBLANK($B1854)),VLOOKUP($B1854,AssetCategories!$A:$E,3,0),"")</f>
        <v/>
      </c>
      <c r="EP1854" s="33" t="str">
        <f t="shared" si="57"/>
        <v/>
      </c>
    </row>
    <row r="1855" spans="16:146" x14ac:dyDescent="0.25">
      <c r="P1855" s="33" t="str" cm="1">
        <f t="array" ref="P1855">IFERROR(SUM(VALUE(_xlfn.TEXTSPLIT(O1855, ";"))), "")</f>
        <v/>
      </c>
      <c r="DO1855" t="str">
        <f t="shared" si="56"/>
        <v/>
      </c>
      <c r="EG1855" s="33" t="str">
        <f>IF(NOT(ISBLANK($B1855)),VLOOKUP($B1855,AssetCategories!$A:$E,5,0),"")</f>
        <v/>
      </c>
      <c r="EH1855" t="str">
        <f>IF(NOT(ISBLANK($B1855)),VLOOKUP($B1855,AssetCategories!$A:$E,4,0),"")</f>
        <v/>
      </c>
      <c r="EM1855" t="str">
        <f>IF(NOT(ISBLANK($B1855)),VLOOKUP($B1855,AssetCategories!$A:$E,2,0),"")</f>
        <v/>
      </c>
      <c r="EN1855" t="str">
        <f>IF(NOT(ISBLANK($B1855)),VLOOKUP($B1855,AssetCategories!$A:$E,3,0),"")</f>
        <v/>
      </c>
      <c r="EP1855" s="33" t="str">
        <f t="shared" si="57"/>
        <v/>
      </c>
    </row>
    <row r="1856" spans="16:146" x14ac:dyDescent="0.25">
      <c r="P1856" s="33" t="str" cm="1">
        <f t="array" ref="P1856">IFERROR(SUM(VALUE(_xlfn.TEXTSPLIT(O1856, ";"))), "")</f>
        <v/>
      </c>
      <c r="DO1856" t="str">
        <f t="shared" si="56"/>
        <v/>
      </c>
      <c r="EG1856" s="33" t="str">
        <f>IF(NOT(ISBLANK($B1856)),VLOOKUP($B1856,AssetCategories!$A:$E,5,0),"")</f>
        <v/>
      </c>
      <c r="EH1856" t="str">
        <f>IF(NOT(ISBLANK($B1856)),VLOOKUP($B1856,AssetCategories!$A:$E,4,0),"")</f>
        <v/>
      </c>
      <c r="EM1856" t="str">
        <f>IF(NOT(ISBLANK($B1856)),VLOOKUP($B1856,AssetCategories!$A:$E,2,0),"")</f>
        <v/>
      </c>
      <c r="EN1856" t="str">
        <f>IF(NOT(ISBLANK($B1856)),VLOOKUP($B1856,AssetCategories!$A:$E,3,0),"")</f>
        <v/>
      </c>
      <c r="EP1856" s="33" t="str">
        <f t="shared" si="57"/>
        <v/>
      </c>
    </row>
    <row r="1857" spans="16:146" x14ac:dyDescent="0.25">
      <c r="P1857" s="33" t="str" cm="1">
        <f t="array" ref="P1857">IFERROR(SUM(VALUE(_xlfn.TEXTSPLIT(O1857, ";"))), "")</f>
        <v/>
      </c>
      <c r="DO1857" t="str">
        <f t="shared" si="56"/>
        <v/>
      </c>
      <c r="EG1857" s="33" t="str">
        <f>IF(NOT(ISBLANK($B1857)),VLOOKUP($B1857,AssetCategories!$A:$E,5,0),"")</f>
        <v/>
      </c>
      <c r="EH1857" t="str">
        <f>IF(NOT(ISBLANK($B1857)),VLOOKUP($B1857,AssetCategories!$A:$E,4,0),"")</f>
        <v/>
      </c>
      <c r="EM1857" t="str">
        <f>IF(NOT(ISBLANK($B1857)),VLOOKUP($B1857,AssetCategories!$A:$E,2,0),"")</f>
        <v/>
      </c>
      <c r="EN1857" t="str">
        <f>IF(NOT(ISBLANK($B1857)),VLOOKUP($B1857,AssetCategories!$A:$E,3,0),"")</f>
        <v/>
      </c>
      <c r="EP1857" s="33" t="str">
        <f t="shared" si="57"/>
        <v/>
      </c>
    </row>
    <row r="1858" spans="16:146" x14ac:dyDescent="0.25">
      <c r="P1858" s="33" t="str" cm="1">
        <f t="array" ref="P1858">IFERROR(SUM(VALUE(_xlfn.TEXTSPLIT(O1858, ";"))), "")</f>
        <v/>
      </c>
      <c r="DO1858" t="str">
        <f t="shared" si="56"/>
        <v/>
      </c>
      <c r="EG1858" s="33" t="str">
        <f>IF(NOT(ISBLANK($B1858)),VLOOKUP($B1858,AssetCategories!$A:$E,5,0),"")</f>
        <v/>
      </c>
      <c r="EH1858" t="str">
        <f>IF(NOT(ISBLANK($B1858)),VLOOKUP($B1858,AssetCategories!$A:$E,4,0),"")</f>
        <v/>
      </c>
      <c r="EM1858" t="str">
        <f>IF(NOT(ISBLANK($B1858)),VLOOKUP($B1858,AssetCategories!$A:$E,2,0),"")</f>
        <v/>
      </c>
      <c r="EN1858" t="str">
        <f>IF(NOT(ISBLANK($B1858)),VLOOKUP($B1858,AssetCategories!$A:$E,3,0),"")</f>
        <v/>
      </c>
      <c r="EP1858" s="33" t="str">
        <f t="shared" si="57"/>
        <v/>
      </c>
    </row>
    <row r="1859" spans="16:146" x14ac:dyDescent="0.25">
      <c r="P1859" s="33" t="str" cm="1">
        <f t="array" ref="P1859">IFERROR(SUM(VALUE(_xlfn.TEXTSPLIT(O1859, ";"))), "")</f>
        <v/>
      </c>
      <c r="DO1859" t="str">
        <f t="shared" si="56"/>
        <v/>
      </c>
      <c r="EG1859" s="33" t="str">
        <f>IF(NOT(ISBLANK($B1859)),VLOOKUP($B1859,AssetCategories!$A:$E,5,0),"")</f>
        <v/>
      </c>
      <c r="EH1859" t="str">
        <f>IF(NOT(ISBLANK($B1859)),VLOOKUP($B1859,AssetCategories!$A:$E,4,0),"")</f>
        <v/>
      </c>
      <c r="EM1859" t="str">
        <f>IF(NOT(ISBLANK($B1859)),VLOOKUP($B1859,AssetCategories!$A:$E,2,0),"")</f>
        <v/>
      </c>
      <c r="EN1859" t="str">
        <f>IF(NOT(ISBLANK($B1859)),VLOOKUP($B1859,AssetCategories!$A:$E,3,0),"")</f>
        <v/>
      </c>
      <c r="EP1859" s="33" t="str">
        <f t="shared" si="57"/>
        <v/>
      </c>
    </row>
    <row r="1860" spans="16:146" x14ac:dyDescent="0.25">
      <c r="P1860" s="33" t="str" cm="1">
        <f t="array" ref="P1860">IFERROR(SUM(VALUE(_xlfn.TEXTSPLIT(O1860, ";"))), "")</f>
        <v/>
      </c>
      <c r="DO1860" t="str">
        <f t="shared" si="56"/>
        <v/>
      </c>
      <c r="EG1860" s="33" t="str">
        <f>IF(NOT(ISBLANK($B1860)),VLOOKUP($B1860,AssetCategories!$A:$E,5,0),"")</f>
        <v/>
      </c>
      <c r="EH1860" t="str">
        <f>IF(NOT(ISBLANK($B1860)),VLOOKUP($B1860,AssetCategories!$A:$E,4,0),"")</f>
        <v/>
      </c>
      <c r="EM1860" t="str">
        <f>IF(NOT(ISBLANK($B1860)),VLOOKUP($B1860,AssetCategories!$A:$E,2,0),"")</f>
        <v/>
      </c>
      <c r="EN1860" t="str">
        <f>IF(NOT(ISBLANK($B1860)),VLOOKUP($B1860,AssetCategories!$A:$E,3,0),"")</f>
        <v/>
      </c>
      <c r="EP1860" s="33" t="str">
        <f t="shared" si="57"/>
        <v/>
      </c>
    </row>
    <row r="1861" spans="16:146" x14ac:dyDescent="0.25">
      <c r="P1861" s="33" t="str" cm="1">
        <f t="array" ref="P1861">IFERROR(SUM(VALUE(_xlfn.TEXTSPLIT(O1861, ";"))), "")</f>
        <v/>
      </c>
      <c r="DO1861" t="str">
        <f t="shared" ref="DO1861:DO1924" si="58">IF(SUM(DE1861:DN1861)=0, "", SUM(DE1861:DN1861))</f>
        <v/>
      </c>
      <c r="EG1861" s="33" t="str">
        <f>IF(NOT(ISBLANK($B1861)),VLOOKUP($B1861,AssetCategories!$A:$E,5,0),"")</f>
        <v/>
      </c>
      <c r="EH1861" t="str">
        <f>IF(NOT(ISBLANK($B1861)),VLOOKUP($B1861,AssetCategories!$A:$E,4,0),"")</f>
        <v/>
      </c>
      <c r="EM1861" t="str">
        <f>IF(NOT(ISBLANK($B1861)),VLOOKUP($B1861,AssetCategories!$A:$E,2,0),"")</f>
        <v/>
      </c>
      <c r="EN1861" t="str">
        <f>IF(NOT(ISBLANK($B1861)),VLOOKUP($B1861,AssetCategories!$A:$E,3,0),"")</f>
        <v/>
      </c>
      <c r="EP1861" s="33" t="str">
        <f t="shared" ref="EP1861:EP1924" si="59">IFERROR(P1861-EO1861, "")</f>
        <v/>
      </c>
    </row>
    <row r="1862" spans="16:146" x14ac:dyDescent="0.25">
      <c r="P1862" s="33" t="str" cm="1">
        <f t="array" ref="P1862">IFERROR(SUM(VALUE(_xlfn.TEXTSPLIT(O1862, ";"))), "")</f>
        <v/>
      </c>
      <c r="DO1862" t="str">
        <f t="shared" si="58"/>
        <v/>
      </c>
      <c r="EG1862" s="33" t="str">
        <f>IF(NOT(ISBLANK($B1862)),VLOOKUP($B1862,AssetCategories!$A:$E,5,0),"")</f>
        <v/>
      </c>
      <c r="EH1862" t="str">
        <f>IF(NOT(ISBLANK($B1862)),VLOOKUP($B1862,AssetCategories!$A:$E,4,0),"")</f>
        <v/>
      </c>
      <c r="EM1862" t="str">
        <f>IF(NOT(ISBLANK($B1862)),VLOOKUP($B1862,AssetCategories!$A:$E,2,0),"")</f>
        <v/>
      </c>
      <c r="EN1862" t="str">
        <f>IF(NOT(ISBLANK($B1862)),VLOOKUP($B1862,AssetCategories!$A:$E,3,0),"")</f>
        <v/>
      </c>
      <c r="EP1862" s="33" t="str">
        <f t="shared" si="59"/>
        <v/>
      </c>
    </row>
    <row r="1863" spans="16:146" x14ac:dyDescent="0.25">
      <c r="P1863" s="33" t="str" cm="1">
        <f t="array" ref="P1863">IFERROR(SUM(VALUE(_xlfn.TEXTSPLIT(O1863, ";"))), "")</f>
        <v/>
      </c>
      <c r="DO1863" t="str">
        <f t="shared" si="58"/>
        <v/>
      </c>
      <c r="EG1863" s="33" t="str">
        <f>IF(NOT(ISBLANK($B1863)),VLOOKUP($B1863,AssetCategories!$A:$E,5,0),"")</f>
        <v/>
      </c>
      <c r="EH1863" t="str">
        <f>IF(NOT(ISBLANK($B1863)),VLOOKUP($B1863,AssetCategories!$A:$E,4,0),"")</f>
        <v/>
      </c>
      <c r="EM1863" t="str">
        <f>IF(NOT(ISBLANK($B1863)),VLOOKUP($B1863,AssetCategories!$A:$E,2,0),"")</f>
        <v/>
      </c>
      <c r="EN1863" t="str">
        <f>IF(NOT(ISBLANK($B1863)),VLOOKUP($B1863,AssetCategories!$A:$E,3,0),"")</f>
        <v/>
      </c>
      <c r="EP1863" s="33" t="str">
        <f t="shared" si="59"/>
        <v/>
      </c>
    </row>
    <row r="1864" spans="16:146" x14ac:dyDescent="0.25">
      <c r="P1864" s="33" t="str" cm="1">
        <f t="array" ref="P1864">IFERROR(SUM(VALUE(_xlfn.TEXTSPLIT(O1864, ";"))), "")</f>
        <v/>
      </c>
      <c r="DO1864" t="str">
        <f t="shared" si="58"/>
        <v/>
      </c>
      <c r="EG1864" s="33" t="str">
        <f>IF(NOT(ISBLANK($B1864)),VLOOKUP($B1864,AssetCategories!$A:$E,5,0),"")</f>
        <v/>
      </c>
      <c r="EH1864" t="str">
        <f>IF(NOT(ISBLANK($B1864)),VLOOKUP($B1864,AssetCategories!$A:$E,4,0),"")</f>
        <v/>
      </c>
      <c r="EM1864" t="str">
        <f>IF(NOT(ISBLANK($B1864)),VLOOKUP($B1864,AssetCategories!$A:$E,2,0),"")</f>
        <v/>
      </c>
      <c r="EN1864" t="str">
        <f>IF(NOT(ISBLANK($B1864)),VLOOKUP($B1864,AssetCategories!$A:$E,3,0),"")</f>
        <v/>
      </c>
      <c r="EP1864" s="33" t="str">
        <f t="shared" si="59"/>
        <v/>
      </c>
    </row>
    <row r="1865" spans="16:146" x14ac:dyDescent="0.25">
      <c r="P1865" s="33" t="str" cm="1">
        <f t="array" ref="P1865">IFERROR(SUM(VALUE(_xlfn.TEXTSPLIT(O1865, ";"))), "")</f>
        <v/>
      </c>
      <c r="DO1865" t="str">
        <f t="shared" si="58"/>
        <v/>
      </c>
      <c r="EG1865" s="33" t="str">
        <f>IF(NOT(ISBLANK($B1865)),VLOOKUP($B1865,AssetCategories!$A:$E,5,0),"")</f>
        <v/>
      </c>
      <c r="EH1865" t="str">
        <f>IF(NOT(ISBLANK($B1865)),VLOOKUP($B1865,AssetCategories!$A:$E,4,0),"")</f>
        <v/>
      </c>
      <c r="EM1865" t="str">
        <f>IF(NOT(ISBLANK($B1865)),VLOOKUP($B1865,AssetCategories!$A:$E,2,0),"")</f>
        <v/>
      </c>
      <c r="EN1865" t="str">
        <f>IF(NOT(ISBLANK($B1865)),VLOOKUP($B1865,AssetCategories!$A:$E,3,0),"")</f>
        <v/>
      </c>
      <c r="EP1865" s="33" t="str">
        <f t="shared" si="59"/>
        <v/>
      </c>
    </row>
    <row r="1866" spans="16:146" x14ac:dyDescent="0.25">
      <c r="P1866" s="33" t="str" cm="1">
        <f t="array" ref="P1866">IFERROR(SUM(VALUE(_xlfn.TEXTSPLIT(O1866, ";"))), "")</f>
        <v/>
      </c>
      <c r="DO1866" t="str">
        <f t="shared" si="58"/>
        <v/>
      </c>
      <c r="EG1866" s="33" t="str">
        <f>IF(NOT(ISBLANK($B1866)),VLOOKUP($B1866,AssetCategories!$A:$E,5,0),"")</f>
        <v/>
      </c>
      <c r="EH1866" t="str">
        <f>IF(NOT(ISBLANK($B1866)),VLOOKUP($B1866,AssetCategories!$A:$E,4,0),"")</f>
        <v/>
      </c>
      <c r="EM1866" t="str">
        <f>IF(NOT(ISBLANK($B1866)),VLOOKUP($B1866,AssetCategories!$A:$E,2,0),"")</f>
        <v/>
      </c>
      <c r="EN1866" t="str">
        <f>IF(NOT(ISBLANK($B1866)),VLOOKUP($B1866,AssetCategories!$A:$E,3,0),"")</f>
        <v/>
      </c>
      <c r="EP1866" s="33" t="str">
        <f t="shared" si="59"/>
        <v/>
      </c>
    </row>
    <row r="1867" spans="16:146" x14ac:dyDescent="0.25">
      <c r="P1867" s="33" t="str" cm="1">
        <f t="array" ref="P1867">IFERROR(SUM(VALUE(_xlfn.TEXTSPLIT(O1867, ";"))), "")</f>
        <v/>
      </c>
      <c r="DO1867" t="str">
        <f t="shared" si="58"/>
        <v/>
      </c>
      <c r="EG1867" s="33" t="str">
        <f>IF(NOT(ISBLANK($B1867)),VLOOKUP($B1867,AssetCategories!$A:$E,5,0),"")</f>
        <v/>
      </c>
      <c r="EH1867" t="str">
        <f>IF(NOT(ISBLANK($B1867)),VLOOKUP($B1867,AssetCategories!$A:$E,4,0),"")</f>
        <v/>
      </c>
      <c r="EM1867" t="str">
        <f>IF(NOT(ISBLANK($B1867)),VLOOKUP($B1867,AssetCategories!$A:$E,2,0),"")</f>
        <v/>
      </c>
      <c r="EN1867" t="str">
        <f>IF(NOT(ISBLANK($B1867)),VLOOKUP($B1867,AssetCategories!$A:$E,3,0),"")</f>
        <v/>
      </c>
      <c r="EP1867" s="33" t="str">
        <f t="shared" si="59"/>
        <v/>
      </c>
    </row>
    <row r="1868" spans="16:146" x14ac:dyDescent="0.25">
      <c r="P1868" s="33" t="str" cm="1">
        <f t="array" ref="P1868">IFERROR(SUM(VALUE(_xlfn.TEXTSPLIT(O1868, ";"))), "")</f>
        <v/>
      </c>
      <c r="DO1868" t="str">
        <f t="shared" si="58"/>
        <v/>
      </c>
      <c r="EG1868" s="33" t="str">
        <f>IF(NOT(ISBLANK($B1868)),VLOOKUP($B1868,AssetCategories!$A:$E,5,0),"")</f>
        <v/>
      </c>
      <c r="EH1868" t="str">
        <f>IF(NOT(ISBLANK($B1868)),VLOOKUP($B1868,AssetCategories!$A:$E,4,0),"")</f>
        <v/>
      </c>
      <c r="EM1868" t="str">
        <f>IF(NOT(ISBLANK($B1868)),VLOOKUP($B1868,AssetCategories!$A:$E,2,0),"")</f>
        <v/>
      </c>
      <c r="EN1868" t="str">
        <f>IF(NOT(ISBLANK($B1868)),VLOOKUP($B1868,AssetCategories!$A:$E,3,0),"")</f>
        <v/>
      </c>
      <c r="EP1868" s="33" t="str">
        <f t="shared" si="59"/>
        <v/>
      </c>
    </row>
    <row r="1869" spans="16:146" x14ac:dyDescent="0.25">
      <c r="P1869" s="33" t="str" cm="1">
        <f t="array" ref="P1869">IFERROR(SUM(VALUE(_xlfn.TEXTSPLIT(O1869, ";"))), "")</f>
        <v/>
      </c>
      <c r="DO1869" t="str">
        <f t="shared" si="58"/>
        <v/>
      </c>
      <c r="EG1869" s="33" t="str">
        <f>IF(NOT(ISBLANK($B1869)),VLOOKUP($B1869,AssetCategories!$A:$E,5,0),"")</f>
        <v/>
      </c>
      <c r="EH1869" t="str">
        <f>IF(NOT(ISBLANK($B1869)),VLOOKUP($B1869,AssetCategories!$A:$E,4,0),"")</f>
        <v/>
      </c>
      <c r="EM1869" t="str">
        <f>IF(NOT(ISBLANK($B1869)),VLOOKUP($B1869,AssetCategories!$A:$E,2,0),"")</f>
        <v/>
      </c>
      <c r="EN1869" t="str">
        <f>IF(NOT(ISBLANK($B1869)),VLOOKUP($B1869,AssetCategories!$A:$E,3,0),"")</f>
        <v/>
      </c>
      <c r="EP1869" s="33" t="str">
        <f t="shared" si="59"/>
        <v/>
      </c>
    </row>
    <row r="1870" spans="16:146" x14ac:dyDescent="0.25">
      <c r="P1870" s="33" t="str" cm="1">
        <f t="array" ref="P1870">IFERROR(SUM(VALUE(_xlfn.TEXTSPLIT(O1870, ";"))), "")</f>
        <v/>
      </c>
      <c r="DO1870" t="str">
        <f t="shared" si="58"/>
        <v/>
      </c>
      <c r="EG1870" s="33" t="str">
        <f>IF(NOT(ISBLANK($B1870)),VLOOKUP($B1870,AssetCategories!$A:$E,5,0),"")</f>
        <v/>
      </c>
      <c r="EH1870" t="str">
        <f>IF(NOT(ISBLANK($B1870)),VLOOKUP($B1870,AssetCategories!$A:$E,4,0),"")</f>
        <v/>
      </c>
      <c r="EM1870" t="str">
        <f>IF(NOT(ISBLANK($B1870)),VLOOKUP($B1870,AssetCategories!$A:$E,2,0),"")</f>
        <v/>
      </c>
      <c r="EN1870" t="str">
        <f>IF(NOT(ISBLANK($B1870)),VLOOKUP($B1870,AssetCategories!$A:$E,3,0),"")</f>
        <v/>
      </c>
      <c r="EP1870" s="33" t="str">
        <f t="shared" si="59"/>
        <v/>
      </c>
    </row>
    <row r="1871" spans="16:146" x14ac:dyDescent="0.25">
      <c r="P1871" s="33" t="str" cm="1">
        <f t="array" ref="P1871">IFERROR(SUM(VALUE(_xlfn.TEXTSPLIT(O1871, ";"))), "")</f>
        <v/>
      </c>
      <c r="DO1871" t="str">
        <f t="shared" si="58"/>
        <v/>
      </c>
      <c r="EG1871" s="33" t="str">
        <f>IF(NOT(ISBLANK($B1871)),VLOOKUP($B1871,AssetCategories!$A:$E,5,0),"")</f>
        <v/>
      </c>
      <c r="EH1871" t="str">
        <f>IF(NOT(ISBLANK($B1871)),VLOOKUP($B1871,AssetCategories!$A:$E,4,0),"")</f>
        <v/>
      </c>
      <c r="EM1871" t="str">
        <f>IF(NOT(ISBLANK($B1871)),VLOOKUP($B1871,AssetCategories!$A:$E,2,0),"")</f>
        <v/>
      </c>
      <c r="EN1871" t="str">
        <f>IF(NOT(ISBLANK($B1871)),VLOOKUP($B1871,AssetCategories!$A:$E,3,0),"")</f>
        <v/>
      </c>
      <c r="EP1871" s="33" t="str">
        <f t="shared" si="59"/>
        <v/>
      </c>
    </row>
    <row r="1872" spans="16:146" x14ac:dyDescent="0.25">
      <c r="P1872" s="33" t="str" cm="1">
        <f t="array" ref="P1872">IFERROR(SUM(VALUE(_xlfn.TEXTSPLIT(O1872, ";"))), "")</f>
        <v/>
      </c>
      <c r="DO1872" t="str">
        <f t="shared" si="58"/>
        <v/>
      </c>
      <c r="EG1872" s="33" t="str">
        <f>IF(NOT(ISBLANK($B1872)),VLOOKUP($B1872,AssetCategories!$A:$E,5,0),"")</f>
        <v/>
      </c>
      <c r="EH1872" t="str">
        <f>IF(NOT(ISBLANK($B1872)),VLOOKUP($B1872,AssetCategories!$A:$E,4,0),"")</f>
        <v/>
      </c>
      <c r="EM1872" t="str">
        <f>IF(NOT(ISBLANK($B1872)),VLOOKUP($B1872,AssetCategories!$A:$E,2,0),"")</f>
        <v/>
      </c>
      <c r="EN1872" t="str">
        <f>IF(NOT(ISBLANK($B1872)),VLOOKUP($B1872,AssetCategories!$A:$E,3,0),"")</f>
        <v/>
      </c>
      <c r="EP1872" s="33" t="str">
        <f t="shared" si="59"/>
        <v/>
      </c>
    </row>
    <row r="1873" spans="16:146" x14ac:dyDescent="0.25">
      <c r="P1873" s="33" t="str" cm="1">
        <f t="array" ref="P1873">IFERROR(SUM(VALUE(_xlfn.TEXTSPLIT(O1873, ";"))), "")</f>
        <v/>
      </c>
      <c r="DO1873" t="str">
        <f t="shared" si="58"/>
        <v/>
      </c>
      <c r="EG1873" s="33" t="str">
        <f>IF(NOT(ISBLANK($B1873)),VLOOKUP($B1873,AssetCategories!$A:$E,5,0),"")</f>
        <v/>
      </c>
      <c r="EH1873" t="str">
        <f>IF(NOT(ISBLANK($B1873)),VLOOKUP($B1873,AssetCategories!$A:$E,4,0),"")</f>
        <v/>
      </c>
      <c r="EM1873" t="str">
        <f>IF(NOT(ISBLANK($B1873)),VLOOKUP($B1873,AssetCategories!$A:$E,2,0),"")</f>
        <v/>
      </c>
      <c r="EN1873" t="str">
        <f>IF(NOT(ISBLANK($B1873)),VLOOKUP($B1873,AssetCategories!$A:$E,3,0),"")</f>
        <v/>
      </c>
      <c r="EP1873" s="33" t="str">
        <f t="shared" si="59"/>
        <v/>
      </c>
    </row>
    <row r="1874" spans="16:146" x14ac:dyDescent="0.25">
      <c r="P1874" s="33" t="str" cm="1">
        <f t="array" ref="P1874">IFERROR(SUM(VALUE(_xlfn.TEXTSPLIT(O1874, ";"))), "")</f>
        <v/>
      </c>
      <c r="DO1874" t="str">
        <f t="shared" si="58"/>
        <v/>
      </c>
      <c r="EG1874" s="33" t="str">
        <f>IF(NOT(ISBLANK($B1874)),VLOOKUP($B1874,AssetCategories!$A:$E,5,0),"")</f>
        <v/>
      </c>
      <c r="EH1874" t="str">
        <f>IF(NOT(ISBLANK($B1874)),VLOOKUP($B1874,AssetCategories!$A:$E,4,0),"")</f>
        <v/>
      </c>
      <c r="EM1874" t="str">
        <f>IF(NOT(ISBLANK($B1874)),VLOOKUP($B1874,AssetCategories!$A:$E,2,0),"")</f>
        <v/>
      </c>
      <c r="EN1874" t="str">
        <f>IF(NOT(ISBLANK($B1874)),VLOOKUP($B1874,AssetCategories!$A:$E,3,0),"")</f>
        <v/>
      </c>
      <c r="EP1874" s="33" t="str">
        <f t="shared" si="59"/>
        <v/>
      </c>
    </row>
    <row r="1875" spans="16:146" x14ac:dyDescent="0.25">
      <c r="P1875" s="33" t="str" cm="1">
        <f t="array" ref="P1875">IFERROR(SUM(VALUE(_xlfn.TEXTSPLIT(O1875, ";"))), "")</f>
        <v/>
      </c>
      <c r="DO1875" t="str">
        <f t="shared" si="58"/>
        <v/>
      </c>
      <c r="EG1875" s="33" t="str">
        <f>IF(NOT(ISBLANK($B1875)),VLOOKUP($B1875,AssetCategories!$A:$E,5,0),"")</f>
        <v/>
      </c>
      <c r="EH1875" t="str">
        <f>IF(NOT(ISBLANK($B1875)),VLOOKUP($B1875,AssetCategories!$A:$E,4,0),"")</f>
        <v/>
      </c>
      <c r="EM1875" t="str">
        <f>IF(NOT(ISBLANK($B1875)),VLOOKUP($B1875,AssetCategories!$A:$E,2,0),"")</f>
        <v/>
      </c>
      <c r="EN1875" t="str">
        <f>IF(NOT(ISBLANK($B1875)),VLOOKUP($B1875,AssetCategories!$A:$E,3,0),"")</f>
        <v/>
      </c>
      <c r="EP1875" s="33" t="str">
        <f t="shared" si="59"/>
        <v/>
      </c>
    </row>
    <row r="1876" spans="16:146" x14ac:dyDescent="0.25">
      <c r="P1876" s="33" t="str" cm="1">
        <f t="array" ref="P1876">IFERROR(SUM(VALUE(_xlfn.TEXTSPLIT(O1876, ";"))), "")</f>
        <v/>
      </c>
      <c r="DO1876" t="str">
        <f t="shared" si="58"/>
        <v/>
      </c>
      <c r="EG1876" s="33" t="str">
        <f>IF(NOT(ISBLANK($B1876)),VLOOKUP($B1876,AssetCategories!$A:$E,5,0),"")</f>
        <v/>
      </c>
      <c r="EH1876" t="str">
        <f>IF(NOT(ISBLANK($B1876)),VLOOKUP($B1876,AssetCategories!$A:$E,4,0),"")</f>
        <v/>
      </c>
      <c r="EM1876" t="str">
        <f>IF(NOT(ISBLANK($B1876)),VLOOKUP($B1876,AssetCategories!$A:$E,2,0),"")</f>
        <v/>
      </c>
      <c r="EN1876" t="str">
        <f>IF(NOT(ISBLANK($B1876)),VLOOKUP($B1876,AssetCategories!$A:$E,3,0),"")</f>
        <v/>
      </c>
      <c r="EP1876" s="33" t="str">
        <f t="shared" si="59"/>
        <v/>
      </c>
    </row>
    <row r="1877" spans="16:146" x14ac:dyDescent="0.25">
      <c r="P1877" s="33" t="str" cm="1">
        <f t="array" ref="P1877">IFERROR(SUM(VALUE(_xlfn.TEXTSPLIT(O1877, ";"))), "")</f>
        <v/>
      </c>
      <c r="DO1877" t="str">
        <f t="shared" si="58"/>
        <v/>
      </c>
      <c r="EG1877" s="33" t="str">
        <f>IF(NOT(ISBLANK($B1877)),VLOOKUP($B1877,AssetCategories!$A:$E,5,0),"")</f>
        <v/>
      </c>
      <c r="EH1877" t="str">
        <f>IF(NOT(ISBLANK($B1877)),VLOOKUP($B1877,AssetCategories!$A:$E,4,0),"")</f>
        <v/>
      </c>
      <c r="EM1877" t="str">
        <f>IF(NOT(ISBLANK($B1877)),VLOOKUP($B1877,AssetCategories!$A:$E,2,0),"")</f>
        <v/>
      </c>
      <c r="EN1877" t="str">
        <f>IF(NOT(ISBLANK($B1877)),VLOOKUP($B1877,AssetCategories!$A:$E,3,0),"")</f>
        <v/>
      </c>
      <c r="EP1877" s="33" t="str">
        <f t="shared" si="59"/>
        <v/>
      </c>
    </row>
    <row r="1878" spans="16:146" x14ac:dyDescent="0.25">
      <c r="P1878" s="33" t="str" cm="1">
        <f t="array" ref="P1878">IFERROR(SUM(VALUE(_xlfn.TEXTSPLIT(O1878, ";"))), "")</f>
        <v/>
      </c>
      <c r="DO1878" t="str">
        <f t="shared" si="58"/>
        <v/>
      </c>
      <c r="EG1878" s="33" t="str">
        <f>IF(NOT(ISBLANK($B1878)),VLOOKUP($B1878,AssetCategories!$A:$E,5,0),"")</f>
        <v/>
      </c>
      <c r="EH1878" t="str">
        <f>IF(NOT(ISBLANK($B1878)),VLOOKUP($B1878,AssetCategories!$A:$E,4,0),"")</f>
        <v/>
      </c>
      <c r="EM1878" t="str">
        <f>IF(NOT(ISBLANK($B1878)),VLOOKUP($B1878,AssetCategories!$A:$E,2,0),"")</f>
        <v/>
      </c>
      <c r="EN1878" t="str">
        <f>IF(NOT(ISBLANK($B1878)),VLOOKUP($B1878,AssetCategories!$A:$E,3,0),"")</f>
        <v/>
      </c>
      <c r="EP1878" s="33" t="str">
        <f t="shared" si="59"/>
        <v/>
      </c>
    </row>
    <row r="1879" spans="16:146" x14ac:dyDescent="0.25">
      <c r="P1879" s="33" t="str" cm="1">
        <f t="array" ref="P1879">IFERROR(SUM(VALUE(_xlfn.TEXTSPLIT(O1879, ";"))), "")</f>
        <v/>
      </c>
      <c r="DO1879" t="str">
        <f t="shared" si="58"/>
        <v/>
      </c>
      <c r="EG1879" s="33" t="str">
        <f>IF(NOT(ISBLANK($B1879)),VLOOKUP($B1879,AssetCategories!$A:$E,5,0),"")</f>
        <v/>
      </c>
      <c r="EH1879" t="str">
        <f>IF(NOT(ISBLANK($B1879)),VLOOKUP($B1879,AssetCategories!$A:$E,4,0),"")</f>
        <v/>
      </c>
      <c r="EM1879" t="str">
        <f>IF(NOT(ISBLANK($B1879)),VLOOKUP($B1879,AssetCategories!$A:$E,2,0),"")</f>
        <v/>
      </c>
      <c r="EN1879" t="str">
        <f>IF(NOT(ISBLANK($B1879)),VLOOKUP($B1879,AssetCategories!$A:$E,3,0),"")</f>
        <v/>
      </c>
      <c r="EP1879" s="33" t="str">
        <f t="shared" si="59"/>
        <v/>
      </c>
    </row>
    <row r="1880" spans="16:146" x14ac:dyDescent="0.25">
      <c r="P1880" s="33" t="str" cm="1">
        <f t="array" ref="P1880">IFERROR(SUM(VALUE(_xlfn.TEXTSPLIT(O1880, ";"))), "")</f>
        <v/>
      </c>
      <c r="DO1880" t="str">
        <f t="shared" si="58"/>
        <v/>
      </c>
      <c r="EG1880" s="33" t="str">
        <f>IF(NOT(ISBLANK($B1880)),VLOOKUP($B1880,AssetCategories!$A:$E,5,0),"")</f>
        <v/>
      </c>
      <c r="EH1880" t="str">
        <f>IF(NOT(ISBLANK($B1880)),VLOOKUP($B1880,AssetCategories!$A:$E,4,0),"")</f>
        <v/>
      </c>
      <c r="EM1880" t="str">
        <f>IF(NOT(ISBLANK($B1880)),VLOOKUP($B1880,AssetCategories!$A:$E,2,0),"")</f>
        <v/>
      </c>
      <c r="EN1880" t="str">
        <f>IF(NOT(ISBLANK($B1880)),VLOOKUP($B1880,AssetCategories!$A:$E,3,0),"")</f>
        <v/>
      </c>
      <c r="EP1880" s="33" t="str">
        <f t="shared" si="59"/>
        <v/>
      </c>
    </row>
    <row r="1881" spans="16:146" x14ac:dyDescent="0.25">
      <c r="P1881" s="33" t="str" cm="1">
        <f t="array" ref="P1881">IFERROR(SUM(VALUE(_xlfn.TEXTSPLIT(O1881, ";"))), "")</f>
        <v/>
      </c>
      <c r="DO1881" t="str">
        <f t="shared" si="58"/>
        <v/>
      </c>
      <c r="EG1881" s="33" t="str">
        <f>IF(NOT(ISBLANK($B1881)),VLOOKUP($B1881,AssetCategories!$A:$E,5,0),"")</f>
        <v/>
      </c>
      <c r="EH1881" t="str">
        <f>IF(NOT(ISBLANK($B1881)),VLOOKUP($B1881,AssetCategories!$A:$E,4,0),"")</f>
        <v/>
      </c>
      <c r="EM1881" t="str">
        <f>IF(NOT(ISBLANK($B1881)),VLOOKUP($B1881,AssetCategories!$A:$E,2,0),"")</f>
        <v/>
      </c>
      <c r="EN1881" t="str">
        <f>IF(NOT(ISBLANK($B1881)),VLOOKUP($B1881,AssetCategories!$A:$E,3,0),"")</f>
        <v/>
      </c>
      <c r="EP1881" s="33" t="str">
        <f t="shared" si="59"/>
        <v/>
      </c>
    </row>
    <row r="1882" spans="16:146" x14ac:dyDescent="0.25">
      <c r="P1882" s="33" t="str" cm="1">
        <f t="array" ref="P1882">IFERROR(SUM(VALUE(_xlfn.TEXTSPLIT(O1882, ";"))), "")</f>
        <v/>
      </c>
      <c r="DO1882" t="str">
        <f t="shared" si="58"/>
        <v/>
      </c>
      <c r="EG1882" s="33" t="str">
        <f>IF(NOT(ISBLANK($B1882)),VLOOKUP($B1882,AssetCategories!$A:$E,5,0),"")</f>
        <v/>
      </c>
      <c r="EH1882" t="str">
        <f>IF(NOT(ISBLANK($B1882)),VLOOKUP($B1882,AssetCategories!$A:$E,4,0),"")</f>
        <v/>
      </c>
      <c r="EM1882" t="str">
        <f>IF(NOT(ISBLANK($B1882)),VLOOKUP($B1882,AssetCategories!$A:$E,2,0),"")</f>
        <v/>
      </c>
      <c r="EN1882" t="str">
        <f>IF(NOT(ISBLANK($B1882)),VLOOKUP($B1882,AssetCategories!$A:$E,3,0),"")</f>
        <v/>
      </c>
      <c r="EP1882" s="33" t="str">
        <f t="shared" si="59"/>
        <v/>
      </c>
    </row>
    <row r="1883" spans="16:146" x14ac:dyDescent="0.25">
      <c r="P1883" s="33" t="str" cm="1">
        <f t="array" ref="P1883">IFERROR(SUM(VALUE(_xlfn.TEXTSPLIT(O1883, ";"))), "")</f>
        <v/>
      </c>
      <c r="DO1883" t="str">
        <f t="shared" si="58"/>
        <v/>
      </c>
      <c r="EG1883" s="33" t="str">
        <f>IF(NOT(ISBLANK($B1883)),VLOOKUP($B1883,AssetCategories!$A:$E,5,0),"")</f>
        <v/>
      </c>
      <c r="EH1883" t="str">
        <f>IF(NOT(ISBLANK($B1883)),VLOOKUP($B1883,AssetCategories!$A:$E,4,0),"")</f>
        <v/>
      </c>
      <c r="EM1883" t="str">
        <f>IF(NOT(ISBLANK($B1883)),VLOOKUP($B1883,AssetCategories!$A:$E,2,0),"")</f>
        <v/>
      </c>
      <c r="EN1883" t="str">
        <f>IF(NOT(ISBLANK($B1883)),VLOOKUP($B1883,AssetCategories!$A:$E,3,0),"")</f>
        <v/>
      </c>
      <c r="EP1883" s="33" t="str">
        <f t="shared" si="59"/>
        <v/>
      </c>
    </row>
    <row r="1884" spans="16:146" x14ac:dyDescent="0.25">
      <c r="P1884" s="33" t="str" cm="1">
        <f t="array" ref="P1884">IFERROR(SUM(VALUE(_xlfn.TEXTSPLIT(O1884, ";"))), "")</f>
        <v/>
      </c>
      <c r="DO1884" t="str">
        <f t="shared" si="58"/>
        <v/>
      </c>
      <c r="EG1884" s="33" t="str">
        <f>IF(NOT(ISBLANK($B1884)),VLOOKUP($B1884,AssetCategories!$A:$E,5,0),"")</f>
        <v/>
      </c>
      <c r="EH1884" t="str">
        <f>IF(NOT(ISBLANK($B1884)),VLOOKUP($B1884,AssetCategories!$A:$E,4,0),"")</f>
        <v/>
      </c>
      <c r="EM1884" t="str">
        <f>IF(NOT(ISBLANK($B1884)),VLOOKUP($B1884,AssetCategories!$A:$E,2,0),"")</f>
        <v/>
      </c>
      <c r="EN1884" t="str">
        <f>IF(NOT(ISBLANK($B1884)),VLOOKUP($B1884,AssetCategories!$A:$E,3,0),"")</f>
        <v/>
      </c>
      <c r="EP1884" s="33" t="str">
        <f t="shared" si="59"/>
        <v/>
      </c>
    </row>
    <row r="1885" spans="16:146" x14ac:dyDescent="0.25">
      <c r="P1885" s="33" t="str" cm="1">
        <f t="array" ref="P1885">IFERROR(SUM(VALUE(_xlfn.TEXTSPLIT(O1885, ";"))), "")</f>
        <v/>
      </c>
      <c r="DO1885" t="str">
        <f t="shared" si="58"/>
        <v/>
      </c>
      <c r="EG1885" s="33" t="str">
        <f>IF(NOT(ISBLANK($B1885)),VLOOKUP($B1885,AssetCategories!$A:$E,5,0),"")</f>
        <v/>
      </c>
      <c r="EH1885" t="str">
        <f>IF(NOT(ISBLANK($B1885)),VLOOKUP($B1885,AssetCategories!$A:$E,4,0),"")</f>
        <v/>
      </c>
      <c r="EM1885" t="str">
        <f>IF(NOT(ISBLANK($B1885)),VLOOKUP($B1885,AssetCategories!$A:$E,2,0),"")</f>
        <v/>
      </c>
      <c r="EN1885" t="str">
        <f>IF(NOT(ISBLANK($B1885)),VLOOKUP($B1885,AssetCategories!$A:$E,3,0),"")</f>
        <v/>
      </c>
      <c r="EP1885" s="33" t="str">
        <f t="shared" si="59"/>
        <v/>
      </c>
    </row>
    <row r="1886" spans="16:146" x14ac:dyDescent="0.25">
      <c r="P1886" s="33" t="str" cm="1">
        <f t="array" ref="P1886">IFERROR(SUM(VALUE(_xlfn.TEXTSPLIT(O1886, ";"))), "")</f>
        <v/>
      </c>
      <c r="DO1886" t="str">
        <f t="shared" si="58"/>
        <v/>
      </c>
      <c r="EG1886" s="33" t="str">
        <f>IF(NOT(ISBLANK($B1886)),VLOOKUP($B1886,AssetCategories!$A:$E,5,0),"")</f>
        <v/>
      </c>
      <c r="EH1886" t="str">
        <f>IF(NOT(ISBLANK($B1886)),VLOOKUP($B1886,AssetCategories!$A:$E,4,0),"")</f>
        <v/>
      </c>
      <c r="EM1886" t="str">
        <f>IF(NOT(ISBLANK($B1886)),VLOOKUP($B1886,AssetCategories!$A:$E,2,0),"")</f>
        <v/>
      </c>
      <c r="EN1886" t="str">
        <f>IF(NOT(ISBLANK($B1886)),VLOOKUP($B1886,AssetCategories!$A:$E,3,0),"")</f>
        <v/>
      </c>
      <c r="EP1886" s="33" t="str">
        <f t="shared" si="59"/>
        <v/>
      </c>
    </row>
    <row r="1887" spans="16:146" x14ac:dyDescent="0.25">
      <c r="P1887" s="33" t="str" cm="1">
        <f t="array" ref="P1887">IFERROR(SUM(VALUE(_xlfn.TEXTSPLIT(O1887, ";"))), "")</f>
        <v/>
      </c>
      <c r="DO1887" t="str">
        <f t="shared" si="58"/>
        <v/>
      </c>
      <c r="EG1887" s="33" t="str">
        <f>IF(NOT(ISBLANK($B1887)),VLOOKUP($B1887,AssetCategories!$A:$E,5,0),"")</f>
        <v/>
      </c>
      <c r="EH1887" t="str">
        <f>IF(NOT(ISBLANK($B1887)),VLOOKUP($B1887,AssetCategories!$A:$E,4,0),"")</f>
        <v/>
      </c>
      <c r="EM1887" t="str">
        <f>IF(NOT(ISBLANK($B1887)),VLOOKUP($B1887,AssetCategories!$A:$E,2,0),"")</f>
        <v/>
      </c>
      <c r="EN1887" t="str">
        <f>IF(NOT(ISBLANK($B1887)),VLOOKUP($B1887,AssetCategories!$A:$E,3,0),"")</f>
        <v/>
      </c>
      <c r="EP1887" s="33" t="str">
        <f t="shared" si="59"/>
        <v/>
      </c>
    </row>
    <row r="1888" spans="16:146" x14ac:dyDescent="0.25">
      <c r="P1888" s="33" t="str" cm="1">
        <f t="array" ref="P1888">IFERROR(SUM(VALUE(_xlfn.TEXTSPLIT(O1888, ";"))), "")</f>
        <v/>
      </c>
      <c r="DO1888" t="str">
        <f t="shared" si="58"/>
        <v/>
      </c>
      <c r="EG1888" s="33" t="str">
        <f>IF(NOT(ISBLANK($B1888)),VLOOKUP($B1888,AssetCategories!$A:$E,5,0),"")</f>
        <v/>
      </c>
      <c r="EH1888" t="str">
        <f>IF(NOT(ISBLANK($B1888)),VLOOKUP($B1888,AssetCategories!$A:$E,4,0),"")</f>
        <v/>
      </c>
      <c r="EM1888" t="str">
        <f>IF(NOT(ISBLANK($B1888)),VLOOKUP($B1888,AssetCategories!$A:$E,2,0),"")</f>
        <v/>
      </c>
      <c r="EN1888" t="str">
        <f>IF(NOT(ISBLANK($B1888)),VLOOKUP($B1888,AssetCategories!$A:$E,3,0),"")</f>
        <v/>
      </c>
      <c r="EP1888" s="33" t="str">
        <f t="shared" si="59"/>
        <v/>
      </c>
    </row>
    <row r="1889" spans="16:146" x14ac:dyDescent="0.25">
      <c r="P1889" s="33" t="str" cm="1">
        <f t="array" ref="P1889">IFERROR(SUM(VALUE(_xlfn.TEXTSPLIT(O1889, ";"))), "")</f>
        <v/>
      </c>
      <c r="DO1889" t="str">
        <f t="shared" si="58"/>
        <v/>
      </c>
      <c r="EG1889" s="33" t="str">
        <f>IF(NOT(ISBLANK($B1889)),VLOOKUP($B1889,AssetCategories!$A:$E,5,0),"")</f>
        <v/>
      </c>
      <c r="EH1889" t="str">
        <f>IF(NOT(ISBLANK($B1889)),VLOOKUP($B1889,AssetCategories!$A:$E,4,0),"")</f>
        <v/>
      </c>
      <c r="EM1889" t="str">
        <f>IF(NOT(ISBLANK($B1889)),VLOOKUP($B1889,AssetCategories!$A:$E,2,0),"")</f>
        <v/>
      </c>
      <c r="EN1889" t="str">
        <f>IF(NOT(ISBLANK($B1889)),VLOOKUP($B1889,AssetCategories!$A:$E,3,0),"")</f>
        <v/>
      </c>
      <c r="EP1889" s="33" t="str">
        <f t="shared" si="59"/>
        <v/>
      </c>
    </row>
    <row r="1890" spans="16:146" x14ac:dyDescent="0.25">
      <c r="P1890" s="33" t="str" cm="1">
        <f t="array" ref="P1890">IFERROR(SUM(VALUE(_xlfn.TEXTSPLIT(O1890, ";"))), "")</f>
        <v/>
      </c>
      <c r="DO1890" t="str">
        <f t="shared" si="58"/>
        <v/>
      </c>
      <c r="EG1890" s="33" t="str">
        <f>IF(NOT(ISBLANK($B1890)),VLOOKUP($B1890,AssetCategories!$A:$E,5,0),"")</f>
        <v/>
      </c>
      <c r="EH1890" t="str">
        <f>IF(NOT(ISBLANK($B1890)),VLOOKUP($B1890,AssetCategories!$A:$E,4,0),"")</f>
        <v/>
      </c>
      <c r="EM1890" t="str">
        <f>IF(NOT(ISBLANK($B1890)),VLOOKUP($B1890,AssetCategories!$A:$E,2,0),"")</f>
        <v/>
      </c>
      <c r="EN1890" t="str">
        <f>IF(NOT(ISBLANK($B1890)),VLOOKUP($B1890,AssetCategories!$A:$E,3,0),"")</f>
        <v/>
      </c>
      <c r="EP1890" s="33" t="str">
        <f t="shared" si="59"/>
        <v/>
      </c>
    </row>
    <row r="1891" spans="16:146" x14ac:dyDescent="0.25">
      <c r="P1891" s="33" t="str" cm="1">
        <f t="array" ref="P1891">IFERROR(SUM(VALUE(_xlfn.TEXTSPLIT(O1891, ";"))), "")</f>
        <v/>
      </c>
      <c r="DO1891" t="str">
        <f t="shared" si="58"/>
        <v/>
      </c>
      <c r="EG1891" s="33" t="str">
        <f>IF(NOT(ISBLANK($B1891)),VLOOKUP($B1891,AssetCategories!$A:$E,5,0),"")</f>
        <v/>
      </c>
      <c r="EH1891" t="str">
        <f>IF(NOT(ISBLANK($B1891)),VLOOKUP($B1891,AssetCategories!$A:$E,4,0),"")</f>
        <v/>
      </c>
      <c r="EM1891" t="str">
        <f>IF(NOT(ISBLANK($B1891)),VLOOKUP($B1891,AssetCategories!$A:$E,2,0),"")</f>
        <v/>
      </c>
      <c r="EN1891" t="str">
        <f>IF(NOT(ISBLANK($B1891)),VLOOKUP($B1891,AssetCategories!$A:$E,3,0),"")</f>
        <v/>
      </c>
      <c r="EP1891" s="33" t="str">
        <f t="shared" si="59"/>
        <v/>
      </c>
    </row>
    <row r="1892" spans="16:146" x14ac:dyDescent="0.25">
      <c r="P1892" s="33" t="str" cm="1">
        <f t="array" ref="P1892">IFERROR(SUM(VALUE(_xlfn.TEXTSPLIT(O1892, ";"))), "")</f>
        <v/>
      </c>
      <c r="DO1892" t="str">
        <f t="shared" si="58"/>
        <v/>
      </c>
      <c r="EG1892" s="33" t="str">
        <f>IF(NOT(ISBLANK($B1892)),VLOOKUP($B1892,AssetCategories!$A:$E,5,0),"")</f>
        <v/>
      </c>
      <c r="EH1892" t="str">
        <f>IF(NOT(ISBLANK($B1892)),VLOOKUP($B1892,AssetCategories!$A:$E,4,0),"")</f>
        <v/>
      </c>
      <c r="EM1892" t="str">
        <f>IF(NOT(ISBLANK($B1892)),VLOOKUP($B1892,AssetCategories!$A:$E,2,0),"")</f>
        <v/>
      </c>
      <c r="EN1892" t="str">
        <f>IF(NOT(ISBLANK($B1892)),VLOOKUP($B1892,AssetCategories!$A:$E,3,0),"")</f>
        <v/>
      </c>
      <c r="EP1892" s="33" t="str">
        <f t="shared" si="59"/>
        <v/>
      </c>
    </row>
    <row r="1893" spans="16:146" x14ac:dyDescent="0.25">
      <c r="P1893" s="33" t="str" cm="1">
        <f t="array" ref="P1893">IFERROR(SUM(VALUE(_xlfn.TEXTSPLIT(O1893, ";"))), "")</f>
        <v/>
      </c>
      <c r="DO1893" t="str">
        <f t="shared" si="58"/>
        <v/>
      </c>
      <c r="EG1893" s="33" t="str">
        <f>IF(NOT(ISBLANK($B1893)),VLOOKUP($B1893,AssetCategories!$A:$E,5,0),"")</f>
        <v/>
      </c>
      <c r="EH1893" t="str">
        <f>IF(NOT(ISBLANK($B1893)),VLOOKUP($B1893,AssetCategories!$A:$E,4,0),"")</f>
        <v/>
      </c>
      <c r="EM1893" t="str">
        <f>IF(NOT(ISBLANK($B1893)),VLOOKUP($B1893,AssetCategories!$A:$E,2,0),"")</f>
        <v/>
      </c>
      <c r="EN1893" t="str">
        <f>IF(NOT(ISBLANK($B1893)),VLOOKUP($B1893,AssetCategories!$A:$E,3,0),"")</f>
        <v/>
      </c>
      <c r="EP1893" s="33" t="str">
        <f t="shared" si="59"/>
        <v/>
      </c>
    </row>
    <row r="1894" spans="16:146" x14ac:dyDescent="0.25">
      <c r="P1894" s="33" t="str" cm="1">
        <f t="array" ref="P1894">IFERROR(SUM(VALUE(_xlfn.TEXTSPLIT(O1894, ";"))), "")</f>
        <v/>
      </c>
      <c r="DO1894" t="str">
        <f t="shared" si="58"/>
        <v/>
      </c>
      <c r="EG1894" s="33" t="str">
        <f>IF(NOT(ISBLANK($B1894)),VLOOKUP($B1894,AssetCategories!$A:$E,5,0),"")</f>
        <v/>
      </c>
      <c r="EH1894" t="str">
        <f>IF(NOT(ISBLANK($B1894)),VLOOKUP($B1894,AssetCategories!$A:$E,4,0),"")</f>
        <v/>
      </c>
      <c r="EM1894" t="str">
        <f>IF(NOT(ISBLANK($B1894)),VLOOKUP($B1894,AssetCategories!$A:$E,2,0),"")</f>
        <v/>
      </c>
      <c r="EN1894" t="str">
        <f>IF(NOT(ISBLANK($B1894)),VLOOKUP($B1894,AssetCategories!$A:$E,3,0),"")</f>
        <v/>
      </c>
      <c r="EP1894" s="33" t="str">
        <f t="shared" si="59"/>
        <v/>
      </c>
    </row>
    <row r="1895" spans="16:146" x14ac:dyDescent="0.25">
      <c r="P1895" s="33" t="str" cm="1">
        <f t="array" ref="P1895">IFERROR(SUM(VALUE(_xlfn.TEXTSPLIT(O1895, ";"))), "")</f>
        <v/>
      </c>
      <c r="DO1895" t="str">
        <f t="shared" si="58"/>
        <v/>
      </c>
      <c r="EG1895" s="33" t="str">
        <f>IF(NOT(ISBLANK($B1895)),VLOOKUP($B1895,AssetCategories!$A:$E,5,0),"")</f>
        <v/>
      </c>
      <c r="EH1895" t="str">
        <f>IF(NOT(ISBLANK($B1895)),VLOOKUP($B1895,AssetCategories!$A:$E,4,0),"")</f>
        <v/>
      </c>
      <c r="EM1895" t="str">
        <f>IF(NOT(ISBLANK($B1895)),VLOOKUP($B1895,AssetCategories!$A:$E,2,0),"")</f>
        <v/>
      </c>
      <c r="EN1895" t="str">
        <f>IF(NOT(ISBLANK($B1895)),VLOOKUP($B1895,AssetCategories!$A:$E,3,0),"")</f>
        <v/>
      </c>
      <c r="EP1895" s="33" t="str">
        <f t="shared" si="59"/>
        <v/>
      </c>
    </row>
    <row r="1896" spans="16:146" x14ac:dyDescent="0.25">
      <c r="P1896" s="33" t="str" cm="1">
        <f t="array" ref="P1896">IFERROR(SUM(VALUE(_xlfn.TEXTSPLIT(O1896, ";"))), "")</f>
        <v/>
      </c>
      <c r="DO1896" t="str">
        <f t="shared" si="58"/>
        <v/>
      </c>
      <c r="EG1896" s="33" t="str">
        <f>IF(NOT(ISBLANK($B1896)),VLOOKUP($B1896,AssetCategories!$A:$E,5,0),"")</f>
        <v/>
      </c>
      <c r="EH1896" t="str">
        <f>IF(NOT(ISBLANK($B1896)),VLOOKUP($B1896,AssetCategories!$A:$E,4,0),"")</f>
        <v/>
      </c>
      <c r="EM1896" t="str">
        <f>IF(NOT(ISBLANK($B1896)),VLOOKUP($B1896,AssetCategories!$A:$E,2,0),"")</f>
        <v/>
      </c>
      <c r="EN1896" t="str">
        <f>IF(NOT(ISBLANK($B1896)),VLOOKUP($B1896,AssetCategories!$A:$E,3,0),"")</f>
        <v/>
      </c>
      <c r="EP1896" s="33" t="str">
        <f t="shared" si="59"/>
        <v/>
      </c>
    </row>
    <row r="1897" spans="16:146" x14ac:dyDescent="0.25">
      <c r="P1897" s="33" t="str" cm="1">
        <f t="array" ref="P1897">IFERROR(SUM(VALUE(_xlfn.TEXTSPLIT(O1897, ";"))), "")</f>
        <v/>
      </c>
      <c r="DO1897" t="str">
        <f t="shared" si="58"/>
        <v/>
      </c>
      <c r="EG1897" s="33" t="str">
        <f>IF(NOT(ISBLANK($B1897)),VLOOKUP($B1897,AssetCategories!$A:$E,5,0),"")</f>
        <v/>
      </c>
      <c r="EH1897" t="str">
        <f>IF(NOT(ISBLANK($B1897)),VLOOKUP($B1897,AssetCategories!$A:$E,4,0),"")</f>
        <v/>
      </c>
      <c r="EM1897" t="str">
        <f>IF(NOT(ISBLANK($B1897)),VLOOKUP($B1897,AssetCategories!$A:$E,2,0),"")</f>
        <v/>
      </c>
      <c r="EN1897" t="str">
        <f>IF(NOT(ISBLANK($B1897)),VLOOKUP($B1897,AssetCategories!$A:$E,3,0),"")</f>
        <v/>
      </c>
      <c r="EP1897" s="33" t="str">
        <f t="shared" si="59"/>
        <v/>
      </c>
    </row>
    <row r="1898" spans="16:146" x14ac:dyDescent="0.25">
      <c r="P1898" s="33" t="str" cm="1">
        <f t="array" ref="P1898">IFERROR(SUM(VALUE(_xlfn.TEXTSPLIT(O1898, ";"))), "")</f>
        <v/>
      </c>
      <c r="DO1898" t="str">
        <f t="shared" si="58"/>
        <v/>
      </c>
      <c r="EG1898" s="33" t="str">
        <f>IF(NOT(ISBLANK($B1898)),VLOOKUP($B1898,AssetCategories!$A:$E,5,0),"")</f>
        <v/>
      </c>
      <c r="EH1898" t="str">
        <f>IF(NOT(ISBLANK($B1898)),VLOOKUP($B1898,AssetCategories!$A:$E,4,0),"")</f>
        <v/>
      </c>
      <c r="EM1898" t="str">
        <f>IF(NOT(ISBLANK($B1898)),VLOOKUP($B1898,AssetCategories!$A:$E,2,0),"")</f>
        <v/>
      </c>
      <c r="EN1898" t="str">
        <f>IF(NOT(ISBLANK($B1898)),VLOOKUP($B1898,AssetCategories!$A:$E,3,0),"")</f>
        <v/>
      </c>
      <c r="EP1898" s="33" t="str">
        <f t="shared" si="59"/>
        <v/>
      </c>
    </row>
    <row r="1899" spans="16:146" x14ac:dyDescent="0.25">
      <c r="P1899" s="33" t="str" cm="1">
        <f t="array" ref="P1899">IFERROR(SUM(VALUE(_xlfn.TEXTSPLIT(O1899, ";"))), "")</f>
        <v/>
      </c>
      <c r="DO1899" t="str">
        <f t="shared" si="58"/>
        <v/>
      </c>
      <c r="EG1899" s="33" t="str">
        <f>IF(NOT(ISBLANK($B1899)),VLOOKUP($B1899,AssetCategories!$A:$E,5,0),"")</f>
        <v/>
      </c>
      <c r="EH1899" t="str">
        <f>IF(NOT(ISBLANK($B1899)),VLOOKUP($B1899,AssetCategories!$A:$E,4,0),"")</f>
        <v/>
      </c>
      <c r="EM1899" t="str">
        <f>IF(NOT(ISBLANK($B1899)),VLOOKUP($B1899,AssetCategories!$A:$E,2,0),"")</f>
        <v/>
      </c>
      <c r="EN1899" t="str">
        <f>IF(NOT(ISBLANK($B1899)),VLOOKUP($B1899,AssetCategories!$A:$E,3,0),"")</f>
        <v/>
      </c>
      <c r="EP1899" s="33" t="str">
        <f t="shared" si="59"/>
        <v/>
      </c>
    </row>
    <row r="1900" spans="16:146" x14ac:dyDescent="0.25">
      <c r="P1900" s="33" t="str" cm="1">
        <f t="array" ref="P1900">IFERROR(SUM(VALUE(_xlfn.TEXTSPLIT(O1900, ";"))), "")</f>
        <v/>
      </c>
      <c r="DO1900" t="str">
        <f t="shared" si="58"/>
        <v/>
      </c>
      <c r="EG1900" s="33" t="str">
        <f>IF(NOT(ISBLANK($B1900)),VLOOKUP($B1900,AssetCategories!$A:$E,5,0),"")</f>
        <v/>
      </c>
      <c r="EH1900" t="str">
        <f>IF(NOT(ISBLANK($B1900)),VLOOKUP($B1900,AssetCategories!$A:$E,4,0),"")</f>
        <v/>
      </c>
      <c r="EM1900" t="str">
        <f>IF(NOT(ISBLANK($B1900)),VLOOKUP($B1900,AssetCategories!$A:$E,2,0),"")</f>
        <v/>
      </c>
      <c r="EN1900" t="str">
        <f>IF(NOT(ISBLANK($B1900)),VLOOKUP($B1900,AssetCategories!$A:$E,3,0),"")</f>
        <v/>
      </c>
      <c r="EP1900" s="33" t="str">
        <f t="shared" si="59"/>
        <v/>
      </c>
    </row>
    <row r="1901" spans="16:146" x14ac:dyDescent="0.25">
      <c r="P1901" s="33" t="str" cm="1">
        <f t="array" ref="P1901">IFERROR(SUM(VALUE(_xlfn.TEXTSPLIT(O1901, ";"))), "")</f>
        <v/>
      </c>
      <c r="DO1901" t="str">
        <f t="shared" si="58"/>
        <v/>
      </c>
      <c r="EG1901" s="33" t="str">
        <f>IF(NOT(ISBLANK($B1901)),VLOOKUP($B1901,AssetCategories!$A:$E,5,0),"")</f>
        <v/>
      </c>
      <c r="EH1901" t="str">
        <f>IF(NOT(ISBLANK($B1901)),VLOOKUP($B1901,AssetCategories!$A:$E,4,0),"")</f>
        <v/>
      </c>
      <c r="EM1901" t="str">
        <f>IF(NOT(ISBLANK($B1901)),VLOOKUP($B1901,AssetCategories!$A:$E,2,0),"")</f>
        <v/>
      </c>
      <c r="EN1901" t="str">
        <f>IF(NOT(ISBLANK($B1901)),VLOOKUP($B1901,AssetCategories!$A:$E,3,0),"")</f>
        <v/>
      </c>
      <c r="EP1901" s="33" t="str">
        <f t="shared" si="59"/>
        <v/>
      </c>
    </row>
    <row r="1902" spans="16:146" x14ac:dyDescent="0.25">
      <c r="P1902" s="33" t="str" cm="1">
        <f t="array" ref="P1902">IFERROR(SUM(VALUE(_xlfn.TEXTSPLIT(O1902, ";"))), "")</f>
        <v/>
      </c>
      <c r="DO1902" t="str">
        <f t="shared" si="58"/>
        <v/>
      </c>
      <c r="EG1902" s="33" t="str">
        <f>IF(NOT(ISBLANK($B1902)),VLOOKUP($B1902,AssetCategories!$A:$E,5,0),"")</f>
        <v/>
      </c>
      <c r="EH1902" t="str">
        <f>IF(NOT(ISBLANK($B1902)),VLOOKUP($B1902,AssetCategories!$A:$E,4,0),"")</f>
        <v/>
      </c>
      <c r="EM1902" t="str">
        <f>IF(NOT(ISBLANK($B1902)),VLOOKUP($B1902,AssetCategories!$A:$E,2,0),"")</f>
        <v/>
      </c>
      <c r="EN1902" t="str">
        <f>IF(NOT(ISBLANK($B1902)),VLOOKUP($B1902,AssetCategories!$A:$E,3,0),"")</f>
        <v/>
      </c>
      <c r="EP1902" s="33" t="str">
        <f t="shared" si="59"/>
        <v/>
      </c>
    </row>
    <row r="1903" spans="16:146" x14ac:dyDescent="0.25">
      <c r="P1903" s="33" t="str" cm="1">
        <f t="array" ref="P1903">IFERROR(SUM(VALUE(_xlfn.TEXTSPLIT(O1903, ";"))), "")</f>
        <v/>
      </c>
      <c r="DO1903" t="str">
        <f t="shared" si="58"/>
        <v/>
      </c>
      <c r="EG1903" s="33" t="str">
        <f>IF(NOT(ISBLANK($B1903)),VLOOKUP($B1903,AssetCategories!$A:$E,5,0),"")</f>
        <v/>
      </c>
      <c r="EH1903" t="str">
        <f>IF(NOT(ISBLANK($B1903)),VLOOKUP($B1903,AssetCategories!$A:$E,4,0),"")</f>
        <v/>
      </c>
      <c r="EM1903" t="str">
        <f>IF(NOT(ISBLANK($B1903)),VLOOKUP($B1903,AssetCategories!$A:$E,2,0),"")</f>
        <v/>
      </c>
      <c r="EN1903" t="str">
        <f>IF(NOT(ISBLANK($B1903)),VLOOKUP($B1903,AssetCategories!$A:$E,3,0),"")</f>
        <v/>
      </c>
      <c r="EP1903" s="33" t="str">
        <f t="shared" si="59"/>
        <v/>
      </c>
    </row>
    <row r="1904" spans="16:146" x14ac:dyDescent="0.25">
      <c r="P1904" s="33" t="str" cm="1">
        <f t="array" ref="P1904">IFERROR(SUM(VALUE(_xlfn.TEXTSPLIT(O1904, ";"))), "")</f>
        <v/>
      </c>
      <c r="DO1904" t="str">
        <f t="shared" si="58"/>
        <v/>
      </c>
      <c r="EG1904" s="33" t="str">
        <f>IF(NOT(ISBLANK($B1904)),VLOOKUP($B1904,AssetCategories!$A:$E,5,0),"")</f>
        <v/>
      </c>
      <c r="EH1904" t="str">
        <f>IF(NOT(ISBLANK($B1904)),VLOOKUP($B1904,AssetCategories!$A:$E,4,0),"")</f>
        <v/>
      </c>
      <c r="EM1904" t="str">
        <f>IF(NOT(ISBLANK($B1904)),VLOOKUP($B1904,AssetCategories!$A:$E,2,0),"")</f>
        <v/>
      </c>
      <c r="EN1904" t="str">
        <f>IF(NOT(ISBLANK($B1904)),VLOOKUP($B1904,AssetCategories!$A:$E,3,0),"")</f>
        <v/>
      </c>
      <c r="EP1904" s="33" t="str">
        <f t="shared" si="59"/>
        <v/>
      </c>
    </row>
    <row r="1905" spans="16:146" x14ac:dyDescent="0.25">
      <c r="P1905" s="33" t="str" cm="1">
        <f t="array" ref="P1905">IFERROR(SUM(VALUE(_xlfn.TEXTSPLIT(O1905, ";"))), "")</f>
        <v/>
      </c>
      <c r="DO1905" t="str">
        <f t="shared" si="58"/>
        <v/>
      </c>
      <c r="EG1905" s="33" t="str">
        <f>IF(NOT(ISBLANK($B1905)),VLOOKUP($B1905,AssetCategories!$A:$E,5,0),"")</f>
        <v/>
      </c>
      <c r="EH1905" t="str">
        <f>IF(NOT(ISBLANK($B1905)),VLOOKUP($B1905,AssetCategories!$A:$E,4,0),"")</f>
        <v/>
      </c>
      <c r="EM1905" t="str">
        <f>IF(NOT(ISBLANK($B1905)),VLOOKUP($B1905,AssetCategories!$A:$E,2,0),"")</f>
        <v/>
      </c>
      <c r="EN1905" t="str">
        <f>IF(NOT(ISBLANK($B1905)),VLOOKUP($B1905,AssetCategories!$A:$E,3,0),"")</f>
        <v/>
      </c>
      <c r="EP1905" s="33" t="str">
        <f t="shared" si="59"/>
        <v/>
      </c>
    </row>
    <row r="1906" spans="16:146" x14ac:dyDescent="0.25">
      <c r="P1906" s="33" t="str" cm="1">
        <f t="array" ref="P1906">IFERROR(SUM(VALUE(_xlfn.TEXTSPLIT(O1906, ";"))), "")</f>
        <v/>
      </c>
      <c r="DO1906" t="str">
        <f t="shared" si="58"/>
        <v/>
      </c>
      <c r="EG1906" s="33" t="str">
        <f>IF(NOT(ISBLANK($B1906)),VLOOKUP($B1906,AssetCategories!$A:$E,5,0),"")</f>
        <v/>
      </c>
      <c r="EH1906" t="str">
        <f>IF(NOT(ISBLANK($B1906)),VLOOKUP($B1906,AssetCategories!$A:$E,4,0),"")</f>
        <v/>
      </c>
      <c r="EM1906" t="str">
        <f>IF(NOT(ISBLANK($B1906)),VLOOKUP($B1906,AssetCategories!$A:$E,2,0),"")</f>
        <v/>
      </c>
      <c r="EN1906" t="str">
        <f>IF(NOT(ISBLANK($B1906)),VLOOKUP($B1906,AssetCategories!$A:$E,3,0),"")</f>
        <v/>
      </c>
      <c r="EP1906" s="33" t="str">
        <f t="shared" si="59"/>
        <v/>
      </c>
    </row>
    <row r="1907" spans="16:146" x14ac:dyDescent="0.25">
      <c r="P1907" s="33" t="str" cm="1">
        <f t="array" ref="P1907">IFERROR(SUM(VALUE(_xlfn.TEXTSPLIT(O1907, ";"))), "")</f>
        <v/>
      </c>
      <c r="DO1907" t="str">
        <f t="shared" si="58"/>
        <v/>
      </c>
      <c r="EG1907" s="33" t="str">
        <f>IF(NOT(ISBLANK($B1907)),VLOOKUP($B1907,AssetCategories!$A:$E,5,0),"")</f>
        <v/>
      </c>
      <c r="EH1907" t="str">
        <f>IF(NOT(ISBLANK($B1907)),VLOOKUP($B1907,AssetCategories!$A:$E,4,0),"")</f>
        <v/>
      </c>
      <c r="EM1907" t="str">
        <f>IF(NOT(ISBLANK($B1907)),VLOOKUP($B1907,AssetCategories!$A:$E,2,0),"")</f>
        <v/>
      </c>
      <c r="EN1907" t="str">
        <f>IF(NOT(ISBLANK($B1907)),VLOOKUP($B1907,AssetCategories!$A:$E,3,0),"")</f>
        <v/>
      </c>
      <c r="EP1907" s="33" t="str">
        <f t="shared" si="59"/>
        <v/>
      </c>
    </row>
    <row r="1908" spans="16:146" x14ac:dyDescent="0.25">
      <c r="P1908" s="33" t="str" cm="1">
        <f t="array" ref="P1908">IFERROR(SUM(VALUE(_xlfn.TEXTSPLIT(O1908, ";"))), "")</f>
        <v/>
      </c>
      <c r="DO1908" t="str">
        <f t="shared" si="58"/>
        <v/>
      </c>
      <c r="EG1908" s="33" t="str">
        <f>IF(NOT(ISBLANK($B1908)),VLOOKUP($B1908,AssetCategories!$A:$E,5,0),"")</f>
        <v/>
      </c>
      <c r="EH1908" t="str">
        <f>IF(NOT(ISBLANK($B1908)),VLOOKUP($B1908,AssetCategories!$A:$E,4,0),"")</f>
        <v/>
      </c>
      <c r="EM1908" t="str">
        <f>IF(NOT(ISBLANK($B1908)),VLOOKUP($B1908,AssetCategories!$A:$E,2,0),"")</f>
        <v/>
      </c>
      <c r="EN1908" t="str">
        <f>IF(NOT(ISBLANK($B1908)),VLOOKUP($B1908,AssetCategories!$A:$E,3,0),"")</f>
        <v/>
      </c>
      <c r="EP1908" s="33" t="str">
        <f t="shared" si="59"/>
        <v/>
      </c>
    </row>
    <row r="1909" spans="16:146" x14ac:dyDescent="0.25">
      <c r="P1909" s="33" t="str" cm="1">
        <f t="array" ref="P1909">IFERROR(SUM(VALUE(_xlfn.TEXTSPLIT(O1909, ";"))), "")</f>
        <v/>
      </c>
      <c r="DO1909" t="str">
        <f t="shared" si="58"/>
        <v/>
      </c>
      <c r="EG1909" s="33" t="str">
        <f>IF(NOT(ISBLANK($B1909)),VLOOKUP($B1909,AssetCategories!$A:$E,5,0),"")</f>
        <v/>
      </c>
      <c r="EH1909" t="str">
        <f>IF(NOT(ISBLANK($B1909)),VLOOKUP($B1909,AssetCategories!$A:$E,4,0),"")</f>
        <v/>
      </c>
      <c r="EM1909" t="str">
        <f>IF(NOT(ISBLANK($B1909)),VLOOKUP($B1909,AssetCategories!$A:$E,2,0),"")</f>
        <v/>
      </c>
      <c r="EN1909" t="str">
        <f>IF(NOT(ISBLANK($B1909)),VLOOKUP($B1909,AssetCategories!$A:$E,3,0),"")</f>
        <v/>
      </c>
      <c r="EP1909" s="33" t="str">
        <f t="shared" si="59"/>
        <v/>
      </c>
    </row>
    <row r="1910" spans="16:146" x14ac:dyDescent="0.25">
      <c r="P1910" s="33" t="str" cm="1">
        <f t="array" ref="P1910">IFERROR(SUM(VALUE(_xlfn.TEXTSPLIT(O1910, ";"))), "")</f>
        <v/>
      </c>
      <c r="DO1910" t="str">
        <f t="shared" si="58"/>
        <v/>
      </c>
      <c r="EG1910" s="33" t="str">
        <f>IF(NOT(ISBLANK($B1910)),VLOOKUP($B1910,AssetCategories!$A:$E,5,0),"")</f>
        <v/>
      </c>
      <c r="EH1910" t="str">
        <f>IF(NOT(ISBLANK($B1910)),VLOOKUP($B1910,AssetCategories!$A:$E,4,0),"")</f>
        <v/>
      </c>
      <c r="EM1910" t="str">
        <f>IF(NOT(ISBLANK($B1910)),VLOOKUP($B1910,AssetCategories!$A:$E,2,0),"")</f>
        <v/>
      </c>
      <c r="EN1910" t="str">
        <f>IF(NOT(ISBLANK($B1910)),VLOOKUP($B1910,AssetCategories!$A:$E,3,0),"")</f>
        <v/>
      </c>
      <c r="EP1910" s="33" t="str">
        <f t="shared" si="59"/>
        <v/>
      </c>
    </row>
    <row r="1911" spans="16:146" x14ac:dyDescent="0.25">
      <c r="P1911" s="33" t="str" cm="1">
        <f t="array" ref="P1911">IFERROR(SUM(VALUE(_xlfn.TEXTSPLIT(O1911, ";"))), "")</f>
        <v/>
      </c>
      <c r="DO1911" t="str">
        <f t="shared" si="58"/>
        <v/>
      </c>
      <c r="EG1911" s="33" t="str">
        <f>IF(NOT(ISBLANK($B1911)),VLOOKUP($B1911,AssetCategories!$A:$E,5,0),"")</f>
        <v/>
      </c>
      <c r="EH1911" t="str">
        <f>IF(NOT(ISBLANK($B1911)),VLOOKUP($B1911,AssetCategories!$A:$E,4,0),"")</f>
        <v/>
      </c>
      <c r="EM1911" t="str">
        <f>IF(NOT(ISBLANK($B1911)),VLOOKUP($B1911,AssetCategories!$A:$E,2,0),"")</f>
        <v/>
      </c>
      <c r="EN1911" t="str">
        <f>IF(NOT(ISBLANK($B1911)),VLOOKUP($B1911,AssetCategories!$A:$E,3,0),"")</f>
        <v/>
      </c>
      <c r="EP1911" s="33" t="str">
        <f t="shared" si="59"/>
        <v/>
      </c>
    </row>
    <row r="1912" spans="16:146" x14ac:dyDescent="0.25">
      <c r="P1912" s="33" t="str" cm="1">
        <f t="array" ref="P1912">IFERROR(SUM(VALUE(_xlfn.TEXTSPLIT(O1912, ";"))), "")</f>
        <v/>
      </c>
      <c r="DO1912" t="str">
        <f t="shared" si="58"/>
        <v/>
      </c>
      <c r="EG1912" s="33" t="str">
        <f>IF(NOT(ISBLANK($B1912)),VLOOKUP($B1912,AssetCategories!$A:$E,5,0),"")</f>
        <v/>
      </c>
      <c r="EH1912" t="str">
        <f>IF(NOT(ISBLANK($B1912)),VLOOKUP($B1912,AssetCategories!$A:$E,4,0),"")</f>
        <v/>
      </c>
      <c r="EM1912" t="str">
        <f>IF(NOT(ISBLANK($B1912)),VLOOKUP($B1912,AssetCategories!$A:$E,2,0),"")</f>
        <v/>
      </c>
      <c r="EN1912" t="str">
        <f>IF(NOT(ISBLANK($B1912)),VLOOKUP($B1912,AssetCategories!$A:$E,3,0),"")</f>
        <v/>
      </c>
      <c r="EP1912" s="33" t="str">
        <f t="shared" si="59"/>
        <v/>
      </c>
    </row>
    <row r="1913" spans="16:146" x14ac:dyDescent="0.25">
      <c r="P1913" s="33" t="str" cm="1">
        <f t="array" ref="P1913">IFERROR(SUM(VALUE(_xlfn.TEXTSPLIT(O1913, ";"))), "")</f>
        <v/>
      </c>
      <c r="DO1913" t="str">
        <f t="shared" si="58"/>
        <v/>
      </c>
      <c r="EG1913" s="33" t="str">
        <f>IF(NOT(ISBLANK($B1913)),VLOOKUP($B1913,AssetCategories!$A:$E,5,0),"")</f>
        <v/>
      </c>
      <c r="EH1913" t="str">
        <f>IF(NOT(ISBLANK($B1913)),VLOOKUP($B1913,AssetCategories!$A:$E,4,0),"")</f>
        <v/>
      </c>
      <c r="EM1913" t="str">
        <f>IF(NOT(ISBLANK($B1913)),VLOOKUP($B1913,AssetCategories!$A:$E,2,0),"")</f>
        <v/>
      </c>
      <c r="EN1913" t="str">
        <f>IF(NOT(ISBLANK($B1913)),VLOOKUP($B1913,AssetCategories!$A:$E,3,0),"")</f>
        <v/>
      </c>
      <c r="EP1913" s="33" t="str">
        <f t="shared" si="59"/>
        <v/>
      </c>
    </row>
    <row r="1914" spans="16:146" x14ac:dyDescent="0.25">
      <c r="P1914" s="33" t="str" cm="1">
        <f t="array" ref="P1914">IFERROR(SUM(VALUE(_xlfn.TEXTSPLIT(O1914, ";"))), "")</f>
        <v/>
      </c>
      <c r="DO1914" t="str">
        <f t="shared" si="58"/>
        <v/>
      </c>
      <c r="EG1914" s="33" t="str">
        <f>IF(NOT(ISBLANK($B1914)),VLOOKUP($B1914,AssetCategories!$A:$E,5,0),"")</f>
        <v/>
      </c>
      <c r="EH1914" t="str">
        <f>IF(NOT(ISBLANK($B1914)),VLOOKUP($B1914,AssetCategories!$A:$E,4,0),"")</f>
        <v/>
      </c>
      <c r="EM1914" t="str">
        <f>IF(NOT(ISBLANK($B1914)),VLOOKUP($B1914,AssetCategories!$A:$E,2,0),"")</f>
        <v/>
      </c>
      <c r="EN1914" t="str">
        <f>IF(NOT(ISBLANK($B1914)),VLOOKUP($B1914,AssetCategories!$A:$E,3,0),"")</f>
        <v/>
      </c>
      <c r="EP1914" s="33" t="str">
        <f t="shared" si="59"/>
        <v/>
      </c>
    </row>
    <row r="1915" spans="16:146" x14ac:dyDescent="0.25">
      <c r="P1915" s="33" t="str" cm="1">
        <f t="array" ref="P1915">IFERROR(SUM(VALUE(_xlfn.TEXTSPLIT(O1915, ";"))), "")</f>
        <v/>
      </c>
      <c r="DO1915" t="str">
        <f t="shared" si="58"/>
        <v/>
      </c>
      <c r="EG1915" s="33" t="str">
        <f>IF(NOT(ISBLANK($B1915)),VLOOKUP($B1915,AssetCategories!$A:$E,5,0),"")</f>
        <v/>
      </c>
      <c r="EH1915" t="str">
        <f>IF(NOT(ISBLANK($B1915)),VLOOKUP($B1915,AssetCategories!$A:$E,4,0),"")</f>
        <v/>
      </c>
      <c r="EM1915" t="str">
        <f>IF(NOT(ISBLANK($B1915)),VLOOKUP($B1915,AssetCategories!$A:$E,2,0),"")</f>
        <v/>
      </c>
      <c r="EN1915" t="str">
        <f>IF(NOT(ISBLANK($B1915)),VLOOKUP($B1915,AssetCategories!$A:$E,3,0),"")</f>
        <v/>
      </c>
      <c r="EP1915" s="33" t="str">
        <f t="shared" si="59"/>
        <v/>
      </c>
    </row>
    <row r="1916" spans="16:146" x14ac:dyDescent="0.25">
      <c r="P1916" s="33" t="str" cm="1">
        <f t="array" ref="P1916">IFERROR(SUM(VALUE(_xlfn.TEXTSPLIT(O1916, ";"))), "")</f>
        <v/>
      </c>
      <c r="DO1916" t="str">
        <f t="shared" si="58"/>
        <v/>
      </c>
      <c r="EG1916" s="33" t="str">
        <f>IF(NOT(ISBLANK($B1916)),VLOOKUP($B1916,AssetCategories!$A:$E,5,0),"")</f>
        <v/>
      </c>
      <c r="EH1916" t="str">
        <f>IF(NOT(ISBLANK($B1916)),VLOOKUP($B1916,AssetCategories!$A:$E,4,0),"")</f>
        <v/>
      </c>
      <c r="EM1916" t="str">
        <f>IF(NOT(ISBLANK($B1916)),VLOOKUP($B1916,AssetCategories!$A:$E,2,0),"")</f>
        <v/>
      </c>
      <c r="EN1916" t="str">
        <f>IF(NOT(ISBLANK($B1916)),VLOOKUP($B1916,AssetCategories!$A:$E,3,0),"")</f>
        <v/>
      </c>
      <c r="EP1916" s="33" t="str">
        <f t="shared" si="59"/>
        <v/>
      </c>
    </row>
    <row r="1917" spans="16:146" x14ac:dyDescent="0.25">
      <c r="P1917" s="33" t="str" cm="1">
        <f t="array" ref="P1917">IFERROR(SUM(VALUE(_xlfn.TEXTSPLIT(O1917, ";"))), "")</f>
        <v/>
      </c>
      <c r="DO1917" t="str">
        <f t="shared" si="58"/>
        <v/>
      </c>
      <c r="EG1917" s="33" t="str">
        <f>IF(NOT(ISBLANK($B1917)),VLOOKUP($B1917,AssetCategories!$A:$E,5,0),"")</f>
        <v/>
      </c>
      <c r="EH1917" t="str">
        <f>IF(NOT(ISBLANK($B1917)),VLOOKUP($B1917,AssetCategories!$A:$E,4,0),"")</f>
        <v/>
      </c>
      <c r="EM1917" t="str">
        <f>IF(NOT(ISBLANK($B1917)),VLOOKUP($B1917,AssetCategories!$A:$E,2,0),"")</f>
        <v/>
      </c>
      <c r="EN1917" t="str">
        <f>IF(NOT(ISBLANK($B1917)),VLOOKUP($B1917,AssetCategories!$A:$E,3,0),"")</f>
        <v/>
      </c>
      <c r="EP1917" s="33" t="str">
        <f t="shared" si="59"/>
        <v/>
      </c>
    </row>
    <row r="1918" spans="16:146" x14ac:dyDescent="0.25">
      <c r="P1918" s="33" t="str" cm="1">
        <f t="array" ref="P1918">IFERROR(SUM(VALUE(_xlfn.TEXTSPLIT(O1918, ";"))), "")</f>
        <v/>
      </c>
      <c r="DO1918" t="str">
        <f t="shared" si="58"/>
        <v/>
      </c>
      <c r="EG1918" s="33" t="str">
        <f>IF(NOT(ISBLANK($B1918)),VLOOKUP($B1918,AssetCategories!$A:$E,5,0),"")</f>
        <v/>
      </c>
      <c r="EH1918" t="str">
        <f>IF(NOT(ISBLANK($B1918)),VLOOKUP($B1918,AssetCategories!$A:$E,4,0),"")</f>
        <v/>
      </c>
      <c r="EM1918" t="str">
        <f>IF(NOT(ISBLANK($B1918)),VLOOKUP($B1918,AssetCategories!$A:$E,2,0),"")</f>
        <v/>
      </c>
      <c r="EN1918" t="str">
        <f>IF(NOT(ISBLANK($B1918)),VLOOKUP($B1918,AssetCategories!$A:$E,3,0),"")</f>
        <v/>
      </c>
      <c r="EP1918" s="33" t="str">
        <f t="shared" si="59"/>
        <v/>
      </c>
    </row>
    <row r="1919" spans="16:146" x14ac:dyDescent="0.25">
      <c r="P1919" s="33" t="str" cm="1">
        <f t="array" ref="P1919">IFERROR(SUM(VALUE(_xlfn.TEXTSPLIT(O1919, ";"))), "")</f>
        <v/>
      </c>
      <c r="DO1919" t="str">
        <f t="shared" si="58"/>
        <v/>
      </c>
      <c r="EG1919" s="33" t="str">
        <f>IF(NOT(ISBLANK($B1919)),VLOOKUP($B1919,AssetCategories!$A:$E,5,0),"")</f>
        <v/>
      </c>
      <c r="EH1919" t="str">
        <f>IF(NOT(ISBLANK($B1919)),VLOOKUP($B1919,AssetCategories!$A:$E,4,0),"")</f>
        <v/>
      </c>
      <c r="EM1919" t="str">
        <f>IF(NOT(ISBLANK($B1919)),VLOOKUP($B1919,AssetCategories!$A:$E,2,0),"")</f>
        <v/>
      </c>
      <c r="EN1919" t="str">
        <f>IF(NOT(ISBLANK($B1919)),VLOOKUP($B1919,AssetCategories!$A:$E,3,0),"")</f>
        <v/>
      </c>
      <c r="EP1919" s="33" t="str">
        <f t="shared" si="59"/>
        <v/>
      </c>
    </row>
    <row r="1920" spans="16:146" x14ac:dyDescent="0.25">
      <c r="P1920" s="33" t="str" cm="1">
        <f t="array" ref="P1920">IFERROR(SUM(VALUE(_xlfn.TEXTSPLIT(O1920, ";"))), "")</f>
        <v/>
      </c>
      <c r="DO1920" t="str">
        <f t="shared" si="58"/>
        <v/>
      </c>
      <c r="EG1920" s="33" t="str">
        <f>IF(NOT(ISBLANK($B1920)),VLOOKUP($B1920,AssetCategories!$A:$E,5,0),"")</f>
        <v/>
      </c>
      <c r="EH1920" t="str">
        <f>IF(NOT(ISBLANK($B1920)),VLOOKUP($B1920,AssetCategories!$A:$E,4,0),"")</f>
        <v/>
      </c>
      <c r="EM1920" t="str">
        <f>IF(NOT(ISBLANK($B1920)),VLOOKUP($B1920,AssetCategories!$A:$E,2,0),"")</f>
        <v/>
      </c>
      <c r="EN1920" t="str">
        <f>IF(NOT(ISBLANK($B1920)),VLOOKUP($B1920,AssetCategories!$A:$E,3,0),"")</f>
        <v/>
      </c>
      <c r="EP1920" s="33" t="str">
        <f t="shared" si="59"/>
        <v/>
      </c>
    </row>
    <row r="1921" spans="16:146" x14ac:dyDescent="0.25">
      <c r="P1921" s="33" t="str" cm="1">
        <f t="array" ref="P1921">IFERROR(SUM(VALUE(_xlfn.TEXTSPLIT(O1921, ";"))), "")</f>
        <v/>
      </c>
      <c r="DO1921" t="str">
        <f t="shared" si="58"/>
        <v/>
      </c>
      <c r="EG1921" s="33" t="str">
        <f>IF(NOT(ISBLANK($B1921)),VLOOKUP($B1921,AssetCategories!$A:$E,5,0),"")</f>
        <v/>
      </c>
      <c r="EH1921" t="str">
        <f>IF(NOT(ISBLANK($B1921)),VLOOKUP($B1921,AssetCategories!$A:$E,4,0),"")</f>
        <v/>
      </c>
      <c r="EM1921" t="str">
        <f>IF(NOT(ISBLANK($B1921)),VLOOKUP($B1921,AssetCategories!$A:$E,2,0),"")</f>
        <v/>
      </c>
      <c r="EN1921" t="str">
        <f>IF(NOT(ISBLANK($B1921)),VLOOKUP($B1921,AssetCategories!$A:$E,3,0),"")</f>
        <v/>
      </c>
      <c r="EP1921" s="33" t="str">
        <f t="shared" si="59"/>
        <v/>
      </c>
    </row>
    <row r="1922" spans="16:146" x14ac:dyDescent="0.25">
      <c r="P1922" s="33" t="str" cm="1">
        <f t="array" ref="P1922">IFERROR(SUM(VALUE(_xlfn.TEXTSPLIT(O1922, ";"))), "")</f>
        <v/>
      </c>
      <c r="DO1922" t="str">
        <f t="shared" si="58"/>
        <v/>
      </c>
      <c r="EG1922" s="33" t="str">
        <f>IF(NOT(ISBLANK($B1922)),VLOOKUP($B1922,AssetCategories!$A:$E,5,0),"")</f>
        <v/>
      </c>
      <c r="EH1922" t="str">
        <f>IF(NOT(ISBLANK($B1922)),VLOOKUP($B1922,AssetCategories!$A:$E,4,0),"")</f>
        <v/>
      </c>
      <c r="EM1922" t="str">
        <f>IF(NOT(ISBLANK($B1922)),VLOOKUP($B1922,AssetCategories!$A:$E,2,0),"")</f>
        <v/>
      </c>
      <c r="EN1922" t="str">
        <f>IF(NOT(ISBLANK($B1922)),VLOOKUP($B1922,AssetCategories!$A:$E,3,0),"")</f>
        <v/>
      </c>
      <c r="EP1922" s="33" t="str">
        <f t="shared" si="59"/>
        <v/>
      </c>
    </row>
    <row r="1923" spans="16:146" x14ac:dyDescent="0.25">
      <c r="P1923" s="33" t="str" cm="1">
        <f t="array" ref="P1923">IFERROR(SUM(VALUE(_xlfn.TEXTSPLIT(O1923, ";"))), "")</f>
        <v/>
      </c>
      <c r="DO1923" t="str">
        <f t="shared" si="58"/>
        <v/>
      </c>
      <c r="EG1923" s="33" t="str">
        <f>IF(NOT(ISBLANK($B1923)),VLOOKUP($B1923,AssetCategories!$A:$E,5,0),"")</f>
        <v/>
      </c>
      <c r="EH1923" t="str">
        <f>IF(NOT(ISBLANK($B1923)),VLOOKUP($B1923,AssetCategories!$A:$E,4,0),"")</f>
        <v/>
      </c>
      <c r="EM1923" t="str">
        <f>IF(NOT(ISBLANK($B1923)),VLOOKUP($B1923,AssetCategories!$A:$E,2,0),"")</f>
        <v/>
      </c>
      <c r="EN1923" t="str">
        <f>IF(NOT(ISBLANK($B1923)),VLOOKUP($B1923,AssetCategories!$A:$E,3,0),"")</f>
        <v/>
      </c>
      <c r="EP1923" s="33" t="str">
        <f t="shared" si="59"/>
        <v/>
      </c>
    </row>
    <row r="1924" spans="16:146" x14ac:dyDescent="0.25">
      <c r="P1924" s="33" t="str" cm="1">
        <f t="array" ref="P1924">IFERROR(SUM(VALUE(_xlfn.TEXTSPLIT(O1924, ";"))), "")</f>
        <v/>
      </c>
      <c r="DO1924" t="str">
        <f t="shared" si="58"/>
        <v/>
      </c>
      <c r="EG1924" s="33" t="str">
        <f>IF(NOT(ISBLANK($B1924)),VLOOKUP($B1924,AssetCategories!$A:$E,5,0),"")</f>
        <v/>
      </c>
      <c r="EH1924" t="str">
        <f>IF(NOT(ISBLANK($B1924)),VLOOKUP($B1924,AssetCategories!$A:$E,4,0),"")</f>
        <v/>
      </c>
      <c r="EM1924" t="str">
        <f>IF(NOT(ISBLANK($B1924)),VLOOKUP($B1924,AssetCategories!$A:$E,2,0),"")</f>
        <v/>
      </c>
      <c r="EN1924" t="str">
        <f>IF(NOT(ISBLANK($B1924)),VLOOKUP($B1924,AssetCategories!$A:$E,3,0),"")</f>
        <v/>
      </c>
      <c r="EP1924" s="33" t="str">
        <f t="shared" si="59"/>
        <v/>
      </c>
    </row>
    <row r="1925" spans="16:146" x14ac:dyDescent="0.25">
      <c r="P1925" s="33" t="str" cm="1">
        <f t="array" ref="P1925">IFERROR(SUM(VALUE(_xlfn.TEXTSPLIT(O1925, ";"))), "")</f>
        <v/>
      </c>
      <c r="DO1925" t="str">
        <f t="shared" ref="DO1925:DO1988" si="60">IF(SUM(DE1925:DN1925)=0, "", SUM(DE1925:DN1925))</f>
        <v/>
      </c>
      <c r="EG1925" s="33" t="str">
        <f>IF(NOT(ISBLANK($B1925)),VLOOKUP($B1925,AssetCategories!$A:$E,5,0),"")</f>
        <v/>
      </c>
      <c r="EH1925" t="str">
        <f>IF(NOT(ISBLANK($B1925)),VLOOKUP($B1925,AssetCategories!$A:$E,4,0),"")</f>
        <v/>
      </c>
      <c r="EM1925" t="str">
        <f>IF(NOT(ISBLANK($B1925)),VLOOKUP($B1925,AssetCategories!$A:$E,2,0),"")</f>
        <v/>
      </c>
      <c r="EN1925" t="str">
        <f>IF(NOT(ISBLANK($B1925)),VLOOKUP($B1925,AssetCategories!$A:$E,3,0),"")</f>
        <v/>
      </c>
      <c r="EP1925" s="33" t="str">
        <f t="shared" ref="EP1925:EP1988" si="61">IFERROR(P1925-EO1925, "")</f>
        <v/>
      </c>
    </row>
    <row r="1926" spans="16:146" x14ac:dyDescent="0.25">
      <c r="P1926" s="33" t="str" cm="1">
        <f t="array" ref="P1926">IFERROR(SUM(VALUE(_xlfn.TEXTSPLIT(O1926, ";"))), "")</f>
        <v/>
      </c>
      <c r="DO1926" t="str">
        <f t="shared" si="60"/>
        <v/>
      </c>
      <c r="EG1926" s="33" t="str">
        <f>IF(NOT(ISBLANK($B1926)),VLOOKUP($B1926,AssetCategories!$A:$E,5,0),"")</f>
        <v/>
      </c>
      <c r="EH1926" t="str">
        <f>IF(NOT(ISBLANK($B1926)),VLOOKUP($B1926,AssetCategories!$A:$E,4,0),"")</f>
        <v/>
      </c>
      <c r="EM1926" t="str">
        <f>IF(NOT(ISBLANK($B1926)),VLOOKUP($B1926,AssetCategories!$A:$E,2,0),"")</f>
        <v/>
      </c>
      <c r="EN1926" t="str">
        <f>IF(NOT(ISBLANK($B1926)),VLOOKUP($B1926,AssetCategories!$A:$E,3,0),"")</f>
        <v/>
      </c>
      <c r="EP1926" s="33" t="str">
        <f t="shared" si="61"/>
        <v/>
      </c>
    </row>
    <row r="1927" spans="16:146" x14ac:dyDescent="0.25">
      <c r="P1927" s="33" t="str" cm="1">
        <f t="array" ref="P1927">IFERROR(SUM(VALUE(_xlfn.TEXTSPLIT(O1927, ";"))), "")</f>
        <v/>
      </c>
      <c r="DO1927" t="str">
        <f t="shared" si="60"/>
        <v/>
      </c>
      <c r="EG1927" s="33" t="str">
        <f>IF(NOT(ISBLANK($B1927)),VLOOKUP($B1927,AssetCategories!$A:$E,5,0),"")</f>
        <v/>
      </c>
      <c r="EH1927" t="str">
        <f>IF(NOT(ISBLANK($B1927)),VLOOKUP($B1927,AssetCategories!$A:$E,4,0),"")</f>
        <v/>
      </c>
      <c r="EM1927" t="str">
        <f>IF(NOT(ISBLANK($B1927)),VLOOKUP($B1927,AssetCategories!$A:$E,2,0),"")</f>
        <v/>
      </c>
      <c r="EN1927" t="str">
        <f>IF(NOT(ISBLANK($B1927)),VLOOKUP($B1927,AssetCategories!$A:$E,3,0),"")</f>
        <v/>
      </c>
      <c r="EP1927" s="33" t="str">
        <f t="shared" si="61"/>
        <v/>
      </c>
    </row>
    <row r="1928" spans="16:146" x14ac:dyDescent="0.25">
      <c r="P1928" s="33" t="str" cm="1">
        <f t="array" ref="P1928">IFERROR(SUM(VALUE(_xlfn.TEXTSPLIT(O1928, ";"))), "")</f>
        <v/>
      </c>
      <c r="DO1928" t="str">
        <f t="shared" si="60"/>
        <v/>
      </c>
      <c r="EG1928" s="33" t="str">
        <f>IF(NOT(ISBLANK($B1928)),VLOOKUP($B1928,AssetCategories!$A:$E,5,0),"")</f>
        <v/>
      </c>
      <c r="EH1928" t="str">
        <f>IF(NOT(ISBLANK($B1928)),VLOOKUP($B1928,AssetCategories!$A:$E,4,0),"")</f>
        <v/>
      </c>
      <c r="EM1928" t="str">
        <f>IF(NOT(ISBLANK($B1928)),VLOOKUP($B1928,AssetCategories!$A:$E,2,0),"")</f>
        <v/>
      </c>
      <c r="EN1928" t="str">
        <f>IF(NOT(ISBLANK($B1928)),VLOOKUP($B1928,AssetCategories!$A:$E,3,0),"")</f>
        <v/>
      </c>
      <c r="EP1928" s="33" t="str">
        <f t="shared" si="61"/>
        <v/>
      </c>
    </row>
    <row r="1929" spans="16:146" x14ac:dyDescent="0.25">
      <c r="P1929" s="33" t="str" cm="1">
        <f t="array" ref="P1929">IFERROR(SUM(VALUE(_xlfn.TEXTSPLIT(O1929, ";"))), "")</f>
        <v/>
      </c>
      <c r="DO1929" t="str">
        <f t="shared" si="60"/>
        <v/>
      </c>
      <c r="EG1929" s="33" t="str">
        <f>IF(NOT(ISBLANK($B1929)),VLOOKUP($B1929,AssetCategories!$A:$E,5,0),"")</f>
        <v/>
      </c>
      <c r="EH1929" t="str">
        <f>IF(NOT(ISBLANK($B1929)),VLOOKUP($B1929,AssetCategories!$A:$E,4,0),"")</f>
        <v/>
      </c>
      <c r="EM1929" t="str">
        <f>IF(NOT(ISBLANK($B1929)),VLOOKUP($B1929,AssetCategories!$A:$E,2,0),"")</f>
        <v/>
      </c>
      <c r="EN1929" t="str">
        <f>IF(NOT(ISBLANK($B1929)),VLOOKUP($B1929,AssetCategories!$A:$E,3,0),"")</f>
        <v/>
      </c>
      <c r="EP1929" s="33" t="str">
        <f t="shared" si="61"/>
        <v/>
      </c>
    </row>
    <row r="1930" spans="16:146" x14ac:dyDescent="0.25">
      <c r="P1930" s="33" t="str" cm="1">
        <f t="array" ref="P1930">IFERROR(SUM(VALUE(_xlfn.TEXTSPLIT(O1930, ";"))), "")</f>
        <v/>
      </c>
      <c r="DO1930" t="str">
        <f t="shared" si="60"/>
        <v/>
      </c>
      <c r="EG1930" s="33" t="str">
        <f>IF(NOT(ISBLANK($B1930)),VLOOKUP($B1930,AssetCategories!$A:$E,5,0),"")</f>
        <v/>
      </c>
      <c r="EH1930" t="str">
        <f>IF(NOT(ISBLANK($B1930)),VLOOKUP($B1930,AssetCategories!$A:$E,4,0),"")</f>
        <v/>
      </c>
      <c r="EM1930" t="str">
        <f>IF(NOT(ISBLANK($B1930)),VLOOKUP($B1930,AssetCategories!$A:$E,2,0),"")</f>
        <v/>
      </c>
      <c r="EN1930" t="str">
        <f>IF(NOT(ISBLANK($B1930)),VLOOKUP($B1930,AssetCategories!$A:$E,3,0),"")</f>
        <v/>
      </c>
      <c r="EP1930" s="33" t="str">
        <f t="shared" si="61"/>
        <v/>
      </c>
    </row>
    <row r="1931" spans="16:146" x14ac:dyDescent="0.25">
      <c r="P1931" s="33" t="str" cm="1">
        <f t="array" ref="P1931">IFERROR(SUM(VALUE(_xlfn.TEXTSPLIT(O1931, ";"))), "")</f>
        <v/>
      </c>
      <c r="DO1931" t="str">
        <f t="shared" si="60"/>
        <v/>
      </c>
      <c r="EG1931" s="33" t="str">
        <f>IF(NOT(ISBLANK($B1931)),VLOOKUP($B1931,AssetCategories!$A:$E,5,0),"")</f>
        <v/>
      </c>
      <c r="EH1931" t="str">
        <f>IF(NOT(ISBLANK($B1931)),VLOOKUP($B1931,AssetCategories!$A:$E,4,0),"")</f>
        <v/>
      </c>
      <c r="EM1931" t="str">
        <f>IF(NOT(ISBLANK($B1931)),VLOOKUP($B1931,AssetCategories!$A:$E,2,0),"")</f>
        <v/>
      </c>
      <c r="EN1931" t="str">
        <f>IF(NOT(ISBLANK($B1931)),VLOOKUP($B1931,AssetCategories!$A:$E,3,0),"")</f>
        <v/>
      </c>
      <c r="EP1931" s="33" t="str">
        <f t="shared" si="61"/>
        <v/>
      </c>
    </row>
    <row r="1932" spans="16:146" x14ac:dyDescent="0.25">
      <c r="P1932" s="33" t="str" cm="1">
        <f t="array" ref="P1932">IFERROR(SUM(VALUE(_xlfn.TEXTSPLIT(O1932, ";"))), "")</f>
        <v/>
      </c>
      <c r="DO1932" t="str">
        <f t="shared" si="60"/>
        <v/>
      </c>
      <c r="EG1932" s="33" t="str">
        <f>IF(NOT(ISBLANK($B1932)),VLOOKUP($B1932,AssetCategories!$A:$E,5,0),"")</f>
        <v/>
      </c>
      <c r="EH1932" t="str">
        <f>IF(NOT(ISBLANK($B1932)),VLOOKUP($B1932,AssetCategories!$A:$E,4,0),"")</f>
        <v/>
      </c>
      <c r="EM1932" t="str">
        <f>IF(NOT(ISBLANK($B1932)),VLOOKUP($B1932,AssetCategories!$A:$E,2,0),"")</f>
        <v/>
      </c>
      <c r="EN1932" t="str">
        <f>IF(NOT(ISBLANK($B1932)),VLOOKUP($B1932,AssetCategories!$A:$E,3,0),"")</f>
        <v/>
      </c>
      <c r="EP1932" s="33" t="str">
        <f t="shared" si="61"/>
        <v/>
      </c>
    </row>
    <row r="1933" spans="16:146" x14ac:dyDescent="0.25">
      <c r="P1933" s="33" t="str" cm="1">
        <f t="array" ref="P1933">IFERROR(SUM(VALUE(_xlfn.TEXTSPLIT(O1933, ";"))), "")</f>
        <v/>
      </c>
      <c r="DO1933" t="str">
        <f t="shared" si="60"/>
        <v/>
      </c>
      <c r="EG1933" s="33" t="str">
        <f>IF(NOT(ISBLANK($B1933)),VLOOKUP($B1933,AssetCategories!$A:$E,5,0),"")</f>
        <v/>
      </c>
      <c r="EH1933" t="str">
        <f>IF(NOT(ISBLANK($B1933)),VLOOKUP($B1933,AssetCategories!$A:$E,4,0),"")</f>
        <v/>
      </c>
      <c r="EM1933" t="str">
        <f>IF(NOT(ISBLANK($B1933)),VLOOKUP($B1933,AssetCategories!$A:$E,2,0),"")</f>
        <v/>
      </c>
      <c r="EN1933" t="str">
        <f>IF(NOT(ISBLANK($B1933)),VLOOKUP($B1933,AssetCategories!$A:$E,3,0),"")</f>
        <v/>
      </c>
      <c r="EP1933" s="33" t="str">
        <f t="shared" si="61"/>
        <v/>
      </c>
    </row>
    <row r="1934" spans="16:146" x14ac:dyDescent="0.25">
      <c r="P1934" s="33" t="str" cm="1">
        <f t="array" ref="P1934">IFERROR(SUM(VALUE(_xlfn.TEXTSPLIT(O1934, ";"))), "")</f>
        <v/>
      </c>
      <c r="DO1934" t="str">
        <f t="shared" si="60"/>
        <v/>
      </c>
      <c r="EG1934" s="33" t="str">
        <f>IF(NOT(ISBLANK($B1934)),VLOOKUP($B1934,AssetCategories!$A:$E,5,0),"")</f>
        <v/>
      </c>
      <c r="EH1934" t="str">
        <f>IF(NOT(ISBLANK($B1934)),VLOOKUP($B1934,AssetCategories!$A:$E,4,0),"")</f>
        <v/>
      </c>
      <c r="EM1934" t="str">
        <f>IF(NOT(ISBLANK($B1934)),VLOOKUP($B1934,AssetCategories!$A:$E,2,0),"")</f>
        <v/>
      </c>
      <c r="EN1934" t="str">
        <f>IF(NOT(ISBLANK($B1934)),VLOOKUP($B1934,AssetCategories!$A:$E,3,0),"")</f>
        <v/>
      </c>
      <c r="EP1934" s="33" t="str">
        <f t="shared" si="61"/>
        <v/>
      </c>
    </row>
    <row r="1935" spans="16:146" x14ac:dyDescent="0.25">
      <c r="P1935" s="33" t="str" cm="1">
        <f t="array" ref="P1935">IFERROR(SUM(VALUE(_xlfn.TEXTSPLIT(O1935, ";"))), "")</f>
        <v/>
      </c>
      <c r="DO1935" t="str">
        <f t="shared" si="60"/>
        <v/>
      </c>
      <c r="EG1935" s="33" t="str">
        <f>IF(NOT(ISBLANK($B1935)),VLOOKUP($B1935,AssetCategories!$A:$E,5,0),"")</f>
        <v/>
      </c>
      <c r="EH1935" t="str">
        <f>IF(NOT(ISBLANK($B1935)),VLOOKUP($B1935,AssetCategories!$A:$E,4,0),"")</f>
        <v/>
      </c>
      <c r="EM1935" t="str">
        <f>IF(NOT(ISBLANK($B1935)),VLOOKUP($B1935,AssetCategories!$A:$E,2,0),"")</f>
        <v/>
      </c>
      <c r="EN1935" t="str">
        <f>IF(NOT(ISBLANK($B1935)),VLOOKUP($B1935,AssetCategories!$A:$E,3,0),"")</f>
        <v/>
      </c>
      <c r="EP1935" s="33" t="str">
        <f t="shared" si="61"/>
        <v/>
      </c>
    </row>
    <row r="1936" spans="16:146" x14ac:dyDescent="0.25">
      <c r="P1936" s="33" t="str" cm="1">
        <f t="array" ref="P1936">IFERROR(SUM(VALUE(_xlfn.TEXTSPLIT(O1936, ";"))), "")</f>
        <v/>
      </c>
      <c r="DO1936" t="str">
        <f t="shared" si="60"/>
        <v/>
      </c>
      <c r="EG1936" s="33" t="str">
        <f>IF(NOT(ISBLANK($B1936)),VLOOKUP($B1936,AssetCategories!$A:$E,5,0),"")</f>
        <v/>
      </c>
      <c r="EH1936" t="str">
        <f>IF(NOT(ISBLANK($B1936)),VLOOKUP($B1936,AssetCategories!$A:$E,4,0),"")</f>
        <v/>
      </c>
      <c r="EM1936" t="str">
        <f>IF(NOT(ISBLANK($B1936)),VLOOKUP($B1936,AssetCategories!$A:$E,2,0),"")</f>
        <v/>
      </c>
      <c r="EN1936" t="str">
        <f>IF(NOT(ISBLANK($B1936)),VLOOKUP($B1936,AssetCategories!$A:$E,3,0),"")</f>
        <v/>
      </c>
      <c r="EP1936" s="33" t="str">
        <f t="shared" si="61"/>
        <v/>
      </c>
    </row>
    <row r="1937" spans="16:146" x14ac:dyDescent="0.25">
      <c r="P1937" s="33" t="str" cm="1">
        <f t="array" ref="P1937">IFERROR(SUM(VALUE(_xlfn.TEXTSPLIT(O1937, ";"))), "")</f>
        <v/>
      </c>
      <c r="DO1937" t="str">
        <f t="shared" si="60"/>
        <v/>
      </c>
      <c r="EG1937" s="33" t="str">
        <f>IF(NOT(ISBLANK($B1937)),VLOOKUP($B1937,AssetCategories!$A:$E,5,0),"")</f>
        <v/>
      </c>
      <c r="EH1937" t="str">
        <f>IF(NOT(ISBLANK($B1937)),VLOOKUP($B1937,AssetCategories!$A:$E,4,0),"")</f>
        <v/>
      </c>
      <c r="EM1937" t="str">
        <f>IF(NOT(ISBLANK($B1937)),VLOOKUP($B1937,AssetCategories!$A:$E,2,0),"")</f>
        <v/>
      </c>
      <c r="EN1937" t="str">
        <f>IF(NOT(ISBLANK($B1937)),VLOOKUP($B1937,AssetCategories!$A:$E,3,0),"")</f>
        <v/>
      </c>
      <c r="EP1937" s="33" t="str">
        <f t="shared" si="61"/>
        <v/>
      </c>
    </row>
    <row r="1938" spans="16:146" x14ac:dyDescent="0.25">
      <c r="P1938" s="33" t="str" cm="1">
        <f t="array" ref="P1938">IFERROR(SUM(VALUE(_xlfn.TEXTSPLIT(O1938, ";"))), "")</f>
        <v/>
      </c>
      <c r="DO1938" t="str">
        <f t="shared" si="60"/>
        <v/>
      </c>
      <c r="EG1938" s="33" t="str">
        <f>IF(NOT(ISBLANK($B1938)),VLOOKUP($B1938,AssetCategories!$A:$E,5,0),"")</f>
        <v/>
      </c>
      <c r="EH1938" t="str">
        <f>IF(NOT(ISBLANK($B1938)),VLOOKUP($B1938,AssetCategories!$A:$E,4,0),"")</f>
        <v/>
      </c>
      <c r="EM1938" t="str">
        <f>IF(NOT(ISBLANK($B1938)),VLOOKUP($B1938,AssetCategories!$A:$E,2,0),"")</f>
        <v/>
      </c>
      <c r="EN1938" t="str">
        <f>IF(NOT(ISBLANK($B1938)),VLOOKUP($B1938,AssetCategories!$A:$E,3,0),"")</f>
        <v/>
      </c>
      <c r="EP1938" s="33" t="str">
        <f t="shared" si="61"/>
        <v/>
      </c>
    </row>
    <row r="1939" spans="16:146" x14ac:dyDescent="0.25">
      <c r="P1939" s="33" t="str" cm="1">
        <f t="array" ref="P1939">IFERROR(SUM(VALUE(_xlfn.TEXTSPLIT(O1939, ";"))), "")</f>
        <v/>
      </c>
      <c r="DO1939" t="str">
        <f t="shared" si="60"/>
        <v/>
      </c>
      <c r="EG1939" s="33" t="str">
        <f>IF(NOT(ISBLANK($B1939)),VLOOKUP($B1939,AssetCategories!$A:$E,5,0),"")</f>
        <v/>
      </c>
      <c r="EH1939" t="str">
        <f>IF(NOT(ISBLANK($B1939)),VLOOKUP($B1939,AssetCategories!$A:$E,4,0),"")</f>
        <v/>
      </c>
      <c r="EM1939" t="str">
        <f>IF(NOT(ISBLANK($B1939)),VLOOKUP($B1939,AssetCategories!$A:$E,2,0),"")</f>
        <v/>
      </c>
      <c r="EN1939" t="str">
        <f>IF(NOT(ISBLANK($B1939)),VLOOKUP($B1939,AssetCategories!$A:$E,3,0),"")</f>
        <v/>
      </c>
      <c r="EP1939" s="33" t="str">
        <f t="shared" si="61"/>
        <v/>
      </c>
    </row>
    <row r="1940" spans="16:146" x14ac:dyDescent="0.25">
      <c r="P1940" s="33" t="str" cm="1">
        <f t="array" ref="P1940">IFERROR(SUM(VALUE(_xlfn.TEXTSPLIT(O1940, ";"))), "")</f>
        <v/>
      </c>
      <c r="DO1940" t="str">
        <f t="shared" si="60"/>
        <v/>
      </c>
      <c r="EG1940" s="33" t="str">
        <f>IF(NOT(ISBLANK($B1940)),VLOOKUP($B1940,AssetCategories!$A:$E,5,0),"")</f>
        <v/>
      </c>
      <c r="EH1940" t="str">
        <f>IF(NOT(ISBLANK($B1940)),VLOOKUP($B1940,AssetCategories!$A:$E,4,0),"")</f>
        <v/>
      </c>
      <c r="EM1940" t="str">
        <f>IF(NOT(ISBLANK($B1940)),VLOOKUP($B1940,AssetCategories!$A:$E,2,0),"")</f>
        <v/>
      </c>
      <c r="EN1940" t="str">
        <f>IF(NOT(ISBLANK($B1940)),VLOOKUP($B1940,AssetCategories!$A:$E,3,0),"")</f>
        <v/>
      </c>
      <c r="EP1940" s="33" t="str">
        <f t="shared" si="61"/>
        <v/>
      </c>
    </row>
    <row r="1941" spans="16:146" x14ac:dyDescent="0.25">
      <c r="P1941" s="33" t="str" cm="1">
        <f t="array" ref="P1941">IFERROR(SUM(VALUE(_xlfn.TEXTSPLIT(O1941, ";"))), "")</f>
        <v/>
      </c>
      <c r="DO1941" t="str">
        <f t="shared" si="60"/>
        <v/>
      </c>
      <c r="EG1941" s="33" t="str">
        <f>IF(NOT(ISBLANK($B1941)),VLOOKUP($B1941,AssetCategories!$A:$E,5,0),"")</f>
        <v/>
      </c>
      <c r="EH1941" t="str">
        <f>IF(NOT(ISBLANK($B1941)),VLOOKUP($B1941,AssetCategories!$A:$E,4,0),"")</f>
        <v/>
      </c>
      <c r="EM1941" t="str">
        <f>IF(NOT(ISBLANK($B1941)),VLOOKUP($B1941,AssetCategories!$A:$E,2,0),"")</f>
        <v/>
      </c>
      <c r="EN1941" t="str">
        <f>IF(NOT(ISBLANK($B1941)),VLOOKUP($B1941,AssetCategories!$A:$E,3,0),"")</f>
        <v/>
      </c>
      <c r="EP1941" s="33" t="str">
        <f t="shared" si="61"/>
        <v/>
      </c>
    </row>
    <row r="1942" spans="16:146" x14ac:dyDescent="0.25">
      <c r="P1942" s="33" t="str" cm="1">
        <f t="array" ref="P1942">IFERROR(SUM(VALUE(_xlfn.TEXTSPLIT(O1942, ";"))), "")</f>
        <v/>
      </c>
      <c r="DO1942" t="str">
        <f t="shared" si="60"/>
        <v/>
      </c>
      <c r="EG1942" s="33" t="str">
        <f>IF(NOT(ISBLANK($B1942)),VLOOKUP($B1942,AssetCategories!$A:$E,5,0),"")</f>
        <v/>
      </c>
      <c r="EH1942" t="str">
        <f>IF(NOT(ISBLANK($B1942)),VLOOKUP($B1942,AssetCategories!$A:$E,4,0),"")</f>
        <v/>
      </c>
      <c r="EM1942" t="str">
        <f>IF(NOT(ISBLANK($B1942)),VLOOKUP($B1942,AssetCategories!$A:$E,2,0),"")</f>
        <v/>
      </c>
      <c r="EN1942" t="str">
        <f>IF(NOT(ISBLANK($B1942)),VLOOKUP($B1942,AssetCategories!$A:$E,3,0),"")</f>
        <v/>
      </c>
      <c r="EP1942" s="33" t="str">
        <f t="shared" si="61"/>
        <v/>
      </c>
    </row>
    <row r="1943" spans="16:146" x14ac:dyDescent="0.25">
      <c r="P1943" s="33" t="str" cm="1">
        <f t="array" ref="P1943">IFERROR(SUM(VALUE(_xlfn.TEXTSPLIT(O1943, ";"))), "")</f>
        <v/>
      </c>
      <c r="DO1943" t="str">
        <f t="shared" si="60"/>
        <v/>
      </c>
      <c r="EG1943" s="33" t="str">
        <f>IF(NOT(ISBLANK($B1943)),VLOOKUP($B1943,AssetCategories!$A:$E,5,0),"")</f>
        <v/>
      </c>
      <c r="EH1943" t="str">
        <f>IF(NOT(ISBLANK($B1943)),VLOOKUP($B1943,AssetCategories!$A:$E,4,0),"")</f>
        <v/>
      </c>
      <c r="EM1943" t="str">
        <f>IF(NOT(ISBLANK($B1943)),VLOOKUP($B1943,AssetCategories!$A:$E,2,0),"")</f>
        <v/>
      </c>
      <c r="EN1943" t="str">
        <f>IF(NOT(ISBLANK($B1943)),VLOOKUP($B1943,AssetCategories!$A:$E,3,0),"")</f>
        <v/>
      </c>
      <c r="EP1943" s="33" t="str">
        <f t="shared" si="61"/>
        <v/>
      </c>
    </row>
    <row r="1944" spans="16:146" x14ac:dyDescent="0.25">
      <c r="P1944" s="33" t="str" cm="1">
        <f t="array" ref="P1944">IFERROR(SUM(VALUE(_xlfn.TEXTSPLIT(O1944, ";"))), "")</f>
        <v/>
      </c>
      <c r="DO1944" t="str">
        <f t="shared" si="60"/>
        <v/>
      </c>
      <c r="EG1944" s="33" t="str">
        <f>IF(NOT(ISBLANK($B1944)),VLOOKUP($B1944,AssetCategories!$A:$E,5,0),"")</f>
        <v/>
      </c>
      <c r="EH1944" t="str">
        <f>IF(NOT(ISBLANK($B1944)),VLOOKUP($B1944,AssetCategories!$A:$E,4,0),"")</f>
        <v/>
      </c>
      <c r="EM1944" t="str">
        <f>IF(NOT(ISBLANK($B1944)),VLOOKUP($B1944,AssetCategories!$A:$E,2,0),"")</f>
        <v/>
      </c>
      <c r="EN1944" t="str">
        <f>IF(NOT(ISBLANK($B1944)),VLOOKUP($B1944,AssetCategories!$A:$E,3,0),"")</f>
        <v/>
      </c>
      <c r="EP1944" s="33" t="str">
        <f t="shared" si="61"/>
        <v/>
      </c>
    </row>
    <row r="1945" spans="16:146" x14ac:dyDescent="0.25">
      <c r="P1945" s="33" t="str" cm="1">
        <f t="array" ref="P1945">IFERROR(SUM(VALUE(_xlfn.TEXTSPLIT(O1945, ";"))), "")</f>
        <v/>
      </c>
      <c r="DO1945" t="str">
        <f t="shared" si="60"/>
        <v/>
      </c>
      <c r="EG1945" s="33" t="str">
        <f>IF(NOT(ISBLANK($B1945)),VLOOKUP($B1945,AssetCategories!$A:$E,5,0),"")</f>
        <v/>
      </c>
      <c r="EH1945" t="str">
        <f>IF(NOT(ISBLANK($B1945)),VLOOKUP($B1945,AssetCategories!$A:$E,4,0),"")</f>
        <v/>
      </c>
      <c r="EM1945" t="str">
        <f>IF(NOT(ISBLANK($B1945)),VLOOKUP($B1945,AssetCategories!$A:$E,2,0),"")</f>
        <v/>
      </c>
      <c r="EN1945" t="str">
        <f>IF(NOT(ISBLANK($B1945)),VLOOKUP($B1945,AssetCategories!$A:$E,3,0),"")</f>
        <v/>
      </c>
      <c r="EP1945" s="33" t="str">
        <f t="shared" si="61"/>
        <v/>
      </c>
    </row>
    <row r="1946" spans="16:146" x14ac:dyDescent="0.25">
      <c r="P1946" s="33" t="str" cm="1">
        <f t="array" ref="P1946">IFERROR(SUM(VALUE(_xlfn.TEXTSPLIT(O1946, ";"))), "")</f>
        <v/>
      </c>
      <c r="DO1946" t="str">
        <f t="shared" si="60"/>
        <v/>
      </c>
      <c r="EG1946" s="33" t="str">
        <f>IF(NOT(ISBLANK($B1946)),VLOOKUP($B1946,AssetCategories!$A:$E,5,0),"")</f>
        <v/>
      </c>
      <c r="EH1946" t="str">
        <f>IF(NOT(ISBLANK($B1946)),VLOOKUP($B1946,AssetCategories!$A:$E,4,0),"")</f>
        <v/>
      </c>
      <c r="EM1946" t="str">
        <f>IF(NOT(ISBLANK($B1946)),VLOOKUP($B1946,AssetCategories!$A:$E,2,0),"")</f>
        <v/>
      </c>
      <c r="EN1946" t="str">
        <f>IF(NOT(ISBLANK($B1946)),VLOOKUP($B1946,AssetCategories!$A:$E,3,0),"")</f>
        <v/>
      </c>
      <c r="EP1946" s="33" t="str">
        <f t="shared" si="61"/>
        <v/>
      </c>
    </row>
    <row r="1947" spans="16:146" x14ac:dyDescent="0.25">
      <c r="P1947" s="33" t="str" cm="1">
        <f t="array" ref="P1947">IFERROR(SUM(VALUE(_xlfn.TEXTSPLIT(O1947, ";"))), "")</f>
        <v/>
      </c>
      <c r="DO1947" t="str">
        <f t="shared" si="60"/>
        <v/>
      </c>
      <c r="EG1947" s="33" t="str">
        <f>IF(NOT(ISBLANK($B1947)),VLOOKUP($B1947,AssetCategories!$A:$E,5,0),"")</f>
        <v/>
      </c>
      <c r="EH1947" t="str">
        <f>IF(NOT(ISBLANK($B1947)),VLOOKUP($B1947,AssetCategories!$A:$E,4,0),"")</f>
        <v/>
      </c>
      <c r="EM1947" t="str">
        <f>IF(NOT(ISBLANK($B1947)),VLOOKUP($B1947,AssetCategories!$A:$E,2,0),"")</f>
        <v/>
      </c>
      <c r="EN1947" t="str">
        <f>IF(NOT(ISBLANK($B1947)),VLOOKUP($B1947,AssetCategories!$A:$E,3,0),"")</f>
        <v/>
      </c>
      <c r="EP1947" s="33" t="str">
        <f t="shared" si="61"/>
        <v/>
      </c>
    </row>
    <row r="1948" spans="16:146" x14ac:dyDescent="0.25">
      <c r="P1948" s="33" t="str" cm="1">
        <f t="array" ref="P1948">IFERROR(SUM(VALUE(_xlfn.TEXTSPLIT(O1948, ";"))), "")</f>
        <v/>
      </c>
      <c r="DO1948" t="str">
        <f t="shared" si="60"/>
        <v/>
      </c>
      <c r="EG1948" s="33" t="str">
        <f>IF(NOT(ISBLANK($B1948)),VLOOKUP($B1948,AssetCategories!$A:$E,5,0),"")</f>
        <v/>
      </c>
      <c r="EH1948" t="str">
        <f>IF(NOT(ISBLANK($B1948)),VLOOKUP($B1948,AssetCategories!$A:$E,4,0),"")</f>
        <v/>
      </c>
      <c r="EM1948" t="str">
        <f>IF(NOT(ISBLANK($B1948)),VLOOKUP($B1948,AssetCategories!$A:$E,2,0),"")</f>
        <v/>
      </c>
      <c r="EN1948" t="str">
        <f>IF(NOT(ISBLANK($B1948)),VLOOKUP($B1948,AssetCategories!$A:$E,3,0),"")</f>
        <v/>
      </c>
      <c r="EP1948" s="33" t="str">
        <f t="shared" si="61"/>
        <v/>
      </c>
    </row>
    <row r="1949" spans="16:146" x14ac:dyDescent="0.25">
      <c r="P1949" s="33" t="str" cm="1">
        <f t="array" ref="P1949">IFERROR(SUM(VALUE(_xlfn.TEXTSPLIT(O1949, ";"))), "")</f>
        <v/>
      </c>
      <c r="DO1949" t="str">
        <f t="shared" si="60"/>
        <v/>
      </c>
      <c r="EG1949" s="33" t="str">
        <f>IF(NOT(ISBLANK($B1949)),VLOOKUP($B1949,AssetCategories!$A:$E,5,0),"")</f>
        <v/>
      </c>
      <c r="EH1949" t="str">
        <f>IF(NOT(ISBLANK($B1949)),VLOOKUP($B1949,AssetCategories!$A:$E,4,0),"")</f>
        <v/>
      </c>
      <c r="EM1949" t="str">
        <f>IF(NOT(ISBLANK($B1949)),VLOOKUP($B1949,AssetCategories!$A:$E,2,0),"")</f>
        <v/>
      </c>
      <c r="EN1949" t="str">
        <f>IF(NOT(ISBLANK($B1949)),VLOOKUP($B1949,AssetCategories!$A:$E,3,0),"")</f>
        <v/>
      </c>
      <c r="EP1949" s="33" t="str">
        <f t="shared" si="61"/>
        <v/>
      </c>
    </row>
    <row r="1950" spans="16:146" x14ac:dyDescent="0.25">
      <c r="P1950" s="33" t="str" cm="1">
        <f t="array" ref="P1950">IFERROR(SUM(VALUE(_xlfn.TEXTSPLIT(O1950, ";"))), "")</f>
        <v/>
      </c>
      <c r="DO1950" t="str">
        <f t="shared" si="60"/>
        <v/>
      </c>
      <c r="EG1950" s="33" t="str">
        <f>IF(NOT(ISBLANK($B1950)),VLOOKUP($B1950,AssetCategories!$A:$E,5,0),"")</f>
        <v/>
      </c>
      <c r="EH1950" t="str">
        <f>IF(NOT(ISBLANK($B1950)),VLOOKUP($B1950,AssetCategories!$A:$E,4,0),"")</f>
        <v/>
      </c>
      <c r="EM1950" t="str">
        <f>IF(NOT(ISBLANK($B1950)),VLOOKUP($B1950,AssetCategories!$A:$E,2,0),"")</f>
        <v/>
      </c>
      <c r="EN1950" t="str">
        <f>IF(NOT(ISBLANK($B1950)),VLOOKUP($B1950,AssetCategories!$A:$E,3,0),"")</f>
        <v/>
      </c>
      <c r="EP1950" s="33" t="str">
        <f t="shared" si="61"/>
        <v/>
      </c>
    </row>
    <row r="1951" spans="16:146" x14ac:dyDescent="0.25">
      <c r="P1951" s="33" t="str" cm="1">
        <f t="array" ref="P1951">IFERROR(SUM(VALUE(_xlfn.TEXTSPLIT(O1951, ";"))), "")</f>
        <v/>
      </c>
      <c r="DO1951" t="str">
        <f t="shared" si="60"/>
        <v/>
      </c>
      <c r="EG1951" s="33" t="str">
        <f>IF(NOT(ISBLANK($B1951)),VLOOKUP($B1951,AssetCategories!$A:$E,5,0),"")</f>
        <v/>
      </c>
      <c r="EH1951" t="str">
        <f>IF(NOT(ISBLANK($B1951)),VLOOKUP($B1951,AssetCategories!$A:$E,4,0),"")</f>
        <v/>
      </c>
      <c r="EM1951" t="str">
        <f>IF(NOT(ISBLANK($B1951)),VLOOKUP($B1951,AssetCategories!$A:$E,2,0),"")</f>
        <v/>
      </c>
      <c r="EN1951" t="str">
        <f>IF(NOT(ISBLANK($B1951)),VLOOKUP($B1951,AssetCategories!$A:$E,3,0),"")</f>
        <v/>
      </c>
      <c r="EP1951" s="33" t="str">
        <f t="shared" si="61"/>
        <v/>
      </c>
    </row>
    <row r="1952" spans="16:146" x14ac:dyDescent="0.25">
      <c r="P1952" s="33" t="str" cm="1">
        <f t="array" ref="P1952">IFERROR(SUM(VALUE(_xlfn.TEXTSPLIT(O1952, ";"))), "")</f>
        <v/>
      </c>
      <c r="DO1952" t="str">
        <f t="shared" si="60"/>
        <v/>
      </c>
      <c r="EG1952" s="33" t="str">
        <f>IF(NOT(ISBLANK($B1952)),VLOOKUP($B1952,AssetCategories!$A:$E,5,0),"")</f>
        <v/>
      </c>
      <c r="EH1952" t="str">
        <f>IF(NOT(ISBLANK($B1952)),VLOOKUP($B1952,AssetCategories!$A:$E,4,0),"")</f>
        <v/>
      </c>
      <c r="EM1952" t="str">
        <f>IF(NOT(ISBLANK($B1952)),VLOOKUP($B1952,AssetCategories!$A:$E,2,0),"")</f>
        <v/>
      </c>
      <c r="EN1952" t="str">
        <f>IF(NOT(ISBLANK($B1952)),VLOOKUP($B1952,AssetCategories!$A:$E,3,0),"")</f>
        <v/>
      </c>
      <c r="EP1952" s="33" t="str">
        <f t="shared" si="61"/>
        <v/>
      </c>
    </row>
    <row r="1953" spans="16:146" x14ac:dyDescent="0.25">
      <c r="P1953" s="33" t="str" cm="1">
        <f t="array" ref="P1953">IFERROR(SUM(VALUE(_xlfn.TEXTSPLIT(O1953, ";"))), "")</f>
        <v/>
      </c>
      <c r="DO1953" t="str">
        <f t="shared" si="60"/>
        <v/>
      </c>
      <c r="EG1953" s="33" t="str">
        <f>IF(NOT(ISBLANK($B1953)),VLOOKUP($B1953,AssetCategories!$A:$E,5,0),"")</f>
        <v/>
      </c>
      <c r="EH1953" t="str">
        <f>IF(NOT(ISBLANK($B1953)),VLOOKUP($B1953,AssetCategories!$A:$E,4,0),"")</f>
        <v/>
      </c>
      <c r="EM1953" t="str">
        <f>IF(NOT(ISBLANK($B1953)),VLOOKUP($B1953,AssetCategories!$A:$E,2,0),"")</f>
        <v/>
      </c>
      <c r="EN1953" t="str">
        <f>IF(NOT(ISBLANK($B1953)),VLOOKUP($B1953,AssetCategories!$A:$E,3,0),"")</f>
        <v/>
      </c>
      <c r="EP1953" s="33" t="str">
        <f t="shared" si="61"/>
        <v/>
      </c>
    </row>
    <row r="1954" spans="16:146" x14ac:dyDescent="0.25">
      <c r="P1954" s="33" t="str" cm="1">
        <f t="array" ref="P1954">IFERROR(SUM(VALUE(_xlfn.TEXTSPLIT(O1954, ";"))), "")</f>
        <v/>
      </c>
      <c r="DO1954" t="str">
        <f t="shared" si="60"/>
        <v/>
      </c>
      <c r="EG1954" s="33" t="str">
        <f>IF(NOT(ISBLANK($B1954)),VLOOKUP($B1954,AssetCategories!$A:$E,5,0),"")</f>
        <v/>
      </c>
      <c r="EH1954" t="str">
        <f>IF(NOT(ISBLANK($B1954)),VLOOKUP($B1954,AssetCategories!$A:$E,4,0),"")</f>
        <v/>
      </c>
      <c r="EM1954" t="str">
        <f>IF(NOT(ISBLANK($B1954)),VLOOKUP($B1954,AssetCategories!$A:$E,2,0),"")</f>
        <v/>
      </c>
      <c r="EN1954" t="str">
        <f>IF(NOT(ISBLANK($B1954)),VLOOKUP($B1954,AssetCategories!$A:$E,3,0),"")</f>
        <v/>
      </c>
      <c r="EP1954" s="33" t="str">
        <f t="shared" si="61"/>
        <v/>
      </c>
    </row>
    <row r="1955" spans="16:146" x14ac:dyDescent="0.25">
      <c r="P1955" s="33" t="str" cm="1">
        <f t="array" ref="P1955">IFERROR(SUM(VALUE(_xlfn.TEXTSPLIT(O1955, ";"))), "")</f>
        <v/>
      </c>
      <c r="DO1955" t="str">
        <f t="shared" si="60"/>
        <v/>
      </c>
      <c r="EG1955" s="33" t="str">
        <f>IF(NOT(ISBLANK($B1955)),VLOOKUP($B1955,AssetCategories!$A:$E,5,0),"")</f>
        <v/>
      </c>
      <c r="EH1955" t="str">
        <f>IF(NOT(ISBLANK($B1955)),VLOOKUP($B1955,AssetCategories!$A:$E,4,0),"")</f>
        <v/>
      </c>
      <c r="EM1955" t="str">
        <f>IF(NOT(ISBLANK($B1955)),VLOOKUP($B1955,AssetCategories!$A:$E,2,0),"")</f>
        <v/>
      </c>
      <c r="EN1955" t="str">
        <f>IF(NOT(ISBLANK($B1955)),VLOOKUP($B1955,AssetCategories!$A:$E,3,0),"")</f>
        <v/>
      </c>
      <c r="EP1955" s="33" t="str">
        <f t="shared" si="61"/>
        <v/>
      </c>
    </row>
    <row r="1956" spans="16:146" x14ac:dyDescent="0.25">
      <c r="P1956" s="33" t="str" cm="1">
        <f t="array" ref="P1956">IFERROR(SUM(VALUE(_xlfn.TEXTSPLIT(O1956, ";"))), "")</f>
        <v/>
      </c>
      <c r="DO1956" t="str">
        <f t="shared" si="60"/>
        <v/>
      </c>
      <c r="EG1956" s="33" t="str">
        <f>IF(NOT(ISBLANK($B1956)),VLOOKUP($B1956,AssetCategories!$A:$E,5,0),"")</f>
        <v/>
      </c>
      <c r="EH1956" t="str">
        <f>IF(NOT(ISBLANK($B1956)),VLOOKUP($B1956,AssetCategories!$A:$E,4,0),"")</f>
        <v/>
      </c>
      <c r="EM1956" t="str">
        <f>IF(NOT(ISBLANK($B1956)),VLOOKUP($B1956,AssetCategories!$A:$E,2,0),"")</f>
        <v/>
      </c>
      <c r="EN1956" t="str">
        <f>IF(NOT(ISBLANK($B1956)),VLOOKUP($B1956,AssetCategories!$A:$E,3,0),"")</f>
        <v/>
      </c>
      <c r="EP1956" s="33" t="str">
        <f t="shared" si="61"/>
        <v/>
      </c>
    </row>
    <row r="1957" spans="16:146" x14ac:dyDescent="0.25">
      <c r="P1957" s="33" t="str" cm="1">
        <f t="array" ref="P1957">IFERROR(SUM(VALUE(_xlfn.TEXTSPLIT(O1957, ";"))), "")</f>
        <v/>
      </c>
      <c r="DO1957" t="str">
        <f t="shared" si="60"/>
        <v/>
      </c>
      <c r="EG1957" s="33" t="str">
        <f>IF(NOT(ISBLANK($B1957)),VLOOKUP($B1957,AssetCategories!$A:$E,5,0),"")</f>
        <v/>
      </c>
      <c r="EH1957" t="str">
        <f>IF(NOT(ISBLANK($B1957)),VLOOKUP($B1957,AssetCategories!$A:$E,4,0),"")</f>
        <v/>
      </c>
      <c r="EM1957" t="str">
        <f>IF(NOT(ISBLANK($B1957)),VLOOKUP($B1957,AssetCategories!$A:$E,2,0),"")</f>
        <v/>
      </c>
      <c r="EN1957" t="str">
        <f>IF(NOT(ISBLANK($B1957)),VLOOKUP($B1957,AssetCategories!$A:$E,3,0),"")</f>
        <v/>
      </c>
      <c r="EP1957" s="33" t="str">
        <f t="shared" si="61"/>
        <v/>
      </c>
    </row>
    <row r="1958" spans="16:146" x14ac:dyDescent="0.25">
      <c r="P1958" s="33" t="str" cm="1">
        <f t="array" ref="P1958">IFERROR(SUM(VALUE(_xlfn.TEXTSPLIT(O1958, ";"))), "")</f>
        <v/>
      </c>
      <c r="DO1958" t="str">
        <f t="shared" si="60"/>
        <v/>
      </c>
      <c r="EG1958" s="33" t="str">
        <f>IF(NOT(ISBLANK($B1958)),VLOOKUP($B1958,AssetCategories!$A:$E,5,0),"")</f>
        <v/>
      </c>
      <c r="EH1958" t="str">
        <f>IF(NOT(ISBLANK($B1958)),VLOOKUP($B1958,AssetCategories!$A:$E,4,0),"")</f>
        <v/>
      </c>
      <c r="EM1958" t="str">
        <f>IF(NOT(ISBLANK($B1958)),VLOOKUP($B1958,AssetCategories!$A:$E,2,0),"")</f>
        <v/>
      </c>
      <c r="EN1958" t="str">
        <f>IF(NOT(ISBLANK($B1958)),VLOOKUP($B1958,AssetCategories!$A:$E,3,0),"")</f>
        <v/>
      </c>
      <c r="EP1958" s="33" t="str">
        <f t="shared" si="61"/>
        <v/>
      </c>
    </row>
    <row r="1959" spans="16:146" x14ac:dyDescent="0.25">
      <c r="P1959" s="33" t="str" cm="1">
        <f t="array" ref="P1959">IFERROR(SUM(VALUE(_xlfn.TEXTSPLIT(O1959, ";"))), "")</f>
        <v/>
      </c>
      <c r="DO1959" t="str">
        <f t="shared" si="60"/>
        <v/>
      </c>
      <c r="EG1959" s="33" t="str">
        <f>IF(NOT(ISBLANK($B1959)),VLOOKUP($B1959,AssetCategories!$A:$E,5,0),"")</f>
        <v/>
      </c>
      <c r="EH1959" t="str">
        <f>IF(NOT(ISBLANK($B1959)),VLOOKUP($B1959,AssetCategories!$A:$E,4,0),"")</f>
        <v/>
      </c>
      <c r="EM1959" t="str">
        <f>IF(NOT(ISBLANK($B1959)),VLOOKUP($B1959,AssetCategories!$A:$E,2,0),"")</f>
        <v/>
      </c>
      <c r="EN1959" t="str">
        <f>IF(NOT(ISBLANK($B1959)),VLOOKUP($B1959,AssetCategories!$A:$E,3,0),"")</f>
        <v/>
      </c>
      <c r="EP1959" s="33" t="str">
        <f t="shared" si="61"/>
        <v/>
      </c>
    </row>
    <row r="1960" spans="16:146" x14ac:dyDescent="0.25">
      <c r="P1960" s="33" t="str" cm="1">
        <f t="array" ref="P1960">IFERROR(SUM(VALUE(_xlfn.TEXTSPLIT(O1960, ";"))), "")</f>
        <v/>
      </c>
      <c r="DO1960" t="str">
        <f t="shared" si="60"/>
        <v/>
      </c>
      <c r="EG1960" s="33" t="str">
        <f>IF(NOT(ISBLANK($B1960)),VLOOKUP($B1960,AssetCategories!$A:$E,5,0),"")</f>
        <v/>
      </c>
      <c r="EH1960" t="str">
        <f>IF(NOT(ISBLANK($B1960)),VLOOKUP($B1960,AssetCategories!$A:$E,4,0),"")</f>
        <v/>
      </c>
      <c r="EM1960" t="str">
        <f>IF(NOT(ISBLANK($B1960)),VLOOKUP($B1960,AssetCategories!$A:$E,2,0),"")</f>
        <v/>
      </c>
      <c r="EN1960" t="str">
        <f>IF(NOT(ISBLANK($B1960)),VLOOKUP($B1960,AssetCategories!$A:$E,3,0),"")</f>
        <v/>
      </c>
      <c r="EP1960" s="33" t="str">
        <f t="shared" si="61"/>
        <v/>
      </c>
    </row>
    <row r="1961" spans="16:146" x14ac:dyDescent="0.25">
      <c r="P1961" s="33" t="str" cm="1">
        <f t="array" ref="P1961">IFERROR(SUM(VALUE(_xlfn.TEXTSPLIT(O1961, ";"))), "")</f>
        <v/>
      </c>
      <c r="DO1961" t="str">
        <f t="shared" si="60"/>
        <v/>
      </c>
      <c r="EG1961" s="33" t="str">
        <f>IF(NOT(ISBLANK($B1961)),VLOOKUP($B1961,AssetCategories!$A:$E,5,0),"")</f>
        <v/>
      </c>
      <c r="EH1961" t="str">
        <f>IF(NOT(ISBLANK($B1961)),VLOOKUP($B1961,AssetCategories!$A:$E,4,0),"")</f>
        <v/>
      </c>
      <c r="EM1961" t="str">
        <f>IF(NOT(ISBLANK($B1961)),VLOOKUP($B1961,AssetCategories!$A:$E,2,0),"")</f>
        <v/>
      </c>
      <c r="EN1961" t="str">
        <f>IF(NOT(ISBLANK($B1961)),VLOOKUP($B1961,AssetCategories!$A:$E,3,0),"")</f>
        <v/>
      </c>
      <c r="EP1961" s="33" t="str">
        <f t="shared" si="61"/>
        <v/>
      </c>
    </row>
    <row r="1962" spans="16:146" x14ac:dyDescent="0.25">
      <c r="P1962" s="33" t="str" cm="1">
        <f t="array" ref="P1962">IFERROR(SUM(VALUE(_xlfn.TEXTSPLIT(O1962, ";"))), "")</f>
        <v/>
      </c>
      <c r="DO1962" t="str">
        <f t="shared" si="60"/>
        <v/>
      </c>
      <c r="EG1962" s="33" t="str">
        <f>IF(NOT(ISBLANK($B1962)),VLOOKUP($B1962,AssetCategories!$A:$E,5,0),"")</f>
        <v/>
      </c>
      <c r="EH1962" t="str">
        <f>IF(NOT(ISBLANK($B1962)),VLOOKUP($B1962,AssetCategories!$A:$E,4,0),"")</f>
        <v/>
      </c>
      <c r="EM1962" t="str">
        <f>IF(NOT(ISBLANK($B1962)),VLOOKUP($B1962,AssetCategories!$A:$E,2,0),"")</f>
        <v/>
      </c>
      <c r="EN1962" t="str">
        <f>IF(NOT(ISBLANK($B1962)),VLOOKUP($B1962,AssetCategories!$A:$E,3,0),"")</f>
        <v/>
      </c>
      <c r="EP1962" s="33" t="str">
        <f t="shared" si="61"/>
        <v/>
      </c>
    </row>
    <row r="1963" spans="16:146" x14ac:dyDescent="0.25">
      <c r="P1963" s="33" t="str" cm="1">
        <f t="array" ref="P1963">IFERROR(SUM(VALUE(_xlfn.TEXTSPLIT(O1963, ";"))), "")</f>
        <v/>
      </c>
      <c r="DO1963" t="str">
        <f t="shared" si="60"/>
        <v/>
      </c>
      <c r="EG1963" s="33" t="str">
        <f>IF(NOT(ISBLANK($B1963)),VLOOKUP($B1963,AssetCategories!$A:$E,5,0),"")</f>
        <v/>
      </c>
      <c r="EH1963" t="str">
        <f>IF(NOT(ISBLANK($B1963)),VLOOKUP($B1963,AssetCategories!$A:$E,4,0),"")</f>
        <v/>
      </c>
      <c r="EM1963" t="str">
        <f>IF(NOT(ISBLANK($B1963)),VLOOKUP($B1963,AssetCategories!$A:$E,2,0),"")</f>
        <v/>
      </c>
      <c r="EN1963" t="str">
        <f>IF(NOT(ISBLANK($B1963)),VLOOKUP($B1963,AssetCategories!$A:$E,3,0),"")</f>
        <v/>
      </c>
      <c r="EP1963" s="33" t="str">
        <f t="shared" si="61"/>
        <v/>
      </c>
    </row>
    <row r="1964" spans="16:146" x14ac:dyDescent="0.25">
      <c r="P1964" s="33" t="str" cm="1">
        <f t="array" ref="P1964">IFERROR(SUM(VALUE(_xlfn.TEXTSPLIT(O1964, ";"))), "")</f>
        <v/>
      </c>
      <c r="DO1964" t="str">
        <f t="shared" si="60"/>
        <v/>
      </c>
      <c r="EG1964" s="33" t="str">
        <f>IF(NOT(ISBLANK($B1964)),VLOOKUP($B1964,AssetCategories!$A:$E,5,0),"")</f>
        <v/>
      </c>
      <c r="EH1964" t="str">
        <f>IF(NOT(ISBLANK($B1964)),VLOOKUP($B1964,AssetCategories!$A:$E,4,0),"")</f>
        <v/>
      </c>
      <c r="EM1964" t="str">
        <f>IF(NOT(ISBLANK($B1964)),VLOOKUP($B1964,AssetCategories!$A:$E,2,0),"")</f>
        <v/>
      </c>
      <c r="EN1964" t="str">
        <f>IF(NOT(ISBLANK($B1964)),VLOOKUP($B1964,AssetCategories!$A:$E,3,0),"")</f>
        <v/>
      </c>
      <c r="EP1964" s="33" t="str">
        <f t="shared" si="61"/>
        <v/>
      </c>
    </row>
    <row r="1965" spans="16:146" x14ac:dyDescent="0.25">
      <c r="P1965" s="33" t="str" cm="1">
        <f t="array" ref="P1965">IFERROR(SUM(VALUE(_xlfn.TEXTSPLIT(O1965, ";"))), "")</f>
        <v/>
      </c>
      <c r="DO1965" t="str">
        <f t="shared" si="60"/>
        <v/>
      </c>
      <c r="EG1965" s="33" t="str">
        <f>IF(NOT(ISBLANK($B1965)),VLOOKUP($B1965,AssetCategories!$A:$E,5,0),"")</f>
        <v/>
      </c>
      <c r="EH1965" t="str">
        <f>IF(NOT(ISBLANK($B1965)),VLOOKUP($B1965,AssetCategories!$A:$E,4,0),"")</f>
        <v/>
      </c>
      <c r="EM1965" t="str">
        <f>IF(NOT(ISBLANK($B1965)),VLOOKUP($B1965,AssetCategories!$A:$E,2,0),"")</f>
        <v/>
      </c>
      <c r="EN1965" t="str">
        <f>IF(NOT(ISBLANK($B1965)),VLOOKUP($B1965,AssetCategories!$A:$E,3,0),"")</f>
        <v/>
      </c>
      <c r="EP1965" s="33" t="str">
        <f t="shared" si="61"/>
        <v/>
      </c>
    </row>
    <row r="1966" spans="16:146" x14ac:dyDescent="0.25">
      <c r="P1966" s="33" t="str" cm="1">
        <f t="array" ref="P1966">IFERROR(SUM(VALUE(_xlfn.TEXTSPLIT(O1966, ";"))), "")</f>
        <v/>
      </c>
      <c r="DO1966" t="str">
        <f t="shared" si="60"/>
        <v/>
      </c>
      <c r="EG1966" s="33" t="str">
        <f>IF(NOT(ISBLANK($B1966)),VLOOKUP($B1966,AssetCategories!$A:$E,5,0),"")</f>
        <v/>
      </c>
      <c r="EH1966" t="str">
        <f>IF(NOT(ISBLANK($B1966)),VLOOKUP($B1966,AssetCategories!$A:$E,4,0),"")</f>
        <v/>
      </c>
      <c r="EM1966" t="str">
        <f>IF(NOT(ISBLANK($B1966)),VLOOKUP($B1966,AssetCategories!$A:$E,2,0),"")</f>
        <v/>
      </c>
      <c r="EN1966" t="str">
        <f>IF(NOT(ISBLANK($B1966)),VLOOKUP($B1966,AssetCategories!$A:$E,3,0),"")</f>
        <v/>
      </c>
      <c r="EP1966" s="33" t="str">
        <f t="shared" si="61"/>
        <v/>
      </c>
    </row>
    <row r="1967" spans="16:146" x14ac:dyDescent="0.25">
      <c r="P1967" s="33" t="str" cm="1">
        <f t="array" ref="P1967">IFERROR(SUM(VALUE(_xlfn.TEXTSPLIT(O1967, ";"))), "")</f>
        <v/>
      </c>
      <c r="DO1967" t="str">
        <f t="shared" si="60"/>
        <v/>
      </c>
      <c r="EG1967" s="33" t="str">
        <f>IF(NOT(ISBLANK($B1967)),VLOOKUP($B1967,AssetCategories!$A:$E,5,0),"")</f>
        <v/>
      </c>
      <c r="EH1967" t="str">
        <f>IF(NOT(ISBLANK($B1967)),VLOOKUP($B1967,AssetCategories!$A:$E,4,0),"")</f>
        <v/>
      </c>
      <c r="EM1967" t="str">
        <f>IF(NOT(ISBLANK($B1967)),VLOOKUP($B1967,AssetCategories!$A:$E,2,0),"")</f>
        <v/>
      </c>
      <c r="EN1967" t="str">
        <f>IF(NOT(ISBLANK($B1967)),VLOOKUP($B1967,AssetCategories!$A:$E,3,0),"")</f>
        <v/>
      </c>
      <c r="EP1967" s="33" t="str">
        <f t="shared" si="61"/>
        <v/>
      </c>
    </row>
    <row r="1968" spans="16:146" x14ac:dyDescent="0.25">
      <c r="P1968" s="33" t="str" cm="1">
        <f t="array" ref="P1968">IFERROR(SUM(VALUE(_xlfn.TEXTSPLIT(O1968, ";"))), "")</f>
        <v/>
      </c>
      <c r="DO1968" t="str">
        <f t="shared" si="60"/>
        <v/>
      </c>
      <c r="EG1968" s="33" t="str">
        <f>IF(NOT(ISBLANK($B1968)),VLOOKUP($B1968,AssetCategories!$A:$E,5,0),"")</f>
        <v/>
      </c>
      <c r="EH1968" t="str">
        <f>IF(NOT(ISBLANK($B1968)),VLOOKUP($B1968,AssetCategories!$A:$E,4,0),"")</f>
        <v/>
      </c>
      <c r="EM1968" t="str">
        <f>IF(NOT(ISBLANK($B1968)),VLOOKUP($B1968,AssetCategories!$A:$E,2,0),"")</f>
        <v/>
      </c>
      <c r="EN1968" t="str">
        <f>IF(NOT(ISBLANK($B1968)),VLOOKUP($B1968,AssetCategories!$A:$E,3,0),"")</f>
        <v/>
      </c>
      <c r="EP1968" s="33" t="str">
        <f t="shared" si="61"/>
        <v/>
      </c>
    </row>
    <row r="1969" spans="16:146" x14ac:dyDescent="0.25">
      <c r="P1969" s="33" t="str" cm="1">
        <f t="array" ref="P1969">IFERROR(SUM(VALUE(_xlfn.TEXTSPLIT(O1969, ";"))), "")</f>
        <v/>
      </c>
      <c r="DO1969" t="str">
        <f t="shared" si="60"/>
        <v/>
      </c>
      <c r="EG1969" s="33" t="str">
        <f>IF(NOT(ISBLANK($B1969)),VLOOKUP($B1969,AssetCategories!$A:$E,5,0),"")</f>
        <v/>
      </c>
      <c r="EH1969" t="str">
        <f>IF(NOT(ISBLANK($B1969)),VLOOKUP($B1969,AssetCategories!$A:$E,4,0),"")</f>
        <v/>
      </c>
      <c r="EM1969" t="str">
        <f>IF(NOT(ISBLANK($B1969)),VLOOKUP($B1969,AssetCategories!$A:$E,2,0),"")</f>
        <v/>
      </c>
      <c r="EN1969" t="str">
        <f>IF(NOT(ISBLANK($B1969)),VLOOKUP($B1969,AssetCategories!$A:$E,3,0),"")</f>
        <v/>
      </c>
      <c r="EP1969" s="33" t="str">
        <f t="shared" si="61"/>
        <v/>
      </c>
    </row>
    <row r="1970" spans="16:146" x14ac:dyDescent="0.25">
      <c r="P1970" s="33" t="str" cm="1">
        <f t="array" ref="P1970">IFERROR(SUM(VALUE(_xlfn.TEXTSPLIT(O1970, ";"))), "")</f>
        <v/>
      </c>
      <c r="DO1970" t="str">
        <f t="shared" si="60"/>
        <v/>
      </c>
      <c r="EG1970" s="33" t="str">
        <f>IF(NOT(ISBLANK($B1970)),VLOOKUP($B1970,AssetCategories!$A:$E,5,0),"")</f>
        <v/>
      </c>
      <c r="EH1970" t="str">
        <f>IF(NOT(ISBLANK($B1970)),VLOOKUP($B1970,AssetCategories!$A:$E,4,0),"")</f>
        <v/>
      </c>
      <c r="EM1970" t="str">
        <f>IF(NOT(ISBLANK($B1970)),VLOOKUP($B1970,AssetCategories!$A:$E,2,0),"")</f>
        <v/>
      </c>
      <c r="EN1970" t="str">
        <f>IF(NOT(ISBLANK($B1970)),VLOOKUP($B1970,AssetCategories!$A:$E,3,0),"")</f>
        <v/>
      </c>
      <c r="EP1970" s="33" t="str">
        <f t="shared" si="61"/>
        <v/>
      </c>
    </row>
    <row r="1971" spans="16:146" x14ac:dyDescent="0.25">
      <c r="P1971" s="33" t="str" cm="1">
        <f t="array" ref="P1971">IFERROR(SUM(VALUE(_xlfn.TEXTSPLIT(O1971, ";"))), "")</f>
        <v/>
      </c>
      <c r="DO1971" t="str">
        <f t="shared" si="60"/>
        <v/>
      </c>
      <c r="EG1971" s="33" t="str">
        <f>IF(NOT(ISBLANK($B1971)),VLOOKUP($B1971,AssetCategories!$A:$E,5,0),"")</f>
        <v/>
      </c>
      <c r="EH1971" t="str">
        <f>IF(NOT(ISBLANK($B1971)),VLOOKUP($B1971,AssetCategories!$A:$E,4,0),"")</f>
        <v/>
      </c>
      <c r="EM1971" t="str">
        <f>IF(NOT(ISBLANK($B1971)),VLOOKUP($B1971,AssetCategories!$A:$E,2,0),"")</f>
        <v/>
      </c>
      <c r="EN1971" t="str">
        <f>IF(NOT(ISBLANK($B1971)),VLOOKUP($B1971,AssetCategories!$A:$E,3,0),"")</f>
        <v/>
      </c>
      <c r="EP1971" s="33" t="str">
        <f t="shared" si="61"/>
        <v/>
      </c>
    </row>
    <row r="1972" spans="16:146" x14ac:dyDescent="0.25">
      <c r="P1972" s="33" t="str" cm="1">
        <f t="array" ref="P1972">IFERROR(SUM(VALUE(_xlfn.TEXTSPLIT(O1972, ";"))), "")</f>
        <v/>
      </c>
      <c r="DO1972" t="str">
        <f t="shared" si="60"/>
        <v/>
      </c>
      <c r="EG1972" s="33" t="str">
        <f>IF(NOT(ISBLANK($B1972)),VLOOKUP($B1972,AssetCategories!$A:$E,5,0),"")</f>
        <v/>
      </c>
      <c r="EH1972" t="str">
        <f>IF(NOT(ISBLANK($B1972)),VLOOKUP($B1972,AssetCategories!$A:$E,4,0),"")</f>
        <v/>
      </c>
      <c r="EM1972" t="str">
        <f>IF(NOT(ISBLANK($B1972)),VLOOKUP($B1972,AssetCategories!$A:$E,2,0),"")</f>
        <v/>
      </c>
      <c r="EN1972" t="str">
        <f>IF(NOT(ISBLANK($B1972)),VLOOKUP($B1972,AssetCategories!$A:$E,3,0),"")</f>
        <v/>
      </c>
      <c r="EP1972" s="33" t="str">
        <f t="shared" si="61"/>
        <v/>
      </c>
    </row>
    <row r="1973" spans="16:146" x14ac:dyDescent="0.25">
      <c r="P1973" s="33" t="str" cm="1">
        <f t="array" ref="P1973">IFERROR(SUM(VALUE(_xlfn.TEXTSPLIT(O1973, ";"))), "")</f>
        <v/>
      </c>
      <c r="DO1973" t="str">
        <f t="shared" si="60"/>
        <v/>
      </c>
      <c r="EG1973" s="33" t="str">
        <f>IF(NOT(ISBLANK($B1973)),VLOOKUP($B1973,AssetCategories!$A:$E,5,0),"")</f>
        <v/>
      </c>
      <c r="EH1973" t="str">
        <f>IF(NOT(ISBLANK($B1973)),VLOOKUP($B1973,AssetCategories!$A:$E,4,0),"")</f>
        <v/>
      </c>
      <c r="EM1973" t="str">
        <f>IF(NOT(ISBLANK($B1973)),VLOOKUP($B1973,AssetCategories!$A:$E,2,0),"")</f>
        <v/>
      </c>
      <c r="EN1973" t="str">
        <f>IF(NOT(ISBLANK($B1973)),VLOOKUP($B1973,AssetCategories!$A:$E,3,0),"")</f>
        <v/>
      </c>
      <c r="EP1973" s="33" t="str">
        <f t="shared" si="61"/>
        <v/>
      </c>
    </row>
    <row r="1974" spans="16:146" x14ac:dyDescent="0.25">
      <c r="P1974" s="33" t="str" cm="1">
        <f t="array" ref="P1974">IFERROR(SUM(VALUE(_xlfn.TEXTSPLIT(O1974, ";"))), "")</f>
        <v/>
      </c>
      <c r="DO1974" t="str">
        <f t="shared" si="60"/>
        <v/>
      </c>
      <c r="EG1974" s="33" t="str">
        <f>IF(NOT(ISBLANK($B1974)),VLOOKUP($B1974,AssetCategories!$A:$E,5,0),"")</f>
        <v/>
      </c>
      <c r="EH1974" t="str">
        <f>IF(NOT(ISBLANK($B1974)),VLOOKUP($B1974,AssetCategories!$A:$E,4,0),"")</f>
        <v/>
      </c>
      <c r="EM1974" t="str">
        <f>IF(NOT(ISBLANK($B1974)),VLOOKUP($B1974,AssetCategories!$A:$E,2,0),"")</f>
        <v/>
      </c>
      <c r="EN1974" t="str">
        <f>IF(NOT(ISBLANK($B1974)),VLOOKUP($B1974,AssetCategories!$A:$E,3,0),"")</f>
        <v/>
      </c>
      <c r="EP1974" s="33" t="str">
        <f t="shared" si="61"/>
        <v/>
      </c>
    </row>
    <row r="1975" spans="16:146" x14ac:dyDescent="0.25">
      <c r="P1975" s="33" t="str" cm="1">
        <f t="array" ref="P1975">IFERROR(SUM(VALUE(_xlfn.TEXTSPLIT(O1975, ";"))), "")</f>
        <v/>
      </c>
      <c r="DO1975" t="str">
        <f t="shared" si="60"/>
        <v/>
      </c>
      <c r="EG1975" s="33" t="str">
        <f>IF(NOT(ISBLANK($B1975)),VLOOKUP($B1975,AssetCategories!$A:$E,5,0),"")</f>
        <v/>
      </c>
      <c r="EH1975" t="str">
        <f>IF(NOT(ISBLANK($B1975)),VLOOKUP($B1975,AssetCategories!$A:$E,4,0),"")</f>
        <v/>
      </c>
      <c r="EM1975" t="str">
        <f>IF(NOT(ISBLANK($B1975)),VLOOKUP($B1975,AssetCategories!$A:$E,2,0),"")</f>
        <v/>
      </c>
      <c r="EN1975" t="str">
        <f>IF(NOT(ISBLANK($B1975)),VLOOKUP($B1975,AssetCategories!$A:$E,3,0),"")</f>
        <v/>
      </c>
      <c r="EP1975" s="33" t="str">
        <f t="shared" si="61"/>
        <v/>
      </c>
    </row>
    <row r="1976" spans="16:146" x14ac:dyDescent="0.25">
      <c r="P1976" s="33" t="str" cm="1">
        <f t="array" ref="P1976">IFERROR(SUM(VALUE(_xlfn.TEXTSPLIT(O1976, ";"))), "")</f>
        <v/>
      </c>
      <c r="DO1976" t="str">
        <f t="shared" si="60"/>
        <v/>
      </c>
      <c r="EG1976" s="33" t="str">
        <f>IF(NOT(ISBLANK($B1976)),VLOOKUP($B1976,AssetCategories!$A:$E,5,0),"")</f>
        <v/>
      </c>
      <c r="EH1976" t="str">
        <f>IF(NOT(ISBLANK($B1976)),VLOOKUP($B1976,AssetCategories!$A:$E,4,0),"")</f>
        <v/>
      </c>
      <c r="EM1976" t="str">
        <f>IF(NOT(ISBLANK($B1976)),VLOOKUP($B1976,AssetCategories!$A:$E,2,0),"")</f>
        <v/>
      </c>
      <c r="EN1976" t="str">
        <f>IF(NOT(ISBLANK($B1976)),VLOOKUP($B1976,AssetCategories!$A:$E,3,0),"")</f>
        <v/>
      </c>
      <c r="EP1976" s="33" t="str">
        <f t="shared" si="61"/>
        <v/>
      </c>
    </row>
    <row r="1977" spans="16:146" x14ac:dyDescent="0.25">
      <c r="P1977" s="33" t="str" cm="1">
        <f t="array" ref="P1977">IFERROR(SUM(VALUE(_xlfn.TEXTSPLIT(O1977, ";"))), "")</f>
        <v/>
      </c>
      <c r="DO1977" t="str">
        <f t="shared" si="60"/>
        <v/>
      </c>
      <c r="EG1977" s="33" t="str">
        <f>IF(NOT(ISBLANK($B1977)),VLOOKUP($B1977,AssetCategories!$A:$E,5,0),"")</f>
        <v/>
      </c>
      <c r="EH1977" t="str">
        <f>IF(NOT(ISBLANK($B1977)),VLOOKUP($B1977,AssetCategories!$A:$E,4,0),"")</f>
        <v/>
      </c>
      <c r="EM1977" t="str">
        <f>IF(NOT(ISBLANK($B1977)),VLOOKUP($B1977,AssetCategories!$A:$E,2,0),"")</f>
        <v/>
      </c>
      <c r="EN1977" t="str">
        <f>IF(NOT(ISBLANK($B1977)),VLOOKUP($B1977,AssetCategories!$A:$E,3,0),"")</f>
        <v/>
      </c>
      <c r="EP1977" s="33" t="str">
        <f t="shared" si="61"/>
        <v/>
      </c>
    </row>
    <row r="1978" spans="16:146" x14ac:dyDescent="0.25">
      <c r="P1978" s="33" t="str" cm="1">
        <f t="array" ref="P1978">IFERROR(SUM(VALUE(_xlfn.TEXTSPLIT(O1978, ";"))), "")</f>
        <v/>
      </c>
      <c r="DO1978" t="str">
        <f t="shared" si="60"/>
        <v/>
      </c>
      <c r="EG1978" s="33" t="str">
        <f>IF(NOT(ISBLANK($B1978)),VLOOKUP($B1978,AssetCategories!$A:$E,5,0),"")</f>
        <v/>
      </c>
      <c r="EH1978" t="str">
        <f>IF(NOT(ISBLANK($B1978)),VLOOKUP($B1978,AssetCategories!$A:$E,4,0),"")</f>
        <v/>
      </c>
      <c r="EM1978" t="str">
        <f>IF(NOT(ISBLANK($B1978)),VLOOKUP($B1978,AssetCategories!$A:$E,2,0),"")</f>
        <v/>
      </c>
      <c r="EN1978" t="str">
        <f>IF(NOT(ISBLANK($B1978)),VLOOKUP($B1978,AssetCategories!$A:$E,3,0),"")</f>
        <v/>
      </c>
      <c r="EP1978" s="33" t="str">
        <f t="shared" si="61"/>
        <v/>
      </c>
    </row>
    <row r="1979" spans="16:146" x14ac:dyDescent="0.25">
      <c r="P1979" s="33" t="str" cm="1">
        <f t="array" ref="P1979">IFERROR(SUM(VALUE(_xlfn.TEXTSPLIT(O1979, ";"))), "")</f>
        <v/>
      </c>
      <c r="DO1979" t="str">
        <f t="shared" si="60"/>
        <v/>
      </c>
      <c r="EG1979" s="33" t="str">
        <f>IF(NOT(ISBLANK($B1979)),VLOOKUP($B1979,AssetCategories!$A:$E,5,0),"")</f>
        <v/>
      </c>
      <c r="EH1979" t="str">
        <f>IF(NOT(ISBLANK($B1979)),VLOOKUP($B1979,AssetCategories!$A:$E,4,0),"")</f>
        <v/>
      </c>
      <c r="EM1979" t="str">
        <f>IF(NOT(ISBLANK($B1979)),VLOOKUP($B1979,AssetCategories!$A:$E,2,0),"")</f>
        <v/>
      </c>
      <c r="EN1979" t="str">
        <f>IF(NOT(ISBLANK($B1979)),VLOOKUP($B1979,AssetCategories!$A:$E,3,0),"")</f>
        <v/>
      </c>
      <c r="EP1979" s="33" t="str">
        <f t="shared" si="61"/>
        <v/>
      </c>
    </row>
    <row r="1980" spans="16:146" x14ac:dyDescent="0.25">
      <c r="P1980" s="33" t="str" cm="1">
        <f t="array" ref="P1980">IFERROR(SUM(VALUE(_xlfn.TEXTSPLIT(O1980, ";"))), "")</f>
        <v/>
      </c>
      <c r="DO1980" t="str">
        <f t="shared" si="60"/>
        <v/>
      </c>
      <c r="EG1980" s="33" t="str">
        <f>IF(NOT(ISBLANK($B1980)),VLOOKUP($B1980,AssetCategories!$A:$E,5,0),"")</f>
        <v/>
      </c>
      <c r="EH1980" t="str">
        <f>IF(NOT(ISBLANK($B1980)),VLOOKUP($B1980,AssetCategories!$A:$E,4,0),"")</f>
        <v/>
      </c>
      <c r="EM1980" t="str">
        <f>IF(NOT(ISBLANK($B1980)),VLOOKUP($B1980,AssetCategories!$A:$E,2,0),"")</f>
        <v/>
      </c>
      <c r="EN1980" t="str">
        <f>IF(NOT(ISBLANK($B1980)),VLOOKUP($B1980,AssetCategories!$A:$E,3,0),"")</f>
        <v/>
      </c>
      <c r="EP1980" s="33" t="str">
        <f t="shared" si="61"/>
        <v/>
      </c>
    </row>
    <row r="1981" spans="16:146" x14ac:dyDescent="0.25">
      <c r="P1981" s="33" t="str" cm="1">
        <f t="array" ref="P1981">IFERROR(SUM(VALUE(_xlfn.TEXTSPLIT(O1981, ";"))), "")</f>
        <v/>
      </c>
      <c r="DO1981" t="str">
        <f t="shared" si="60"/>
        <v/>
      </c>
      <c r="EG1981" s="33" t="str">
        <f>IF(NOT(ISBLANK($B1981)),VLOOKUP($B1981,AssetCategories!$A:$E,5,0),"")</f>
        <v/>
      </c>
      <c r="EH1981" t="str">
        <f>IF(NOT(ISBLANK($B1981)),VLOOKUP($B1981,AssetCategories!$A:$E,4,0),"")</f>
        <v/>
      </c>
      <c r="EM1981" t="str">
        <f>IF(NOT(ISBLANK($B1981)),VLOOKUP($B1981,AssetCategories!$A:$E,2,0),"")</f>
        <v/>
      </c>
      <c r="EN1981" t="str">
        <f>IF(NOT(ISBLANK($B1981)),VLOOKUP($B1981,AssetCategories!$A:$E,3,0),"")</f>
        <v/>
      </c>
      <c r="EP1981" s="33" t="str">
        <f t="shared" si="61"/>
        <v/>
      </c>
    </row>
    <row r="1982" spans="16:146" x14ac:dyDescent="0.25">
      <c r="P1982" s="33" t="str" cm="1">
        <f t="array" ref="P1982">IFERROR(SUM(VALUE(_xlfn.TEXTSPLIT(O1982, ";"))), "")</f>
        <v/>
      </c>
      <c r="DO1982" t="str">
        <f t="shared" si="60"/>
        <v/>
      </c>
      <c r="EG1982" s="33" t="str">
        <f>IF(NOT(ISBLANK($B1982)),VLOOKUP($B1982,AssetCategories!$A:$E,5,0),"")</f>
        <v/>
      </c>
      <c r="EH1982" t="str">
        <f>IF(NOT(ISBLANK($B1982)),VLOOKUP($B1982,AssetCategories!$A:$E,4,0),"")</f>
        <v/>
      </c>
      <c r="EM1982" t="str">
        <f>IF(NOT(ISBLANK($B1982)),VLOOKUP($B1982,AssetCategories!$A:$E,2,0),"")</f>
        <v/>
      </c>
      <c r="EN1982" t="str">
        <f>IF(NOT(ISBLANK($B1982)),VLOOKUP($B1982,AssetCategories!$A:$E,3,0),"")</f>
        <v/>
      </c>
      <c r="EP1982" s="33" t="str">
        <f t="shared" si="61"/>
        <v/>
      </c>
    </row>
    <row r="1983" spans="16:146" x14ac:dyDescent="0.25">
      <c r="P1983" s="33" t="str" cm="1">
        <f t="array" ref="P1983">IFERROR(SUM(VALUE(_xlfn.TEXTSPLIT(O1983, ";"))), "")</f>
        <v/>
      </c>
      <c r="DO1983" t="str">
        <f t="shared" si="60"/>
        <v/>
      </c>
      <c r="EG1983" s="33" t="str">
        <f>IF(NOT(ISBLANK($B1983)),VLOOKUP($B1983,AssetCategories!$A:$E,5,0),"")</f>
        <v/>
      </c>
      <c r="EH1983" t="str">
        <f>IF(NOT(ISBLANK($B1983)),VLOOKUP($B1983,AssetCategories!$A:$E,4,0),"")</f>
        <v/>
      </c>
      <c r="EM1983" t="str">
        <f>IF(NOT(ISBLANK($B1983)),VLOOKUP($B1983,AssetCategories!$A:$E,2,0),"")</f>
        <v/>
      </c>
      <c r="EN1983" t="str">
        <f>IF(NOT(ISBLANK($B1983)),VLOOKUP($B1983,AssetCategories!$A:$E,3,0),"")</f>
        <v/>
      </c>
      <c r="EP1983" s="33" t="str">
        <f t="shared" si="61"/>
        <v/>
      </c>
    </row>
    <row r="1984" spans="16:146" x14ac:dyDescent="0.25">
      <c r="P1984" s="33" t="str" cm="1">
        <f t="array" ref="P1984">IFERROR(SUM(VALUE(_xlfn.TEXTSPLIT(O1984, ";"))), "")</f>
        <v/>
      </c>
      <c r="DO1984" t="str">
        <f t="shared" si="60"/>
        <v/>
      </c>
      <c r="EG1984" s="33" t="str">
        <f>IF(NOT(ISBLANK($B1984)),VLOOKUP($B1984,AssetCategories!$A:$E,5,0),"")</f>
        <v/>
      </c>
      <c r="EH1984" t="str">
        <f>IF(NOT(ISBLANK($B1984)),VLOOKUP($B1984,AssetCategories!$A:$E,4,0),"")</f>
        <v/>
      </c>
      <c r="EM1984" t="str">
        <f>IF(NOT(ISBLANK($B1984)),VLOOKUP($B1984,AssetCategories!$A:$E,2,0),"")</f>
        <v/>
      </c>
      <c r="EN1984" t="str">
        <f>IF(NOT(ISBLANK($B1984)),VLOOKUP($B1984,AssetCategories!$A:$E,3,0),"")</f>
        <v/>
      </c>
      <c r="EP1984" s="33" t="str">
        <f t="shared" si="61"/>
        <v/>
      </c>
    </row>
    <row r="1985" spans="16:146" x14ac:dyDescent="0.25">
      <c r="P1985" s="33" t="str" cm="1">
        <f t="array" ref="P1985">IFERROR(SUM(VALUE(_xlfn.TEXTSPLIT(O1985, ";"))), "")</f>
        <v/>
      </c>
      <c r="DO1985" t="str">
        <f t="shared" si="60"/>
        <v/>
      </c>
      <c r="EG1985" s="33" t="str">
        <f>IF(NOT(ISBLANK($B1985)),VLOOKUP($B1985,AssetCategories!$A:$E,5,0),"")</f>
        <v/>
      </c>
      <c r="EH1985" t="str">
        <f>IF(NOT(ISBLANK($B1985)),VLOOKUP($B1985,AssetCategories!$A:$E,4,0),"")</f>
        <v/>
      </c>
      <c r="EM1985" t="str">
        <f>IF(NOT(ISBLANK($B1985)),VLOOKUP($B1985,AssetCategories!$A:$E,2,0),"")</f>
        <v/>
      </c>
      <c r="EN1985" t="str">
        <f>IF(NOT(ISBLANK($B1985)),VLOOKUP($B1985,AssetCategories!$A:$E,3,0),"")</f>
        <v/>
      </c>
      <c r="EP1985" s="33" t="str">
        <f t="shared" si="61"/>
        <v/>
      </c>
    </row>
    <row r="1986" spans="16:146" x14ac:dyDescent="0.25">
      <c r="P1986" s="33" t="str" cm="1">
        <f t="array" ref="P1986">IFERROR(SUM(VALUE(_xlfn.TEXTSPLIT(O1986, ";"))), "")</f>
        <v/>
      </c>
      <c r="DO1986" t="str">
        <f t="shared" si="60"/>
        <v/>
      </c>
      <c r="EG1986" s="33" t="str">
        <f>IF(NOT(ISBLANK($B1986)),VLOOKUP($B1986,AssetCategories!$A:$E,5,0),"")</f>
        <v/>
      </c>
      <c r="EH1986" t="str">
        <f>IF(NOT(ISBLANK($B1986)),VLOOKUP($B1986,AssetCategories!$A:$E,4,0),"")</f>
        <v/>
      </c>
      <c r="EM1986" t="str">
        <f>IF(NOT(ISBLANK($B1986)),VLOOKUP($B1986,AssetCategories!$A:$E,2,0),"")</f>
        <v/>
      </c>
      <c r="EN1986" t="str">
        <f>IF(NOT(ISBLANK($B1986)),VLOOKUP($B1986,AssetCategories!$A:$E,3,0),"")</f>
        <v/>
      </c>
      <c r="EP1986" s="33" t="str">
        <f t="shared" si="61"/>
        <v/>
      </c>
    </row>
    <row r="1987" spans="16:146" x14ac:dyDescent="0.25">
      <c r="P1987" s="33" t="str" cm="1">
        <f t="array" ref="P1987">IFERROR(SUM(VALUE(_xlfn.TEXTSPLIT(O1987, ";"))), "")</f>
        <v/>
      </c>
      <c r="DO1987" t="str">
        <f t="shared" si="60"/>
        <v/>
      </c>
      <c r="EG1987" s="33" t="str">
        <f>IF(NOT(ISBLANK($B1987)),VLOOKUP($B1987,AssetCategories!$A:$E,5,0),"")</f>
        <v/>
      </c>
      <c r="EH1987" t="str">
        <f>IF(NOT(ISBLANK($B1987)),VLOOKUP($B1987,AssetCategories!$A:$E,4,0),"")</f>
        <v/>
      </c>
      <c r="EM1987" t="str">
        <f>IF(NOT(ISBLANK($B1987)),VLOOKUP($B1987,AssetCategories!$A:$E,2,0),"")</f>
        <v/>
      </c>
      <c r="EN1987" t="str">
        <f>IF(NOT(ISBLANK($B1987)),VLOOKUP($B1987,AssetCategories!$A:$E,3,0),"")</f>
        <v/>
      </c>
      <c r="EP1987" s="33" t="str">
        <f t="shared" si="61"/>
        <v/>
      </c>
    </row>
    <row r="1988" spans="16:146" x14ac:dyDescent="0.25">
      <c r="P1988" s="33" t="str" cm="1">
        <f t="array" ref="P1988">IFERROR(SUM(VALUE(_xlfn.TEXTSPLIT(O1988, ";"))), "")</f>
        <v/>
      </c>
      <c r="DO1988" t="str">
        <f t="shared" si="60"/>
        <v/>
      </c>
      <c r="EG1988" s="33" t="str">
        <f>IF(NOT(ISBLANK($B1988)),VLOOKUP($B1988,AssetCategories!$A:$E,5,0),"")</f>
        <v/>
      </c>
      <c r="EH1988" t="str">
        <f>IF(NOT(ISBLANK($B1988)),VLOOKUP($B1988,AssetCategories!$A:$E,4,0),"")</f>
        <v/>
      </c>
      <c r="EM1988" t="str">
        <f>IF(NOT(ISBLANK($B1988)),VLOOKUP($B1988,AssetCategories!$A:$E,2,0),"")</f>
        <v/>
      </c>
      <c r="EN1988" t="str">
        <f>IF(NOT(ISBLANK($B1988)),VLOOKUP($B1988,AssetCategories!$A:$E,3,0),"")</f>
        <v/>
      </c>
      <c r="EP1988" s="33" t="str">
        <f t="shared" si="61"/>
        <v/>
      </c>
    </row>
    <row r="1989" spans="16:146" x14ac:dyDescent="0.25">
      <c r="P1989" s="33" t="str" cm="1">
        <f t="array" ref="P1989">IFERROR(SUM(VALUE(_xlfn.TEXTSPLIT(O1989, ";"))), "")</f>
        <v/>
      </c>
      <c r="DO1989" t="str">
        <f t="shared" ref="DO1989:DO2052" si="62">IF(SUM(DE1989:DN1989)=0, "", SUM(DE1989:DN1989))</f>
        <v/>
      </c>
      <c r="EG1989" s="33" t="str">
        <f>IF(NOT(ISBLANK($B1989)),VLOOKUP($B1989,AssetCategories!$A:$E,5,0),"")</f>
        <v/>
      </c>
      <c r="EH1989" t="str">
        <f>IF(NOT(ISBLANK($B1989)),VLOOKUP($B1989,AssetCategories!$A:$E,4,0),"")</f>
        <v/>
      </c>
      <c r="EM1989" t="str">
        <f>IF(NOT(ISBLANK($B1989)),VLOOKUP($B1989,AssetCategories!$A:$E,2,0),"")</f>
        <v/>
      </c>
      <c r="EN1989" t="str">
        <f>IF(NOT(ISBLANK($B1989)),VLOOKUP($B1989,AssetCategories!$A:$E,3,0),"")</f>
        <v/>
      </c>
      <c r="EP1989" s="33" t="str">
        <f t="shared" ref="EP1989:EP2052" si="63">IFERROR(P1989-EO1989, "")</f>
        <v/>
      </c>
    </row>
    <row r="1990" spans="16:146" x14ac:dyDescent="0.25">
      <c r="P1990" s="33" t="str" cm="1">
        <f t="array" ref="P1990">IFERROR(SUM(VALUE(_xlfn.TEXTSPLIT(O1990, ";"))), "")</f>
        <v/>
      </c>
      <c r="DO1990" t="str">
        <f t="shared" si="62"/>
        <v/>
      </c>
      <c r="EG1990" s="33" t="str">
        <f>IF(NOT(ISBLANK($B1990)),VLOOKUP($B1990,AssetCategories!$A:$E,5,0),"")</f>
        <v/>
      </c>
      <c r="EH1990" t="str">
        <f>IF(NOT(ISBLANK($B1990)),VLOOKUP($B1990,AssetCategories!$A:$E,4,0),"")</f>
        <v/>
      </c>
      <c r="EM1990" t="str">
        <f>IF(NOT(ISBLANK($B1990)),VLOOKUP($B1990,AssetCategories!$A:$E,2,0),"")</f>
        <v/>
      </c>
      <c r="EN1990" t="str">
        <f>IF(NOT(ISBLANK($B1990)),VLOOKUP($B1990,AssetCategories!$A:$E,3,0),"")</f>
        <v/>
      </c>
      <c r="EP1990" s="33" t="str">
        <f t="shared" si="63"/>
        <v/>
      </c>
    </row>
    <row r="1991" spans="16:146" x14ac:dyDescent="0.25">
      <c r="P1991" s="33" t="str" cm="1">
        <f t="array" ref="P1991">IFERROR(SUM(VALUE(_xlfn.TEXTSPLIT(O1991, ";"))), "")</f>
        <v/>
      </c>
      <c r="DO1991" t="str">
        <f t="shared" si="62"/>
        <v/>
      </c>
      <c r="EG1991" s="33" t="str">
        <f>IF(NOT(ISBLANK($B1991)),VLOOKUP($B1991,AssetCategories!$A:$E,5,0),"")</f>
        <v/>
      </c>
      <c r="EH1991" t="str">
        <f>IF(NOT(ISBLANK($B1991)),VLOOKUP($B1991,AssetCategories!$A:$E,4,0),"")</f>
        <v/>
      </c>
      <c r="EM1991" t="str">
        <f>IF(NOT(ISBLANK($B1991)),VLOOKUP($B1991,AssetCategories!$A:$E,2,0),"")</f>
        <v/>
      </c>
      <c r="EN1991" t="str">
        <f>IF(NOT(ISBLANK($B1991)),VLOOKUP($B1991,AssetCategories!$A:$E,3,0),"")</f>
        <v/>
      </c>
      <c r="EP1991" s="33" t="str">
        <f t="shared" si="63"/>
        <v/>
      </c>
    </row>
    <row r="1992" spans="16:146" x14ac:dyDescent="0.25">
      <c r="P1992" s="33" t="str" cm="1">
        <f t="array" ref="P1992">IFERROR(SUM(VALUE(_xlfn.TEXTSPLIT(O1992, ";"))), "")</f>
        <v/>
      </c>
      <c r="DO1992" t="str">
        <f t="shared" si="62"/>
        <v/>
      </c>
      <c r="EG1992" s="33" t="str">
        <f>IF(NOT(ISBLANK($B1992)),VLOOKUP($B1992,AssetCategories!$A:$E,5,0),"")</f>
        <v/>
      </c>
      <c r="EH1992" t="str">
        <f>IF(NOT(ISBLANK($B1992)),VLOOKUP($B1992,AssetCategories!$A:$E,4,0),"")</f>
        <v/>
      </c>
      <c r="EM1992" t="str">
        <f>IF(NOT(ISBLANK($B1992)),VLOOKUP($B1992,AssetCategories!$A:$E,2,0),"")</f>
        <v/>
      </c>
      <c r="EN1992" t="str">
        <f>IF(NOT(ISBLANK($B1992)),VLOOKUP($B1992,AssetCategories!$A:$E,3,0),"")</f>
        <v/>
      </c>
      <c r="EP1992" s="33" t="str">
        <f t="shared" si="63"/>
        <v/>
      </c>
    </row>
    <row r="1993" spans="16:146" x14ac:dyDescent="0.25">
      <c r="P1993" s="33" t="str" cm="1">
        <f t="array" ref="P1993">IFERROR(SUM(VALUE(_xlfn.TEXTSPLIT(O1993, ";"))), "")</f>
        <v/>
      </c>
      <c r="DO1993" t="str">
        <f t="shared" si="62"/>
        <v/>
      </c>
      <c r="EG1993" s="33" t="str">
        <f>IF(NOT(ISBLANK($B1993)),VLOOKUP($B1993,AssetCategories!$A:$E,5,0),"")</f>
        <v/>
      </c>
      <c r="EH1993" t="str">
        <f>IF(NOT(ISBLANK($B1993)),VLOOKUP($B1993,AssetCategories!$A:$E,4,0),"")</f>
        <v/>
      </c>
      <c r="EM1993" t="str">
        <f>IF(NOT(ISBLANK($B1993)),VLOOKUP($B1993,AssetCategories!$A:$E,2,0),"")</f>
        <v/>
      </c>
      <c r="EN1993" t="str">
        <f>IF(NOT(ISBLANK($B1993)),VLOOKUP($B1993,AssetCategories!$A:$E,3,0),"")</f>
        <v/>
      </c>
      <c r="EP1993" s="33" t="str">
        <f t="shared" si="63"/>
        <v/>
      </c>
    </row>
    <row r="1994" spans="16:146" x14ac:dyDescent="0.25">
      <c r="P1994" s="33" t="str" cm="1">
        <f t="array" ref="P1994">IFERROR(SUM(VALUE(_xlfn.TEXTSPLIT(O1994, ";"))), "")</f>
        <v/>
      </c>
      <c r="DO1994" t="str">
        <f t="shared" si="62"/>
        <v/>
      </c>
      <c r="EG1994" s="33" t="str">
        <f>IF(NOT(ISBLANK($B1994)),VLOOKUP($B1994,AssetCategories!$A:$E,5,0),"")</f>
        <v/>
      </c>
      <c r="EH1994" t="str">
        <f>IF(NOT(ISBLANK($B1994)),VLOOKUP($B1994,AssetCategories!$A:$E,4,0),"")</f>
        <v/>
      </c>
      <c r="EM1994" t="str">
        <f>IF(NOT(ISBLANK($B1994)),VLOOKUP($B1994,AssetCategories!$A:$E,2,0),"")</f>
        <v/>
      </c>
      <c r="EN1994" t="str">
        <f>IF(NOT(ISBLANK($B1994)),VLOOKUP($B1994,AssetCategories!$A:$E,3,0),"")</f>
        <v/>
      </c>
      <c r="EP1994" s="33" t="str">
        <f t="shared" si="63"/>
        <v/>
      </c>
    </row>
    <row r="1995" spans="16:146" x14ac:dyDescent="0.25">
      <c r="P1995" s="33" t="str" cm="1">
        <f t="array" ref="P1995">IFERROR(SUM(VALUE(_xlfn.TEXTSPLIT(O1995, ";"))), "")</f>
        <v/>
      </c>
      <c r="DO1995" t="str">
        <f t="shared" si="62"/>
        <v/>
      </c>
      <c r="EG1995" s="33" t="str">
        <f>IF(NOT(ISBLANK($B1995)),VLOOKUP($B1995,AssetCategories!$A:$E,5,0),"")</f>
        <v/>
      </c>
      <c r="EH1995" t="str">
        <f>IF(NOT(ISBLANK($B1995)),VLOOKUP($B1995,AssetCategories!$A:$E,4,0),"")</f>
        <v/>
      </c>
      <c r="EM1995" t="str">
        <f>IF(NOT(ISBLANK($B1995)),VLOOKUP($B1995,AssetCategories!$A:$E,2,0),"")</f>
        <v/>
      </c>
      <c r="EN1995" t="str">
        <f>IF(NOT(ISBLANK($B1995)),VLOOKUP($B1995,AssetCategories!$A:$E,3,0),"")</f>
        <v/>
      </c>
      <c r="EP1995" s="33" t="str">
        <f t="shared" si="63"/>
        <v/>
      </c>
    </row>
    <row r="1996" spans="16:146" x14ac:dyDescent="0.25">
      <c r="P1996" s="33" t="str" cm="1">
        <f t="array" ref="P1996">IFERROR(SUM(VALUE(_xlfn.TEXTSPLIT(O1996, ";"))), "")</f>
        <v/>
      </c>
      <c r="DO1996" t="str">
        <f t="shared" si="62"/>
        <v/>
      </c>
      <c r="EG1996" s="33" t="str">
        <f>IF(NOT(ISBLANK($B1996)),VLOOKUP($B1996,AssetCategories!$A:$E,5,0),"")</f>
        <v/>
      </c>
      <c r="EH1996" t="str">
        <f>IF(NOT(ISBLANK($B1996)),VLOOKUP($B1996,AssetCategories!$A:$E,4,0),"")</f>
        <v/>
      </c>
      <c r="EM1996" t="str">
        <f>IF(NOT(ISBLANK($B1996)),VLOOKUP($B1996,AssetCategories!$A:$E,2,0),"")</f>
        <v/>
      </c>
      <c r="EN1996" t="str">
        <f>IF(NOT(ISBLANK($B1996)),VLOOKUP($B1996,AssetCategories!$A:$E,3,0),"")</f>
        <v/>
      </c>
      <c r="EP1996" s="33" t="str">
        <f t="shared" si="63"/>
        <v/>
      </c>
    </row>
    <row r="1997" spans="16:146" x14ac:dyDescent="0.25">
      <c r="P1997" s="33" t="str" cm="1">
        <f t="array" ref="P1997">IFERROR(SUM(VALUE(_xlfn.TEXTSPLIT(O1997, ";"))), "")</f>
        <v/>
      </c>
      <c r="DO1997" t="str">
        <f t="shared" si="62"/>
        <v/>
      </c>
      <c r="EG1997" s="33" t="str">
        <f>IF(NOT(ISBLANK($B1997)),VLOOKUP($B1997,AssetCategories!$A:$E,5,0),"")</f>
        <v/>
      </c>
      <c r="EH1997" t="str">
        <f>IF(NOT(ISBLANK($B1997)),VLOOKUP($B1997,AssetCategories!$A:$E,4,0),"")</f>
        <v/>
      </c>
      <c r="EM1997" t="str">
        <f>IF(NOT(ISBLANK($B1997)),VLOOKUP($B1997,AssetCategories!$A:$E,2,0),"")</f>
        <v/>
      </c>
      <c r="EN1997" t="str">
        <f>IF(NOT(ISBLANK($B1997)),VLOOKUP($B1997,AssetCategories!$A:$E,3,0),"")</f>
        <v/>
      </c>
      <c r="EP1997" s="33" t="str">
        <f t="shared" si="63"/>
        <v/>
      </c>
    </row>
    <row r="1998" spans="16:146" x14ac:dyDescent="0.25">
      <c r="P1998" s="33" t="str" cm="1">
        <f t="array" ref="P1998">IFERROR(SUM(VALUE(_xlfn.TEXTSPLIT(O1998, ";"))), "")</f>
        <v/>
      </c>
      <c r="DO1998" t="str">
        <f t="shared" si="62"/>
        <v/>
      </c>
      <c r="EG1998" s="33" t="str">
        <f>IF(NOT(ISBLANK($B1998)),VLOOKUP($B1998,AssetCategories!$A:$E,5,0),"")</f>
        <v/>
      </c>
      <c r="EH1998" t="str">
        <f>IF(NOT(ISBLANK($B1998)),VLOOKUP($B1998,AssetCategories!$A:$E,4,0),"")</f>
        <v/>
      </c>
      <c r="EM1998" t="str">
        <f>IF(NOT(ISBLANK($B1998)),VLOOKUP($B1998,AssetCategories!$A:$E,2,0),"")</f>
        <v/>
      </c>
      <c r="EN1998" t="str">
        <f>IF(NOT(ISBLANK($B1998)),VLOOKUP($B1998,AssetCategories!$A:$E,3,0),"")</f>
        <v/>
      </c>
      <c r="EP1998" s="33" t="str">
        <f t="shared" si="63"/>
        <v/>
      </c>
    </row>
    <row r="1999" spans="16:146" x14ac:dyDescent="0.25">
      <c r="P1999" s="33" t="str" cm="1">
        <f t="array" ref="P1999">IFERROR(SUM(VALUE(_xlfn.TEXTSPLIT(O1999, ";"))), "")</f>
        <v/>
      </c>
      <c r="DO1999" t="str">
        <f t="shared" si="62"/>
        <v/>
      </c>
      <c r="EG1999" s="33" t="str">
        <f>IF(NOT(ISBLANK($B1999)),VLOOKUP($B1999,AssetCategories!$A:$E,5,0),"")</f>
        <v/>
      </c>
      <c r="EH1999" t="str">
        <f>IF(NOT(ISBLANK($B1999)),VLOOKUP($B1999,AssetCategories!$A:$E,4,0),"")</f>
        <v/>
      </c>
      <c r="EM1999" t="str">
        <f>IF(NOT(ISBLANK($B1999)),VLOOKUP($B1999,AssetCategories!$A:$E,2,0),"")</f>
        <v/>
      </c>
      <c r="EN1999" t="str">
        <f>IF(NOT(ISBLANK($B1999)),VLOOKUP($B1999,AssetCategories!$A:$E,3,0),"")</f>
        <v/>
      </c>
      <c r="EP1999" s="33" t="str">
        <f t="shared" si="63"/>
        <v/>
      </c>
    </row>
    <row r="2000" spans="16:146" x14ac:dyDescent="0.25">
      <c r="P2000" s="33" t="str" cm="1">
        <f t="array" ref="P2000">IFERROR(SUM(VALUE(_xlfn.TEXTSPLIT(O2000, ";"))), "")</f>
        <v/>
      </c>
      <c r="DO2000" t="str">
        <f t="shared" si="62"/>
        <v/>
      </c>
      <c r="EG2000" s="33" t="str">
        <f>IF(NOT(ISBLANK($B2000)),VLOOKUP($B2000,AssetCategories!$A:$E,5,0),"")</f>
        <v/>
      </c>
      <c r="EH2000" t="str">
        <f>IF(NOT(ISBLANK($B2000)),VLOOKUP($B2000,AssetCategories!$A:$E,4,0),"")</f>
        <v/>
      </c>
      <c r="EM2000" t="str">
        <f>IF(NOT(ISBLANK($B2000)),VLOOKUP($B2000,AssetCategories!$A:$E,2,0),"")</f>
        <v/>
      </c>
      <c r="EN2000" t="str">
        <f>IF(NOT(ISBLANK($B2000)),VLOOKUP($B2000,AssetCategories!$A:$E,3,0),"")</f>
        <v/>
      </c>
      <c r="EP2000" s="33" t="str">
        <f t="shared" si="63"/>
        <v/>
      </c>
    </row>
    <row r="2001" spans="16:146" x14ac:dyDescent="0.25">
      <c r="P2001" s="33" t="str" cm="1">
        <f t="array" ref="P2001">IFERROR(SUM(VALUE(_xlfn.TEXTSPLIT(O2001, ";"))), "")</f>
        <v/>
      </c>
      <c r="DO2001" t="str">
        <f t="shared" si="62"/>
        <v/>
      </c>
      <c r="EG2001" s="33" t="str">
        <f>IF(NOT(ISBLANK($B2001)),VLOOKUP($B2001,AssetCategories!$A:$E,5,0),"")</f>
        <v/>
      </c>
      <c r="EH2001" t="str">
        <f>IF(NOT(ISBLANK($B2001)),VLOOKUP($B2001,AssetCategories!$A:$E,4,0),"")</f>
        <v/>
      </c>
      <c r="EM2001" t="str">
        <f>IF(NOT(ISBLANK($B2001)),VLOOKUP($B2001,AssetCategories!$A:$E,2,0),"")</f>
        <v/>
      </c>
      <c r="EN2001" t="str">
        <f>IF(NOT(ISBLANK($B2001)),VLOOKUP($B2001,AssetCategories!$A:$E,3,0),"")</f>
        <v/>
      </c>
      <c r="EP2001" s="33" t="str">
        <f t="shared" si="63"/>
        <v/>
      </c>
    </row>
    <row r="2002" spans="16:146" x14ac:dyDescent="0.25">
      <c r="P2002" s="33" t="str" cm="1">
        <f t="array" ref="P2002">IFERROR(SUM(VALUE(_xlfn.TEXTSPLIT(O2002, ";"))), "")</f>
        <v/>
      </c>
      <c r="DO2002" t="str">
        <f t="shared" si="62"/>
        <v/>
      </c>
      <c r="EP2002" s="33" t="str">
        <f t="shared" si="63"/>
        <v/>
      </c>
    </row>
    <row r="2003" spans="16:146" x14ac:dyDescent="0.25">
      <c r="P2003" s="33" t="str" cm="1">
        <f t="array" ref="P2003">IFERROR(SUM(VALUE(_xlfn.TEXTSPLIT(O2003, ";"))), "")</f>
        <v/>
      </c>
      <c r="DO2003" t="str">
        <f t="shared" si="62"/>
        <v/>
      </c>
      <c r="EP2003" s="33" t="str">
        <f t="shared" si="63"/>
        <v/>
      </c>
    </row>
    <row r="2004" spans="16:146" x14ac:dyDescent="0.25">
      <c r="P2004" s="33" t="str" cm="1">
        <f t="array" ref="P2004">IFERROR(SUM(VALUE(_xlfn.TEXTSPLIT(O2004, ";"))), "")</f>
        <v/>
      </c>
      <c r="DO2004" t="str">
        <f t="shared" si="62"/>
        <v/>
      </c>
      <c r="EP2004" s="33" t="str">
        <f t="shared" si="63"/>
        <v/>
      </c>
    </row>
    <row r="2005" spans="16:146" x14ac:dyDescent="0.25">
      <c r="P2005" s="33" t="str" cm="1">
        <f t="array" ref="P2005">IFERROR(SUM(VALUE(_xlfn.TEXTSPLIT(O2005, ";"))), "")</f>
        <v/>
      </c>
      <c r="DO2005" t="str">
        <f t="shared" si="62"/>
        <v/>
      </c>
      <c r="EP2005" s="33" t="str">
        <f t="shared" si="63"/>
        <v/>
      </c>
    </row>
    <row r="2006" spans="16:146" x14ac:dyDescent="0.25">
      <c r="P2006" s="33" t="str" cm="1">
        <f t="array" ref="P2006">IFERROR(SUM(VALUE(_xlfn.TEXTSPLIT(O2006, ";"))), "")</f>
        <v/>
      </c>
      <c r="DO2006" t="str">
        <f t="shared" si="62"/>
        <v/>
      </c>
      <c r="EP2006" s="33" t="str">
        <f t="shared" si="63"/>
        <v/>
      </c>
    </row>
    <row r="2007" spans="16:146" x14ac:dyDescent="0.25">
      <c r="P2007" s="33" t="str" cm="1">
        <f t="array" ref="P2007">IFERROR(SUM(VALUE(_xlfn.TEXTSPLIT(O2007, ";"))), "")</f>
        <v/>
      </c>
      <c r="DO2007" t="str">
        <f t="shared" si="62"/>
        <v/>
      </c>
      <c r="EP2007" s="33" t="str">
        <f t="shared" si="63"/>
        <v/>
      </c>
    </row>
    <row r="2008" spans="16:146" x14ac:dyDescent="0.25">
      <c r="P2008" s="33" t="str" cm="1">
        <f t="array" ref="P2008">IFERROR(SUM(VALUE(_xlfn.TEXTSPLIT(O2008, ";"))), "")</f>
        <v/>
      </c>
      <c r="DO2008" t="str">
        <f t="shared" si="62"/>
        <v/>
      </c>
      <c r="EP2008" s="33" t="str">
        <f t="shared" si="63"/>
        <v/>
      </c>
    </row>
    <row r="2009" spans="16:146" x14ac:dyDescent="0.25">
      <c r="P2009" s="33" t="str" cm="1">
        <f t="array" ref="P2009">IFERROR(SUM(VALUE(_xlfn.TEXTSPLIT(O2009, ";"))), "")</f>
        <v/>
      </c>
      <c r="DO2009" t="str">
        <f t="shared" si="62"/>
        <v/>
      </c>
      <c r="EP2009" s="33" t="str">
        <f t="shared" si="63"/>
        <v/>
      </c>
    </row>
    <row r="2010" spans="16:146" x14ac:dyDescent="0.25">
      <c r="P2010" s="33" t="str" cm="1">
        <f t="array" ref="P2010">IFERROR(SUM(VALUE(_xlfn.TEXTSPLIT(O2010, ";"))), "")</f>
        <v/>
      </c>
      <c r="DO2010" t="str">
        <f t="shared" si="62"/>
        <v/>
      </c>
      <c r="EP2010" s="33" t="str">
        <f t="shared" si="63"/>
        <v/>
      </c>
    </row>
    <row r="2011" spans="16:146" x14ac:dyDescent="0.25">
      <c r="P2011" s="33" t="str" cm="1">
        <f t="array" ref="P2011">IFERROR(SUM(VALUE(_xlfn.TEXTSPLIT(O2011, ";"))), "")</f>
        <v/>
      </c>
      <c r="DO2011" t="str">
        <f t="shared" si="62"/>
        <v/>
      </c>
      <c r="EP2011" s="33" t="str">
        <f t="shared" si="63"/>
        <v/>
      </c>
    </row>
    <row r="2012" spans="16:146" x14ac:dyDescent="0.25">
      <c r="P2012" s="33" t="str" cm="1">
        <f t="array" ref="P2012">IFERROR(SUM(VALUE(_xlfn.TEXTSPLIT(O2012, ";"))), "")</f>
        <v/>
      </c>
      <c r="DO2012" t="str">
        <f t="shared" si="62"/>
        <v/>
      </c>
      <c r="EP2012" s="33" t="str">
        <f t="shared" si="63"/>
        <v/>
      </c>
    </row>
    <row r="2013" spans="16:146" x14ac:dyDescent="0.25">
      <c r="P2013" s="33" t="str" cm="1">
        <f t="array" ref="P2013">IFERROR(SUM(VALUE(_xlfn.TEXTSPLIT(O2013, ";"))), "")</f>
        <v/>
      </c>
      <c r="DO2013" t="str">
        <f t="shared" si="62"/>
        <v/>
      </c>
      <c r="EP2013" s="33" t="str">
        <f t="shared" si="63"/>
        <v/>
      </c>
    </row>
    <row r="2014" spans="16:146" x14ac:dyDescent="0.25">
      <c r="P2014" s="33" t="str" cm="1">
        <f t="array" ref="P2014">IFERROR(SUM(VALUE(_xlfn.TEXTSPLIT(O2014, ";"))), "")</f>
        <v/>
      </c>
      <c r="DO2014" t="str">
        <f t="shared" si="62"/>
        <v/>
      </c>
      <c r="EP2014" s="33" t="str">
        <f t="shared" si="63"/>
        <v/>
      </c>
    </row>
    <row r="2015" spans="16:146" x14ac:dyDescent="0.25">
      <c r="P2015" s="33" t="str" cm="1">
        <f t="array" ref="P2015">IFERROR(SUM(VALUE(_xlfn.TEXTSPLIT(O2015, ";"))), "")</f>
        <v/>
      </c>
      <c r="DO2015" t="str">
        <f t="shared" si="62"/>
        <v/>
      </c>
      <c r="EP2015" s="33" t="str">
        <f t="shared" si="63"/>
        <v/>
      </c>
    </row>
    <row r="2016" spans="16:146" x14ac:dyDescent="0.25">
      <c r="P2016" s="33" t="str" cm="1">
        <f t="array" ref="P2016">IFERROR(SUM(VALUE(_xlfn.TEXTSPLIT(O2016, ";"))), "")</f>
        <v/>
      </c>
      <c r="DO2016" t="str">
        <f t="shared" si="62"/>
        <v/>
      </c>
      <c r="EP2016" s="33" t="str">
        <f t="shared" si="63"/>
        <v/>
      </c>
    </row>
    <row r="2017" spans="16:146" x14ac:dyDescent="0.25">
      <c r="P2017" s="33" t="str" cm="1">
        <f t="array" ref="P2017">IFERROR(SUM(VALUE(_xlfn.TEXTSPLIT(O2017, ";"))), "")</f>
        <v/>
      </c>
      <c r="DO2017" t="str">
        <f t="shared" si="62"/>
        <v/>
      </c>
      <c r="EP2017" s="33" t="str">
        <f t="shared" si="63"/>
        <v/>
      </c>
    </row>
    <row r="2018" spans="16:146" x14ac:dyDescent="0.25">
      <c r="P2018" s="33" t="str" cm="1">
        <f t="array" ref="P2018">IFERROR(SUM(VALUE(_xlfn.TEXTSPLIT(O2018, ";"))), "")</f>
        <v/>
      </c>
      <c r="DO2018" t="str">
        <f t="shared" si="62"/>
        <v/>
      </c>
      <c r="EP2018" s="33" t="str">
        <f t="shared" si="63"/>
        <v/>
      </c>
    </row>
    <row r="2019" spans="16:146" x14ac:dyDescent="0.25">
      <c r="P2019" s="33" t="str" cm="1">
        <f t="array" ref="P2019">IFERROR(SUM(VALUE(_xlfn.TEXTSPLIT(O2019, ";"))), "")</f>
        <v/>
      </c>
      <c r="DO2019" t="str">
        <f t="shared" si="62"/>
        <v/>
      </c>
      <c r="EP2019" s="33" t="str">
        <f t="shared" si="63"/>
        <v/>
      </c>
    </row>
    <row r="2020" spans="16:146" x14ac:dyDescent="0.25">
      <c r="P2020" s="33" t="str" cm="1">
        <f t="array" ref="P2020">IFERROR(SUM(VALUE(_xlfn.TEXTSPLIT(O2020, ";"))), "")</f>
        <v/>
      </c>
      <c r="DO2020" t="str">
        <f t="shared" si="62"/>
        <v/>
      </c>
      <c r="EP2020" s="33" t="str">
        <f t="shared" si="63"/>
        <v/>
      </c>
    </row>
    <row r="2021" spans="16:146" x14ac:dyDescent="0.25">
      <c r="P2021" s="33" t="str" cm="1">
        <f t="array" ref="P2021">IFERROR(SUM(VALUE(_xlfn.TEXTSPLIT(O2021, ";"))), "")</f>
        <v/>
      </c>
      <c r="DO2021" t="str">
        <f t="shared" si="62"/>
        <v/>
      </c>
      <c r="EP2021" s="33" t="str">
        <f t="shared" si="63"/>
        <v/>
      </c>
    </row>
    <row r="2022" spans="16:146" x14ac:dyDescent="0.25">
      <c r="P2022" s="33" t="str" cm="1">
        <f t="array" ref="P2022">IFERROR(SUM(VALUE(_xlfn.TEXTSPLIT(O2022, ";"))), "")</f>
        <v/>
      </c>
      <c r="DO2022" t="str">
        <f t="shared" si="62"/>
        <v/>
      </c>
      <c r="EP2022" s="33" t="str">
        <f t="shared" si="63"/>
        <v/>
      </c>
    </row>
    <row r="2023" spans="16:146" x14ac:dyDescent="0.25">
      <c r="P2023" s="33" t="str" cm="1">
        <f t="array" ref="P2023">IFERROR(SUM(VALUE(_xlfn.TEXTSPLIT(O2023, ";"))), "")</f>
        <v/>
      </c>
      <c r="DO2023" t="str">
        <f t="shared" si="62"/>
        <v/>
      </c>
      <c r="EP2023" s="33" t="str">
        <f t="shared" si="63"/>
        <v/>
      </c>
    </row>
    <row r="2024" spans="16:146" x14ac:dyDescent="0.25">
      <c r="P2024" s="33" t="str" cm="1">
        <f t="array" ref="P2024">IFERROR(SUM(VALUE(_xlfn.TEXTSPLIT(O2024, ";"))), "")</f>
        <v/>
      </c>
      <c r="DO2024" t="str">
        <f t="shared" si="62"/>
        <v/>
      </c>
      <c r="EP2024" s="33" t="str">
        <f t="shared" si="63"/>
        <v/>
      </c>
    </row>
    <row r="2025" spans="16:146" x14ac:dyDescent="0.25">
      <c r="P2025" s="33" t="str" cm="1">
        <f t="array" ref="P2025">IFERROR(SUM(VALUE(_xlfn.TEXTSPLIT(O2025, ";"))), "")</f>
        <v/>
      </c>
      <c r="DO2025" t="str">
        <f t="shared" si="62"/>
        <v/>
      </c>
      <c r="EP2025" s="33" t="str">
        <f t="shared" si="63"/>
        <v/>
      </c>
    </row>
    <row r="2026" spans="16:146" x14ac:dyDescent="0.25">
      <c r="P2026" s="33" t="str" cm="1">
        <f t="array" ref="P2026">IFERROR(SUM(VALUE(_xlfn.TEXTSPLIT(O2026, ";"))), "")</f>
        <v/>
      </c>
      <c r="DO2026" t="str">
        <f t="shared" si="62"/>
        <v/>
      </c>
      <c r="EP2026" s="33" t="str">
        <f t="shared" si="63"/>
        <v/>
      </c>
    </row>
    <row r="2027" spans="16:146" x14ac:dyDescent="0.25">
      <c r="P2027" s="33" t="str" cm="1">
        <f t="array" ref="P2027">IFERROR(SUM(VALUE(_xlfn.TEXTSPLIT(O2027, ";"))), "")</f>
        <v/>
      </c>
      <c r="DO2027" t="str">
        <f t="shared" si="62"/>
        <v/>
      </c>
      <c r="EP2027" s="33" t="str">
        <f t="shared" si="63"/>
        <v/>
      </c>
    </row>
    <row r="2028" spans="16:146" x14ac:dyDescent="0.25">
      <c r="P2028" s="33" t="str" cm="1">
        <f t="array" ref="P2028">IFERROR(SUM(VALUE(_xlfn.TEXTSPLIT(O2028, ";"))), "")</f>
        <v/>
      </c>
      <c r="DO2028" t="str">
        <f t="shared" si="62"/>
        <v/>
      </c>
      <c r="EP2028" s="33" t="str">
        <f t="shared" si="63"/>
        <v/>
      </c>
    </row>
    <row r="2029" spans="16:146" x14ac:dyDescent="0.25">
      <c r="P2029" s="33" t="str" cm="1">
        <f t="array" ref="P2029">IFERROR(SUM(VALUE(_xlfn.TEXTSPLIT(O2029, ";"))), "")</f>
        <v/>
      </c>
      <c r="DO2029" t="str">
        <f t="shared" si="62"/>
        <v/>
      </c>
      <c r="EP2029" s="33" t="str">
        <f t="shared" si="63"/>
        <v/>
      </c>
    </row>
    <row r="2030" spans="16:146" x14ac:dyDescent="0.25">
      <c r="P2030" s="33" t="str" cm="1">
        <f t="array" ref="P2030">IFERROR(SUM(VALUE(_xlfn.TEXTSPLIT(O2030, ";"))), "")</f>
        <v/>
      </c>
      <c r="DO2030" t="str">
        <f t="shared" si="62"/>
        <v/>
      </c>
      <c r="EP2030" s="33" t="str">
        <f t="shared" si="63"/>
        <v/>
      </c>
    </row>
    <row r="2031" spans="16:146" x14ac:dyDescent="0.25">
      <c r="P2031" s="33" t="str" cm="1">
        <f t="array" ref="P2031">IFERROR(SUM(VALUE(_xlfn.TEXTSPLIT(O2031, ";"))), "")</f>
        <v/>
      </c>
      <c r="DO2031" t="str">
        <f t="shared" si="62"/>
        <v/>
      </c>
      <c r="EP2031" s="33" t="str">
        <f t="shared" si="63"/>
        <v/>
      </c>
    </row>
    <row r="2032" spans="16:146" x14ac:dyDescent="0.25">
      <c r="P2032" s="33" t="str" cm="1">
        <f t="array" ref="P2032">IFERROR(SUM(VALUE(_xlfn.TEXTSPLIT(O2032, ";"))), "")</f>
        <v/>
      </c>
      <c r="DO2032" t="str">
        <f t="shared" si="62"/>
        <v/>
      </c>
      <c r="EP2032" s="33" t="str">
        <f t="shared" si="63"/>
        <v/>
      </c>
    </row>
    <row r="2033" spans="16:146" x14ac:dyDescent="0.25">
      <c r="P2033" s="33" t="str" cm="1">
        <f t="array" ref="P2033">IFERROR(SUM(VALUE(_xlfn.TEXTSPLIT(O2033, ";"))), "")</f>
        <v/>
      </c>
      <c r="DO2033" t="str">
        <f t="shared" si="62"/>
        <v/>
      </c>
      <c r="EP2033" s="33" t="str">
        <f t="shared" si="63"/>
        <v/>
      </c>
    </row>
    <row r="2034" spans="16:146" x14ac:dyDescent="0.25">
      <c r="P2034" s="33" t="str" cm="1">
        <f t="array" ref="P2034">IFERROR(SUM(VALUE(_xlfn.TEXTSPLIT(O2034, ";"))), "")</f>
        <v/>
      </c>
      <c r="DO2034" t="str">
        <f t="shared" si="62"/>
        <v/>
      </c>
      <c r="EP2034" s="33" t="str">
        <f t="shared" si="63"/>
        <v/>
      </c>
    </row>
    <row r="2035" spans="16:146" x14ac:dyDescent="0.25">
      <c r="P2035" s="33" t="str" cm="1">
        <f t="array" ref="P2035">IFERROR(SUM(VALUE(_xlfn.TEXTSPLIT(O2035, ";"))), "")</f>
        <v/>
      </c>
      <c r="DO2035" t="str">
        <f t="shared" si="62"/>
        <v/>
      </c>
      <c r="EP2035" s="33" t="str">
        <f t="shared" si="63"/>
        <v/>
      </c>
    </row>
    <row r="2036" spans="16:146" x14ac:dyDescent="0.25">
      <c r="P2036" s="33" t="str" cm="1">
        <f t="array" ref="P2036">IFERROR(SUM(VALUE(_xlfn.TEXTSPLIT(O2036, ";"))), "")</f>
        <v/>
      </c>
      <c r="DO2036" t="str">
        <f t="shared" si="62"/>
        <v/>
      </c>
      <c r="EP2036" s="33" t="str">
        <f t="shared" si="63"/>
        <v/>
      </c>
    </row>
    <row r="2037" spans="16:146" x14ac:dyDescent="0.25">
      <c r="P2037" s="33" t="str" cm="1">
        <f t="array" ref="P2037">IFERROR(SUM(VALUE(_xlfn.TEXTSPLIT(O2037, ";"))), "")</f>
        <v/>
      </c>
      <c r="DO2037" t="str">
        <f t="shared" si="62"/>
        <v/>
      </c>
      <c r="EP2037" s="33" t="str">
        <f t="shared" si="63"/>
        <v/>
      </c>
    </row>
    <row r="2038" spans="16:146" x14ac:dyDescent="0.25">
      <c r="P2038" s="33" t="str" cm="1">
        <f t="array" ref="P2038">IFERROR(SUM(VALUE(_xlfn.TEXTSPLIT(O2038, ";"))), "")</f>
        <v/>
      </c>
      <c r="DO2038" t="str">
        <f t="shared" si="62"/>
        <v/>
      </c>
      <c r="EP2038" s="33" t="str">
        <f t="shared" si="63"/>
        <v/>
      </c>
    </row>
    <row r="2039" spans="16:146" x14ac:dyDescent="0.25">
      <c r="P2039" s="33" t="str" cm="1">
        <f t="array" ref="P2039">IFERROR(SUM(VALUE(_xlfn.TEXTSPLIT(O2039, ";"))), "")</f>
        <v/>
      </c>
      <c r="DO2039" t="str">
        <f t="shared" si="62"/>
        <v/>
      </c>
      <c r="EP2039" s="33" t="str">
        <f t="shared" si="63"/>
        <v/>
      </c>
    </row>
    <row r="2040" spans="16:146" x14ac:dyDescent="0.25">
      <c r="P2040" s="33" t="str" cm="1">
        <f t="array" ref="P2040">IFERROR(SUM(VALUE(_xlfn.TEXTSPLIT(O2040, ";"))), "")</f>
        <v/>
      </c>
      <c r="DO2040" t="str">
        <f t="shared" si="62"/>
        <v/>
      </c>
      <c r="EP2040" s="33" t="str">
        <f t="shared" si="63"/>
        <v/>
      </c>
    </row>
    <row r="2041" spans="16:146" x14ac:dyDescent="0.25">
      <c r="P2041" s="33" t="str" cm="1">
        <f t="array" ref="P2041">IFERROR(SUM(VALUE(_xlfn.TEXTSPLIT(O2041, ";"))), "")</f>
        <v/>
      </c>
      <c r="DO2041" t="str">
        <f t="shared" si="62"/>
        <v/>
      </c>
      <c r="EP2041" s="33" t="str">
        <f t="shared" si="63"/>
        <v/>
      </c>
    </row>
    <row r="2042" spans="16:146" x14ac:dyDescent="0.25">
      <c r="P2042" s="33" t="str" cm="1">
        <f t="array" ref="P2042">IFERROR(SUM(VALUE(_xlfn.TEXTSPLIT(O2042, ";"))), "")</f>
        <v/>
      </c>
      <c r="DO2042" t="str">
        <f t="shared" si="62"/>
        <v/>
      </c>
      <c r="EP2042" s="33" t="str">
        <f t="shared" si="63"/>
        <v/>
      </c>
    </row>
    <row r="2043" spans="16:146" x14ac:dyDescent="0.25">
      <c r="P2043" s="33" t="str" cm="1">
        <f t="array" ref="P2043">IFERROR(SUM(VALUE(_xlfn.TEXTSPLIT(O2043, ";"))), "")</f>
        <v/>
      </c>
      <c r="DO2043" t="str">
        <f t="shared" si="62"/>
        <v/>
      </c>
      <c r="EP2043" s="33" t="str">
        <f t="shared" si="63"/>
        <v/>
      </c>
    </row>
    <row r="2044" spans="16:146" x14ac:dyDescent="0.25">
      <c r="P2044" s="33" t="str" cm="1">
        <f t="array" ref="P2044">IFERROR(SUM(VALUE(_xlfn.TEXTSPLIT(O2044, ";"))), "")</f>
        <v/>
      </c>
      <c r="DO2044" t="str">
        <f t="shared" si="62"/>
        <v/>
      </c>
      <c r="EP2044" s="33" t="str">
        <f t="shared" si="63"/>
        <v/>
      </c>
    </row>
    <row r="2045" spans="16:146" x14ac:dyDescent="0.25">
      <c r="P2045" s="33" t="str" cm="1">
        <f t="array" ref="P2045">IFERROR(SUM(VALUE(_xlfn.TEXTSPLIT(O2045, ";"))), "")</f>
        <v/>
      </c>
      <c r="DO2045" t="str">
        <f t="shared" si="62"/>
        <v/>
      </c>
      <c r="EP2045" s="33" t="str">
        <f t="shared" si="63"/>
        <v/>
      </c>
    </row>
    <row r="2046" spans="16:146" x14ac:dyDescent="0.25">
      <c r="P2046" s="33" t="str" cm="1">
        <f t="array" ref="P2046">IFERROR(SUM(VALUE(_xlfn.TEXTSPLIT(O2046, ";"))), "")</f>
        <v/>
      </c>
      <c r="DO2046" t="str">
        <f t="shared" si="62"/>
        <v/>
      </c>
      <c r="EP2046" s="33" t="str">
        <f t="shared" si="63"/>
        <v/>
      </c>
    </row>
    <row r="2047" spans="16:146" x14ac:dyDescent="0.25">
      <c r="P2047" s="33" t="str" cm="1">
        <f t="array" ref="P2047">IFERROR(SUM(VALUE(_xlfn.TEXTSPLIT(O2047, ";"))), "")</f>
        <v/>
      </c>
      <c r="DO2047" t="str">
        <f t="shared" si="62"/>
        <v/>
      </c>
      <c r="EP2047" s="33" t="str">
        <f t="shared" si="63"/>
        <v/>
      </c>
    </row>
    <row r="2048" spans="16:146" x14ac:dyDescent="0.25">
      <c r="P2048" s="33" t="str" cm="1">
        <f t="array" ref="P2048">IFERROR(SUM(VALUE(_xlfn.TEXTSPLIT(O2048, ";"))), "")</f>
        <v/>
      </c>
      <c r="DO2048" t="str">
        <f t="shared" si="62"/>
        <v/>
      </c>
      <c r="EP2048" s="33" t="str">
        <f t="shared" si="63"/>
        <v/>
      </c>
    </row>
    <row r="2049" spans="16:146" x14ac:dyDescent="0.25">
      <c r="P2049" s="33" t="str" cm="1">
        <f t="array" ref="P2049">IFERROR(SUM(VALUE(_xlfn.TEXTSPLIT(O2049, ";"))), "")</f>
        <v/>
      </c>
      <c r="DO2049" t="str">
        <f t="shared" si="62"/>
        <v/>
      </c>
      <c r="EP2049" s="33" t="str">
        <f t="shared" si="63"/>
        <v/>
      </c>
    </row>
    <row r="2050" spans="16:146" x14ac:dyDescent="0.25">
      <c r="P2050" s="33" t="str" cm="1">
        <f t="array" ref="P2050">IFERROR(SUM(VALUE(_xlfn.TEXTSPLIT(O2050, ";"))), "")</f>
        <v/>
      </c>
      <c r="DO2050" t="str">
        <f t="shared" si="62"/>
        <v/>
      </c>
      <c r="EP2050" s="33" t="str">
        <f t="shared" si="63"/>
        <v/>
      </c>
    </row>
    <row r="2051" spans="16:146" x14ac:dyDescent="0.25">
      <c r="P2051" s="33" t="str" cm="1">
        <f t="array" ref="P2051">IFERROR(SUM(VALUE(_xlfn.TEXTSPLIT(O2051, ";"))), "")</f>
        <v/>
      </c>
      <c r="DO2051" t="str">
        <f t="shared" si="62"/>
        <v/>
      </c>
      <c r="EP2051" s="33" t="str">
        <f t="shared" si="63"/>
        <v/>
      </c>
    </row>
    <row r="2052" spans="16:146" x14ac:dyDescent="0.25">
      <c r="P2052" s="33" t="str" cm="1">
        <f t="array" ref="P2052">IFERROR(SUM(VALUE(_xlfn.TEXTSPLIT(O2052, ";"))), "")</f>
        <v/>
      </c>
      <c r="DO2052" t="str">
        <f t="shared" si="62"/>
        <v/>
      </c>
      <c r="EP2052" s="33" t="str">
        <f t="shared" si="63"/>
        <v/>
      </c>
    </row>
    <row r="2053" spans="16:146" x14ac:dyDescent="0.25">
      <c r="P2053" s="33" t="str" cm="1">
        <f t="array" ref="P2053">IFERROR(SUM(VALUE(_xlfn.TEXTSPLIT(O2053, ";"))), "")</f>
        <v/>
      </c>
      <c r="DO2053" t="str">
        <f t="shared" ref="DO2053:DO2058" si="64">IF(SUM(DE2053:DN2053)=0, "", SUM(DE2053:DN2053))</f>
        <v/>
      </c>
      <c r="EP2053" s="33" t="str">
        <f t="shared" ref="EP2053:EP2116" si="65">IFERROR(P2053-EO2053, "")</f>
        <v/>
      </c>
    </row>
    <row r="2054" spans="16:146" x14ac:dyDescent="0.25">
      <c r="P2054" s="33" t="str" cm="1">
        <f t="array" ref="P2054">IFERROR(SUM(VALUE(_xlfn.TEXTSPLIT(O2054, ";"))), "")</f>
        <v/>
      </c>
      <c r="DO2054" t="str">
        <f t="shared" si="64"/>
        <v/>
      </c>
      <c r="EP2054" s="33" t="str">
        <f t="shared" si="65"/>
        <v/>
      </c>
    </row>
    <row r="2055" spans="16:146" x14ac:dyDescent="0.25">
      <c r="P2055" s="33" t="str" cm="1">
        <f t="array" ref="P2055">IFERROR(SUM(VALUE(_xlfn.TEXTSPLIT(O2055, ";"))), "")</f>
        <v/>
      </c>
      <c r="DO2055" t="str">
        <f t="shared" si="64"/>
        <v/>
      </c>
      <c r="EP2055" s="33" t="str">
        <f t="shared" si="65"/>
        <v/>
      </c>
    </row>
    <row r="2056" spans="16:146" x14ac:dyDescent="0.25">
      <c r="P2056" s="33" t="str" cm="1">
        <f t="array" ref="P2056">IFERROR(SUM(VALUE(_xlfn.TEXTSPLIT(O2056, ";"))), "")</f>
        <v/>
      </c>
      <c r="DO2056" t="str">
        <f t="shared" si="64"/>
        <v/>
      </c>
      <c r="EP2056" s="33" t="str">
        <f t="shared" si="65"/>
        <v/>
      </c>
    </row>
    <row r="2057" spans="16:146" x14ac:dyDescent="0.25">
      <c r="P2057" s="33" t="str" cm="1">
        <f t="array" ref="P2057">IFERROR(SUM(VALUE(_xlfn.TEXTSPLIT(O2057, ";"))), "")</f>
        <v/>
      </c>
      <c r="DO2057" t="str">
        <f t="shared" si="64"/>
        <v/>
      </c>
      <c r="EP2057" s="33" t="str">
        <f t="shared" si="65"/>
        <v/>
      </c>
    </row>
    <row r="2058" spans="16:146" x14ac:dyDescent="0.25">
      <c r="P2058" s="33" t="str" cm="1">
        <f t="array" ref="P2058">IFERROR(SUM(VALUE(_xlfn.TEXTSPLIT(O2058, ";"))), "")</f>
        <v/>
      </c>
      <c r="DO2058" t="str">
        <f t="shared" si="64"/>
        <v/>
      </c>
      <c r="EP2058" s="33" t="str">
        <f t="shared" si="65"/>
        <v/>
      </c>
    </row>
    <row r="2059" spans="16:146" x14ac:dyDescent="0.25">
      <c r="P2059" s="33" t="str" cm="1">
        <f t="array" ref="P2059">IFERROR(SUM(VALUE(_xlfn.TEXTSPLIT(O2059, ";"))), "")</f>
        <v/>
      </c>
      <c r="EP2059" s="33" t="str">
        <f t="shared" si="65"/>
        <v/>
      </c>
    </row>
    <row r="2060" spans="16:146" x14ac:dyDescent="0.25">
      <c r="P2060" s="33" t="str" cm="1">
        <f t="array" ref="P2060">IFERROR(SUM(VALUE(_xlfn.TEXTSPLIT(O2060, ";"))), "")</f>
        <v/>
      </c>
      <c r="EP2060" s="33" t="str">
        <f t="shared" si="65"/>
        <v/>
      </c>
    </row>
    <row r="2061" spans="16:146" x14ac:dyDescent="0.25">
      <c r="P2061" s="33" t="str" cm="1">
        <f t="array" ref="P2061">IFERROR(SUM(VALUE(_xlfn.TEXTSPLIT(O2061, ";"))), "")</f>
        <v/>
      </c>
      <c r="EP2061" s="33" t="str">
        <f t="shared" si="65"/>
        <v/>
      </c>
    </row>
    <row r="2062" spans="16:146" x14ac:dyDescent="0.25">
      <c r="P2062" s="33" t="str" cm="1">
        <f t="array" ref="P2062">IFERROR(SUM(VALUE(_xlfn.TEXTSPLIT(O2062, ";"))), "")</f>
        <v/>
      </c>
      <c r="EP2062" s="33" t="str">
        <f t="shared" si="65"/>
        <v/>
      </c>
    </row>
    <row r="2063" spans="16:146" x14ac:dyDescent="0.25">
      <c r="P2063" s="33" t="str" cm="1">
        <f t="array" ref="P2063">IFERROR(SUM(VALUE(_xlfn.TEXTSPLIT(O2063, ";"))), "")</f>
        <v/>
      </c>
      <c r="EP2063" s="33" t="str">
        <f t="shared" si="65"/>
        <v/>
      </c>
    </row>
    <row r="2064" spans="16:146" x14ac:dyDescent="0.25">
      <c r="P2064" s="33" t="str" cm="1">
        <f t="array" ref="P2064">IFERROR(SUM(VALUE(_xlfn.TEXTSPLIT(O2064, ";"))), "")</f>
        <v/>
      </c>
      <c r="EP2064" s="33" t="str">
        <f t="shared" si="65"/>
        <v/>
      </c>
    </row>
    <row r="2065" spans="16:146" x14ac:dyDescent="0.25">
      <c r="P2065" s="33" t="str" cm="1">
        <f t="array" ref="P2065">IFERROR(SUM(VALUE(_xlfn.TEXTSPLIT(O2065, ";"))), "")</f>
        <v/>
      </c>
      <c r="EP2065" s="33" t="str">
        <f t="shared" si="65"/>
        <v/>
      </c>
    </row>
    <row r="2066" spans="16:146" x14ac:dyDescent="0.25">
      <c r="P2066" s="33" t="str" cm="1">
        <f t="array" ref="P2066">IFERROR(SUM(VALUE(_xlfn.TEXTSPLIT(O2066, ";"))), "")</f>
        <v/>
      </c>
      <c r="EP2066" s="33" t="str">
        <f t="shared" si="65"/>
        <v/>
      </c>
    </row>
    <row r="2067" spans="16:146" x14ac:dyDescent="0.25">
      <c r="P2067" s="33" t="str" cm="1">
        <f t="array" ref="P2067">IFERROR(SUM(VALUE(_xlfn.TEXTSPLIT(O2067, ";"))), "")</f>
        <v/>
      </c>
      <c r="EP2067" s="33" t="str">
        <f t="shared" si="65"/>
        <v/>
      </c>
    </row>
    <row r="2068" spans="16:146" x14ac:dyDescent="0.25">
      <c r="P2068" s="33" t="str" cm="1">
        <f t="array" ref="P2068">IFERROR(SUM(VALUE(_xlfn.TEXTSPLIT(O2068, ";"))), "")</f>
        <v/>
      </c>
      <c r="EP2068" s="33" t="str">
        <f t="shared" si="65"/>
        <v/>
      </c>
    </row>
    <row r="2069" spans="16:146" x14ac:dyDescent="0.25">
      <c r="P2069" s="33" t="str" cm="1">
        <f t="array" ref="P2069">IFERROR(SUM(VALUE(_xlfn.TEXTSPLIT(O2069, ";"))), "")</f>
        <v/>
      </c>
      <c r="EP2069" s="33" t="str">
        <f t="shared" si="65"/>
        <v/>
      </c>
    </row>
    <row r="2070" spans="16:146" x14ac:dyDescent="0.25">
      <c r="P2070" s="33" t="str" cm="1">
        <f t="array" ref="P2070">IFERROR(SUM(VALUE(_xlfn.TEXTSPLIT(O2070, ";"))), "")</f>
        <v/>
      </c>
      <c r="EP2070" s="33" t="str">
        <f t="shared" si="65"/>
        <v/>
      </c>
    </row>
    <row r="2071" spans="16:146" x14ac:dyDescent="0.25">
      <c r="P2071" s="33" t="str" cm="1">
        <f t="array" ref="P2071">IFERROR(SUM(VALUE(_xlfn.TEXTSPLIT(O2071, ";"))), "")</f>
        <v/>
      </c>
      <c r="EP2071" s="33" t="str">
        <f t="shared" si="65"/>
        <v/>
      </c>
    </row>
    <row r="2072" spans="16:146" x14ac:dyDescent="0.25">
      <c r="P2072" s="33" t="str" cm="1">
        <f t="array" ref="P2072">IFERROR(SUM(VALUE(_xlfn.TEXTSPLIT(O2072, ";"))), "")</f>
        <v/>
      </c>
      <c r="EP2072" s="33" t="str">
        <f t="shared" si="65"/>
        <v/>
      </c>
    </row>
    <row r="2073" spans="16:146" x14ac:dyDescent="0.25">
      <c r="P2073" s="33" t="str" cm="1">
        <f t="array" ref="P2073">IFERROR(SUM(VALUE(_xlfn.TEXTSPLIT(O2073, ";"))), "")</f>
        <v/>
      </c>
      <c r="EP2073" s="33" t="str">
        <f t="shared" si="65"/>
        <v/>
      </c>
    </row>
    <row r="2074" spans="16:146" x14ac:dyDescent="0.25">
      <c r="P2074" s="33" t="str" cm="1">
        <f t="array" ref="P2074">IFERROR(SUM(VALUE(_xlfn.TEXTSPLIT(O2074, ";"))), "")</f>
        <v/>
      </c>
      <c r="EP2074" s="33" t="str">
        <f t="shared" si="65"/>
        <v/>
      </c>
    </row>
    <row r="2075" spans="16:146" x14ac:dyDescent="0.25">
      <c r="P2075" s="33" t="str" cm="1">
        <f t="array" ref="P2075">IFERROR(SUM(VALUE(_xlfn.TEXTSPLIT(O2075, ";"))), "")</f>
        <v/>
      </c>
      <c r="EP2075" s="33" t="str">
        <f t="shared" si="65"/>
        <v/>
      </c>
    </row>
    <row r="2076" spans="16:146" x14ac:dyDescent="0.25">
      <c r="P2076" s="33" t="str" cm="1">
        <f t="array" ref="P2076">IFERROR(SUM(VALUE(_xlfn.TEXTSPLIT(O2076, ";"))), "")</f>
        <v/>
      </c>
      <c r="EP2076" s="33" t="str">
        <f t="shared" si="65"/>
        <v/>
      </c>
    </row>
    <row r="2077" spans="16:146" x14ac:dyDescent="0.25">
      <c r="P2077" s="33" t="str" cm="1">
        <f t="array" ref="P2077">IFERROR(SUM(VALUE(_xlfn.TEXTSPLIT(O2077, ";"))), "")</f>
        <v/>
      </c>
      <c r="EP2077" s="33" t="str">
        <f t="shared" si="65"/>
        <v/>
      </c>
    </row>
    <row r="2078" spans="16:146" x14ac:dyDescent="0.25">
      <c r="P2078" s="33" t="str" cm="1">
        <f t="array" ref="P2078">IFERROR(SUM(VALUE(_xlfn.TEXTSPLIT(O2078, ";"))), "")</f>
        <v/>
      </c>
      <c r="EP2078" s="33" t="str">
        <f t="shared" si="65"/>
        <v/>
      </c>
    </row>
    <row r="2079" spans="16:146" x14ac:dyDescent="0.25">
      <c r="P2079" s="33" t="str" cm="1">
        <f t="array" ref="P2079">IFERROR(SUM(VALUE(_xlfn.TEXTSPLIT(O2079, ";"))), "")</f>
        <v/>
      </c>
      <c r="EP2079" s="33" t="str">
        <f t="shared" si="65"/>
        <v/>
      </c>
    </row>
    <row r="2080" spans="16:146" x14ac:dyDescent="0.25">
      <c r="P2080" s="33" t="str" cm="1">
        <f t="array" ref="P2080">IFERROR(SUM(VALUE(_xlfn.TEXTSPLIT(O2080, ";"))), "")</f>
        <v/>
      </c>
      <c r="EP2080" s="33" t="str">
        <f t="shared" si="65"/>
        <v/>
      </c>
    </row>
    <row r="2081" spans="16:146" x14ac:dyDescent="0.25">
      <c r="P2081" s="33" t="str" cm="1">
        <f t="array" ref="P2081">IFERROR(SUM(VALUE(_xlfn.TEXTSPLIT(O2081, ";"))), "")</f>
        <v/>
      </c>
      <c r="EP2081" s="33" t="str">
        <f t="shared" si="65"/>
        <v/>
      </c>
    </row>
    <row r="2082" spans="16:146" x14ac:dyDescent="0.25">
      <c r="P2082" s="33" t="str" cm="1">
        <f t="array" ref="P2082">IFERROR(SUM(VALUE(_xlfn.TEXTSPLIT(O2082, ";"))), "")</f>
        <v/>
      </c>
      <c r="EP2082" s="33" t="str">
        <f t="shared" si="65"/>
        <v/>
      </c>
    </row>
    <row r="2083" spans="16:146" x14ac:dyDescent="0.25">
      <c r="P2083" s="33" t="str" cm="1">
        <f t="array" ref="P2083">IFERROR(SUM(VALUE(_xlfn.TEXTSPLIT(O2083, ";"))), "")</f>
        <v/>
      </c>
      <c r="EP2083" s="33" t="str">
        <f t="shared" si="65"/>
        <v/>
      </c>
    </row>
    <row r="2084" spans="16:146" x14ac:dyDescent="0.25">
      <c r="P2084" s="33" t="str" cm="1">
        <f t="array" ref="P2084">IFERROR(SUM(VALUE(_xlfn.TEXTSPLIT(O2084, ";"))), "")</f>
        <v/>
      </c>
      <c r="EP2084" s="33" t="str">
        <f t="shared" si="65"/>
        <v/>
      </c>
    </row>
    <row r="2085" spans="16:146" x14ac:dyDescent="0.25">
      <c r="P2085" s="33" t="str" cm="1">
        <f t="array" ref="P2085">IFERROR(SUM(VALUE(_xlfn.TEXTSPLIT(O2085, ";"))), "")</f>
        <v/>
      </c>
      <c r="EP2085" s="33" t="str">
        <f t="shared" si="65"/>
        <v/>
      </c>
    </row>
    <row r="2086" spans="16:146" x14ac:dyDescent="0.25">
      <c r="P2086" s="33" t="str" cm="1">
        <f t="array" ref="P2086">IFERROR(SUM(VALUE(_xlfn.TEXTSPLIT(O2086, ";"))), "")</f>
        <v/>
      </c>
      <c r="EP2086" s="33" t="str">
        <f t="shared" si="65"/>
        <v/>
      </c>
    </row>
    <row r="2087" spans="16:146" x14ac:dyDescent="0.25">
      <c r="P2087" s="33" t="str" cm="1">
        <f t="array" ref="P2087">IFERROR(SUM(VALUE(_xlfn.TEXTSPLIT(O2087, ";"))), "")</f>
        <v/>
      </c>
      <c r="EP2087" s="33" t="str">
        <f t="shared" si="65"/>
        <v/>
      </c>
    </row>
    <row r="2088" spans="16:146" x14ac:dyDescent="0.25">
      <c r="P2088" s="33" t="str" cm="1">
        <f t="array" ref="P2088">IFERROR(SUM(VALUE(_xlfn.TEXTSPLIT(O2088, ";"))), "")</f>
        <v/>
      </c>
      <c r="EP2088" s="33" t="str">
        <f t="shared" si="65"/>
        <v/>
      </c>
    </row>
    <row r="2089" spans="16:146" x14ac:dyDescent="0.25">
      <c r="P2089" s="33" t="str" cm="1">
        <f t="array" ref="P2089">IFERROR(SUM(VALUE(_xlfn.TEXTSPLIT(O2089, ";"))), "")</f>
        <v/>
      </c>
      <c r="EP2089" s="33" t="str">
        <f t="shared" si="65"/>
        <v/>
      </c>
    </row>
    <row r="2090" spans="16:146" x14ac:dyDescent="0.25">
      <c r="P2090" s="33" t="str" cm="1">
        <f t="array" ref="P2090">IFERROR(SUM(VALUE(_xlfn.TEXTSPLIT(O2090, ";"))), "")</f>
        <v/>
      </c>
      <c r="EP2090" s="33" t="str">
        <f t="shared" si="65"/>
        <v/>
      </c>
    </row>
    <row r="2091" spans="16:146" x14ac:dyDescent="0.25">
      <c r="P2091" s="33" t="str" cm="1">
        <f t="array" ref="P2091">IFERROR(SUM(VALUE(_xlfn.TEXTSPLIT(O2091, ";"))), "")</f>
        <v/>
      </c>
      <c r="EP2091" s="33" t="str">
        <f t="shared" si="65"/>
        <v/>
      </c>
    </row>
    <row r="2092" spans="16:146" x14ac:dyDescent="0.25">
      <c r="P2092" s="33" t="str" cm="1">
        <f t="array" ref="P2092">IFERROR(SUM(VALUE(_xlfn.TEXTSPLIT(O2092, ";"))), "")</f>
        <v/>
      </c>
      <c r="EP2092" s="33" t="str">
        <f t="shared" si="65"/>
        <v/>
      </c>
    </row>
    <row r="2093" spans="16:146" x14ac:dyDescent="0.25">
      <c r="P2093" s="33" t="str" cm="1">
        <f t="array" ref="P2093">IFERROR(SUM(VALUE(_xlfn.TEXTSPLIT(O2093, ";"))), "")</f>
        <v/>
      </c>
      <c r="EP2093" s="33" t="str">
        <f t="shared" si="65"/>
        <v/>
      </c>
    </row>
    <row r="2094" spans="16:146" x14ac:dyDescent="0.25">
      <c r="P2094" s="33" t="str" cm="1">
        <f t="array" ref="P2094">IFERROR(SUM(VALUE(_xlfn.TEXTSPLIT(O2094, ";"))), "")</f>
        <v/>
      </c>
      <c r="EP2094" s="33" t="str">
        <f t="shared" si="65"/>
        <v/>
      </c>
    </row>
    <row r="2095" spans="16:146" x14ac:dyDescent="0.25">
      <c r="P2095" s="33" t="str" cm="1">
        <f t="array" ref="P2095">IFERROR(SUM(VALUE(_xlfn.TEXTSPLIT(O2095, ";"))), "")</f>
        <v/>
      </c>
      <c r="EP2095" s="33" t="str">
        <f t="shared" si="65"/>
        <v/>
      </c>
    </row>
    <row r="2096" spans="16:146" x14ac:dyDescent="0.25">
      <c r="P2096" s="33" t="str" cm="1">
        <f t="array" ref="P2096">IFERROR(SUM(VALUE(_xlfn.TEXTSPLIT(O2096, ";"))), "")</f>
        <v/>
      </c>
      <c r="EP2096" s="33" t="str">
        <f t="shared" si="65"/>
        <v/>
      </c>
    </row>
    <row r="2097" spans="16:146" x14ac:dyDescent="0.25">
      <c r="P2097" s="33" t="str" cm="1">
        <f t="array" ref="P2097">IFERROR(SUM(VALUE(_xlfn.TEXTSPLIT(O2097, ";"))), "")</f>
        <v/>
      </c>
      <c r="EP2097" s="33" t="str">
        <f t="shared" si="65"/>
        <v/>
      </c>
    </row>
    <row r="2098" spans="16:146" x14ac:dyDescent="0.25">
      <c r="P2098" s="33" t="str" cm="1">
        <f t="array" ref="P2098">IFERROR(SUM(VALUE(_xlfn.TEXTSPLIT(O2098, ";"))), "")</f>
        <v/>
      </c>
      <c r="EP2098" s="33" t="str">
        <f t="shared" si="65"/>
        <v/>
      </c>
    </row>
    <row r="2099" spans="16:146" x14ac:dyDescent="0.25">
      <c r="P2099" s="33" t="str" cm="1">
        <f t="array" ref="P2099">IFERROR(SUM(VALUE(_xlfn.TEXTSPLIT(O2099, ";"))), "")</f>
        <v/>
      </c>
      <c r="EP2099" s="33" t="str">
        <f t="shared" si="65"/>
        <v/>
      </c>
    </row>
    <row r="2100" spans="16:146" x14ac:dyDescent="0.25">
      <c r="P2100" s="33" t="str" cm="1">
        <f t="array" ref="P2100">IFERROR(SUM(VALUE(_xlfn.TEXTSPLIT(O2100, ";"))), "")</f>
        <v/>
      </c>
      <c r="EP2100" s="33" t="str">
        <f t="shared" si="65"/>
        <v/>
      </c>
    </row>
    <row r="2101" spans="16:146" x14ac:dyDescent="0.25">
      <c r="P2101" s="33" t="str" cm="1">
        <f t="array" ref="P2101">IFERROR(SUM(VALUE(_xlfn.TEXTSPLIT(O2101, ";"))), "")</f>
        <v/>
      </c>
      <c r="EP2101" s="33" t="str">
        <f t="shared" si="65"/>
        <v/>
      </c>
    </row>
    <row r="2102" spans="16:146" x14ac:dyDescent="0.25">
      <c r="P2102" s="33" t="str" cm="1">
        <f t="array" ref="P2102">IFERROR(SUM(VALUE(_xlfn.TEXTSPLIT(O2102, ";"))), "")</f>
        <v/>
      </c>
      <c r="EP2102" s="33" t="str">
        <f t="shared" si="65"/>
        <v/>
      </c>
    </row>
    <row r="2103" spans="16:146" x14ac:dyDescent="0.25">
      <c r="P2103" s="33" t="str" cm="1">
        <f t="array" ref="P2103">IFERROR(SUM(VALUE(_xlfn.TEXTSPLIT(O2103, ";"))), "")</f>
        <v/>
      </c>
      <c r="EP2103" s="33" t="str">
        <f t="shared" si="65"/>
        <v/>
      </c>
    </row>
    <row r="2104" spans="16:146" x14ac:dyDescent="0.25">
      <c r="P2104" s="33" t="str" cm="1">
        <f t="array" ref="P2104">IFERROR(SUM(VALUE(_xlfn.TEXTSPLIT(O2104, ";"))), "")</f>
        <v/>
      </c>
      <c r="EP2104" s="33" t="str">
        <f t="shared" si="65"/>
        <v/>
      </c>
    </row>
    <row r="2105" spans="16:146" x14ac:dyDescent="0.25">
      <c r="P2105" s="33" t="str" cm="1">
        <f t="array" ref="P2105">IFERROR(SUM(VALUE(_xlfn.TEXTSPLIT(O2105, ";"))), "")</f>
        <v/>
      </c>
      <c r="EP2105" s="33" t="str">
        <f t="shared" si="65"/>
        <v/>
      </c>
    </row>
    <row r="2106" spans="16:146" x14ac:dyDescent="0.25">
      <c r="P2106" s="33" t="str" cm="1">
        <f t="array" ref="P2106">IFERROR(SUM(VALUE(_xlfn.TEXTSPLIT(O2106, ";"))), "")</f>
        <v/>
      </c>
      <c r="EP2106" s="33" t="str">
        <f t="shared" si="65"/>
        <v/>
      </c>
    </row>
    <row r="2107" spans="16:146" x14ac:dyDescent="0.25">
      <c r="P2107" s="33" t="str" cm="1">
        <f t="array" ref="P2107">IFERROR(SUM(VALUE(_xlfn.TEXTSPLIT(O2107, ";"))), "")</f>
        <v/>
      </c>
      <c r="EP2107" s="33" t="str">
        <f t="shared" si="65"/>
        <v/>
      </c>
    </row>
    <row r="2108" spans="16:146" x14ac:dyDescent="0.25">
      <c r="P2108" s="33" t="str" cm="1">
        <f t="array" ref="P2108">IFERROR(SUM(VALUE(_xlfn.TEXTSPLIT(O2108, ";"))), "")</f>
        <v/>
      </c>
      <c r="EP2108" s="33" t="str">
        <f t="shared" si="65"/>
        <v/>
      </c>
    </row>
    <row r="2109" spans="16:146" x14ac:dyDescent="0.25">
      <c r="P2109" s="33" t="str" cm="1">
        <f t="array" ref="P2109">IFERROR(SUM(VALUE(_xlfn.TEXTSPLIT(O2109, ";"))), "")</f>
        <v/>
      </c>
      <c r="EP2109" s="33" t="str">
        <f t="shared" si="65"/>
        <v/>
      </c>
    </row>
    <row r="2110" spans="16:146" x14ac:dyDescent="0.25">
      <c r="P2110" s="33" t="str" cm="1">
        <f t="array" ref="P2110">IFERROR(SUM(VALUE(_xlfn.TEXTSPLIT(O2110, ";"))), "")</f>
        <v/>
      </c>
      <c r="EP2110" s="33" t="str">
        <f t="shared" si="65"/>
        <v/>
      </c>
    </row>
    <row r="2111" spans="16:146" x14ac:dyDescent="0.25">
      <c r="P2111" s="33" t="str" cm="1">
        <f t="array" ref="P2111">IFERROR(SUM(VALUE(_xlfn.TEXTSPLIT(O2111, ";"))), "")</f>
        <v/>
      </c>
      <c r="EP2111" s="33" t="str">
        <f t="shared" si="65"/>
        <v/>
      </c>
    </row>
    <row r="2112" spans="16:146" x14ac:dyDescent="0.25">
      <c r="P2112" s="33" t="str" cm="1">
        <f t="array" ref="P2112">IFERROR(SUM(VALUE(_xlfn.TEXTSPLIT(O2112, ";"))), "")</f>
        <v/>
      </c>
      <c r="EP2112" s="33" t="str">
        <f t="shared" si="65"/>
        <v/>
      </c>
    </row>
    <row r="2113" spans="16:146" x14ac:dyDescent="0.25">
      <c r="P2113" s="33" t="str" cm="1">
        <f t="array" ref="P2113">IFERROR(SUM(VALUE(_xlfn.TEXTSPLIT(O2113, ";"))), "")</f>
        <v/>
      </c>
      <c r="EP2113" s="33" t="str">
        <f t="shared" si="65"/>
        <v/>
      </c>
    </row>
    <row r="2114" spans="16:146" x14ac:dyDescent="0.25">
      <c r="P2114" s="33" t="str" cm="1">
        <f t="array" ref="P2114">IFERROR(SUM(VALUE(_xlfn.TEXTSPLIT(O2114, ";"))), "")</f>
        <v/>
      </c>
      <c r="EP2114" s="33" t="str">
        <f t="shared" si="65"/>
        <v/>
      </c>
    </row>
    <row r="2115" spans="16:146" x14ac:dyDescent="0.25">
      <c r="P2115" s="33" t="str" cm="1">
        <f t="array" ref="P2115">IFERROR(SUM(VALUE(_xlfn.TEXTSPLIT(O2115, ";"))), "")</f>
        <v/>
      </c>
      <c r="EP2115" s="33" t="str">
        <f t="shared" si="65"/>
        <v/>
      </c>
    </row>
    <row r="2116" spans="16:146" x14ac:dyDescent="0.25">
      <c r="P2116" s="33" t="str" cm="1">
        <f t="array" ref="P2116">IFERROR(SUM(VALUE(_xlfn.TEXTSPLIT(O2116, ";"))), "")</f>
        <v/>
      </c>
      <c r="EP2116" s="33" t="str">
        <f t="shared" si="65"/>
        <v/>
      </c>
    </row>
    <row r="2117" spans="16:146" x14ac:dyDescent="0.25">
      <c r="P2117" s="33" t="str" cm="1">
        <f t="array" ref="P2117">IFERROR(SUM(VALUE(_xlfn.TEXTSPLIT(O2117, ";"))), "")</f>
        <v/>
      </c>
      <c r="EP2117" s="33" t="str">
        <f t="shared" ref="EP2117:EP2180" si="66">IFERROR(P2117-EO2117, "")</f>
        <v/>
      </c>
    </row>
    <row r="2118" spans="16:146" x14ac:dyDescent="0.25">
      <c r="P2118" s="33" t="str" cm="1">
        <f t="array" ref="P2118">IFERROR(SUM(VALUE(_xlfn.TEXTSPLIT(O2118, ";"))), "")</f>
        <v/>
      </c>
      <c r="EP2118" s="33" t="str">
        <f t="shared" si="66"/>
        <v/>
      </c>
    </row>
    <row r="2119" spans="16:146" x14ac:dyDescent="0.25">
      <c r="P2119" s="33" t="str" cm="1">
        <f t="array" ref="P2119">IFERROR(SUM(VALUE(_xlfn.TEXTSPLIT(O2119, ";"))), "")</f>
        <v/>
      </c>
      <c r="EP2119" s="33" t="str">
        <f t="shared" si="66"/>
        <v/>
      </c>
    </row>
    <row r="2120" spans="16:146" x14ac:dyDescent="0.25">
      <c r="P2120" s="33" t="str" cm="1">
        <f t="array" ref="P2120">IFERROR(SUM(VALUE(_xlfn.TEXTSPLIT(O2120, ";"))), "")</f>
        <v/>
      </c>
      <c r="EP2120" s="33" t="str">
        <f t="shared" si="66"/>
        <v/>
      </c>
    </row>
    <row r="2121" spans="16:146" x14ac:dyDescent="0.25">
      <c r="P2121" s="33" t="str" cm="1">
        <f t="array" ref="P2121">IFERROR(SUM(VALUE(_xlfn.TEXTSPLIT(O2121, ";"))), "")</f>
        <v/>
      </c>
      <c r="EP2121" s="33" t="str">
        <f t="shared" si="66"/>
        <v/>
      </c>
    </row>
    <row r="2122" spans="16:146" x14ac:dyDescent="0.25">
      <c r="P2122" s="33" t="str" cm="1">
        <f t="array" ref="P2122">IFERROR(SUM(VALUE(_xlfn.TEXTSPLIT(O2122, ";"))), "")</f>
        <v/>
      </c>
      <c r="EP2122" s="33" t="str">
        <f t="shared" si="66"/>
        <v/>
      </c>
    </row>
    <row r="2123" spans="16:146" x14ac:dyDescent="0.25">
      <c r="P2123" s="33" t="str" cm="1">
        <f t="array" ref="P2123">IFERROR(SUM(VALUE(_xlfn.TEXTSPLIT(O2123, ";"))), "")</f>
        <v/>
      </c>
      <c r="EP2123" s="33" t="str">
        <f t="shared" si="66"/>
        <v/>
      </c>
    </row>
    <row r="2124" spans="16:146" x14ac:dyDescent="0.25">
      <c r="P2124" s="33" t="str" cm="1">
        <f t="array" ref="P2124">IFERROR(SUM(VALUE(_xlfn.TEXTSPLIT(O2124, ";"))), "")</f>
        <v/>
      </c>
      <c r="EP2124" s="33" t="str">
        <f t="shared" si="66"/>
        <v/>
      </c>
    </row>
    <row r="2125" spans="16:146" x14ac:dyDescent="0.25">
      <c r="P2125" s="33" t="str" cm="1">
        <f t="array" ref="P2125">IFERROR(SUM(VALUE(_xlfn.TEXTSPLIT(O2125, ";"))), "")</f>
        <v/>
      </c>
      <c r="EP2125" s="33" t="str">
        <f t="shared" si="66"/>
        <v/>
      </c>
    </row>
    <row r="2126" spans="16:146" x14ac:dyDescent="0.25">
      <c r="P2126" s="33" t="str" cm="1">
        <f t="array" ref="P2126">IFERROR(SUM(VALUE(_xlfn.TEXTSPLIT(O2126, ";"))), "")</f>
        <v/>
      </c>
      <c r="EP2126" s="33" t="str">
        <f t="shared" si="66"/>
        <v/>
      </c>
    </row>
    <row r="2127" spans="16:146" x14ac:dyDescent="0.25">
      <c r="P2127" s="33" t="str" cm="1">
        <f t="array" ref="P2127">IFERROR(SUM(VALUE(_xlfn.TEXTSPLIT(O2127, ";"))), "")</f>
        <v/>
      </c>
      <c r="EP2127" s="33" t="str">
        <f t="shared" si="66"/>
        <v/>
      </c>
    </row>
    <row r="2128" spans="16:146" x14ac:dyDescent="0.25">
      <c r="P2128" s="33" t="str" cm="1">
        <f t="array" ref="P2128">IFERROR(SUM(VALUE(_xlfn.TEXTSPLIT(O2128, ";"))), "")</f>
        <v/>
      </c>
      <c r="EP2128" s="33" t="str">
        <f t="shared" si="66"/>
        <v/>
      </c>
    </row>
    <row r="2129" spans="16:146" x14ac:dyDescent="0.25">
      <c r="P2129" s="33" t="str" cm="1">
        <f t="array" ref="P2129">IFERROR(SUM(VALUE(_xlfn.TEXTSPLIT(O2129, ";"))), "")</f>
        <v/>
      </c>
      <c r="EP2129" s="33" t="str">
        <f t="shared" si="66"/>
        <v/>
      </c>
    </row>
    <row r="2130" spans="16:146" x14ac:dyDescent="0.25">
      <c r="P2130" s="33" t="str" cm="1">
        <f t="array" ref="P2130">IFERROR(SUM(VALUE(_xlfn.TEXTSPLIT(O2130, ";"))), "")</f>
        <v/>
      </c>
      <c r="EP2130" s="33" t="str">
        <f t="shared" si="66"/>
        <v/>
      </c>
    </row>
    <row r="2131" spans="16:146" x14ac:dyDescent="0.25">
      <c r="P2131" s="33" t="str" cm="1">
        <f t="array" ref="P2131">IFERROR(SUM(VALUE(_xlfn.TEXTSPLIT(O2131, ";"))), "")</f>
        <v/>
      </c>
      <c r="EP2131" s="33" t="str">
        <f t="shared" si="66"/>
        <v/>
      </c>
    </row>
    <row r="2132" spans="16:146" x14ac:dyDescent="0.25">
      <c r="P2132" s="33" t="str" cm="1">
        <f t="array" ref="P2132">IFERROR(SUM(VALUE(_xlfn.TEXTSPLIT(O2132, ";"))), "")</f>
        <v/>
      </c>
      <c r="EP2132" s="33" t="str">
        <f t="shared" si="66"/>
        <v/>
      </c>
    </row>
    <row r="2133" spans="16:146" x14ac:dyDescent="0.25">
      <c r="P2133" s="33" t="str" cm="1">
        <f t="array" ref="P2133">IFERROR(SUM(VALUE(_xlfn.TEXTSPLIT(O2133, ";"))), "")</f>
        <v/>
      </c>
      <c r="EP2133" s="33" t="str">
        <f t="shared" si="66"/>
        <v/>
      </c>
    </row>
    <row r="2134" spans="16:146" x14ac:dyDescent="0.25">
      <c r="P2134" s="33" t="str" cm="1">
        <f t="array" ref="P2134">IFERROR(SUM(VALUE(_xlfn.TEXTSPLIT(O2134, ";"))), "")</f>
        <v/>
      </c>
      <c r="EP2134" s="33" t="str">
        <f t="shared" si="66"/>
        <v/>
      </c>
    </row>
    <row r="2135" spans="16:146" x14ac:dyDescent="0.25">
      <c r="P2135" s="33" t="str" cm="1">
        <f t="array" ref="P2135">IFERROR(SUM(VALUE(_xlfn.TEXTSPLIT(O2135, ";"))), "")</f>
        <v/>
      </c>
      <c r="EP2135" s="33" t="str">
        <f t="shared" si="66"/>
        <v/>
      </c>
    </row>
    <row r="2136" spans="16:146" x14ac:dyDescent="0.25">
      <c r="P2136" s="33" t="str" cm="1">
        <f t="array" ref="P2136">IFERROR(SUM(VALUE(_xlfn.TEXTSPLIT(O2136, ";"))), "")</f>
        <v/>
      </c>
      <c r="EP2136" s="33" t="str">
        <f t="shared" si="66"/>
        <v/>
      </c>
    </row>
    <row r="2137" spans="16:146" x14ac:dyDescent="0.25">
      <c r="P2137" s="33" t="str" cm="1">
        <f t="array" ref="P2137">IFERROR(SUM(VALUE(_xlfn.TEXTSPLIT(O2137, ";"))), "")</f>
        <v/>
      </c>
      <c r="EP2137" s="33" t="str">
        <f t="shared" si="66"/>
        <v/>
      </c>
    </row>
    <row r="2138" spans="16:146" x14ac:dyDescent="0.25">
      <c r="P2138" s="33" t="str" cm="1">
        <f t="array" ref="P2138">IFERROR(SUM(VALUE(_xlfn.TEXTSPLIT(O2138, ";"))), "")</f>
        <v/>
      </c>
      <c r="EP2138" s="33" t="str">
        <f t="shared" si="66"/>
        <v/>
      </c>
    </row>
    <row r="2139" spans="16:146" x14ac:dyDescent="0.25">
      <c r="P2139" s="33" t="str" cm="1">
        <f t="array" ref="P2139">IFERROR(SUM(VALUE(_xlfn.TEXTSPLIT(O2139, ";"))), "")</f>
        <v/>
      </c>
      <c r="EP2139" s="33" t="str">
        <f t="shared" si="66"/>
        <v/>
      </c>
    </row>
    <row r="2140" spans="16:146" x14ac:dyDescent="0.25">
      <c r="P2140" s="33" t="str" cm="1">
        <f t="array" ref="P2140">IFERROR(SUM(VALUE(_xlfn.TEXTSPLIT(O2140, ";"))), "")</f>
        <v/>
      </c>
      <c r="EP2140" s="33" t="str">
        <f t="shared" si="66"/>
        <v/>
      </c>
    </row>
    <row r="2141" spans="16:146" x14ac:dyDescent="0.25">
      <c r="P2141" s="33" t="str" cm="1">
        <f t="array" ref="P2141">IFERROR(SUM(VALUE(_xlfn.TEXTSPLIT(O2141, ";"))), "")</f>
        <v/>
      </c>
      <c r="EP2141" s="33" t="str">
        <f t="shared" si="66"/>
        <v/>
      </c>
    </row>
    <row r="2142" spans="16:146" x14ac:dyDescent="0.25">
      <c r="P2142" s="33" t="str" cm="1">
        <f t="array" ref="P2142">IFERROR(SUM(VALUE(_xlfn.TEXTSPLIT(O2142, ";"))), "")</f>
        <v/>
      </c>
      <c r="EP2142" s="33" t="str">
        <f t="shared" si="66"/>
        <v/>
      </c>
    </row>
    <row r="2143" spans="16:146" x14ac:dyDescent="0.25">
      <c r="P2143" s="33" t="str" cm="1">
        <f t="array" ref="P2143">IFERROR(SUM(VALUE(_xlfn.TEXTSPLIT(O2143, ";"))), "")</f>
        <v/>
      </c>
      <c r="EP2143" s="33" t="str">
        <f t="shared" si="66"/>
        <v/>
      </c>
    </row>
    <row r="2144" spans="16:146" x14ac:dyDescent="0.25">
      <c r="P2144" s="33" t="str" cm="1">
        <f t="array" ref="P2144">IFERROR(SUM(VALUE(_xlfn.TEXTSPLIT(O2144, ";"))), "")</f>
        <v/>
      </c>
      <c r="EP2144" s="33" t="str">
        <f t="shared" si="66"/>
        <v/>
      </c>
    </row>
    <row r="2145" spans="16:146" x14ac:dyDescent="0.25">
      <c r="P2145" s="33" t="str" cm="1">
        <f t="array" ref="P2145">IFERROR(SUM(VALUE(_xlfn.TEXTSPLIT(O2145, ";"))), "")</f>
        <v/>
      </c>
      <c r="EP2145" s="33" t="str">
        <f t="shared" si="66"/>
        <v/>
      </c>
    </row>
    <row r="2146" spans="16:146" x14ac:dyDescent="0.25">
      <c r="P2146" s="33" t="str" cm="1">
        <f t="array" ref="P2146">IFERROR(SUM(VALUE(_xlfn.TEXTSPLIT(O2146, ";"))), "")</f>
        <v/>
      </c>
      <c r="EP2146" s="33" t="str">
        <f t="shared" si="66"/>
        <v/>
      </c>
    </row>
    <row r="2147" spans="16:146" x14ac:dyDescent="0.25">
      <c r="P2147" s="33" t="str" cm="1">
        <f t="array" ref="P2147">IFERROR(SUM(VALUE(_xlfn.TEXTSPLIT(O2147, ";"))), "")</f>
        <v/>
      </c>
      <c r="EP2147" s="33" t="str">
        <f t="shared" si="66"/>
        <v/>
      </c>
    </row>
    <row r="2148" spans="16:146" x14ac:dyDescent="0.25">
      <c r="P2148" s="33" t="str" cm="1">
        <f t="array" ref="P2148">IFERROR(SUM(VALUE(_xlfn.TEXTSPLIT(O2148, ";"))), "")</f>
        <v/>
      </c>
      <c r="EP2148" s="33" t="str">
        <f t="shared" si="66"/>
        <v/>
      </c>
    </row>
    <row r="2149" spans="16:146" x14ac:dyDescent="0.25">
      <c r="P2149" s="33" t="str" cm="1">
        <f t="array" ref="P2149">IFERROR(SUM(VALUE(_xlfn.TEXTSPLIT(O2149, ";"))), "")</f>
        <v/>
      </c>
      <c r="EP2149" s="33" t="str">
        <f t="shared" si="66"/>
        <v/>
      </c>
    </row>
    <row r="2150" spans="16:146" x14ac:dyDescent="0.25">
      <c r="P2150" s="33" t="str" cm="1">
        <f t="array" ref="P2150">IFERROR(SUM(VALUE(_xlfn.TEXTSPLIT(O2150, ";"))), "")</f>
        <v/>
      </c>
      <c r="EP2150" s="33" t="str">
        <f t="shared" si="66"/>
        <v/>
      </c>
    </row>
    <row r="2151" spans="16:146" x14ac:dyDescent="0.25">
      <c r="P2151" s="33" t="str" cm="1">
        <f t="array" ref="P2151">IFERROR(SUM(VALUE(_xlfn.TEXTSPLIT(O2151, ";"))), "")</f>
        <v/>
      </c>
      <c r="EP2151" s="33" t="str">
        <f t="shared" si="66"/>
        <v/>
      </c>
    </row>
    <row r="2152" spans="16:146" x14ac:dyDescent="0.25">
      <c r="P2152" s="33" t="str" cm="1">
        <f t="array" ref="P2152">IFERROR(SUM(VALUE(_xlfn.TEXTSPLIT(O2152, ";"))), "")</f>
        <v/>
      </c>
      <c r="EP2152" s="33" t="str">
        <f t="shared" si="66"/>
        <v/>
      </c>
    </row>
    <row r="2153" spans="16:146" x14ac:dyDescent="0.25">
      <c r="P2153" s="33" t="str" cm="1">
        <f t="array" ref="P2153">IFERROR(SUM(VALUE(_xlfn.TEXTSPLIT(O2153, ";"))), "")</f>
        <v/>
      </c>
      <c r="EP2153" s="33" t="str">
        <f t="shared" si="66"/>
        <v/>
      </c>
    </row>
    <row r="2154" spans="16:146" x14ac:dyDescent="0.25">
      <c r="P2154" s="33" t="str" cm="1">
        <f t="array" ref="P2154">IFERROR(SUM(VALUE(_xlfn.TEXTSPLIT(O2154, ";"))), "")</f>
        <v/>
      </c>
      <c r="EP2154" s="33" t="str">
        <f t="shared" si="66"/>
        <v/>
      </c>
    </row>
    <row r="2155" spans="16:146" x14ac:dyDescent="0.25">
      <c r="P2155" s="33" t="str" cm="1">
        <f t="array" ref="P2155">IFERROR(SUM(VALUE(_xlfn.TEXTSPLIT(O2155, ";"))), "")</f>
        <v/>
      </c>
      <c r="EP2155" s="33" t="str">
        <f t="shared" si="66"/>
        <v/>
      </c>
    </row>
    <row r="2156" spans="16:146" x14ac:dyDescent="0.25">
      <c r="P2156" s="33" t="str" cm="1">
        <f t="array" ref="P2156">IFERROR(SUM(VALUE(_xlfn.TEXTSPLIT(O2156, ";"))), "")</f>
        <v/>
      </c>
      <c r="EP2156" s="33" t="str">
        <f t="shared" si="66"/>
        <v/>
      </c>
    </row>
    <row r="2157" spans="16:146" x14ac:dyDescent="0.25">
      <c r="P2157" s="33" t="str" cm="1">
        <f t="array" ref="P2157">IFERROR(SUM(VALUE(_xlfn.TEXTSPLIT(O2157, ";"))), "")</f>
        <v/>
      </c>
      <c r="EP2157" s="33" t="str">
        <f t="shared" si="66"/>
        <v/>
      </c>
    </row>
    <row r="2158" spans="16:146" x14ac:dyDescent="0.25">
      <c r="P2158" s="33" t="str" cm="1">
        <f t="array" ref="P2158">IFERROR(SUM(VALUE(_xlfn.TEXTSPLIT(O2158, ";"))), "")</f>
        <v/>
      </c>
      <c r="EP2158" s="33" t="str">
        <f t="shared" si="66"/>
        <v/>
      </c>
    </row>
    <row r="2159" spans="16:146" x14ac:dyDescent="0.25">
      <c r="P2159" s="33" t="str" cm="1">
        <f t="array" ref="P2159">IFERROR(SUM(VALUE(_xlfn.TEXTSPLIT(O2159, ";"))), "")</f>
        <v/>
      </c>
      <c r="EP2159" s="33" t="str">
        <f t="shared" si="66"/>
        <v/>
      </c>
    </row>
    <row r="2160" spans="16:146" x14ac:dyDescent="0.25">
      <c r="P2160" s="33" t="str" cm="1">
        <f t="array" ref="P2160">IFERROR(SUM(VALUE(_xlfn.TEXTSPLIT(O2160, ";"))), "")</f>
        <v/>
      </c>
      <c r="EP2160" s="33" t="str">
        <f t="shared" si="66"/>
        <v/>
      </c>
    </row>
    <row r="2161" spans="16:146" x14ac:dyDescent="0.25">
      <c r="P2161" s="33" t="str" cm="1">
        <f t="array" ref="P2161">IFERROR(SUM(VALUE(_xlfn.TEXTSPLIT(O2161, ";"))), "")</f>
        <v/>
      </c>
      <c r="EP2161" s="33" t="str">
        <f t="shared" si="66"/>
        <v/>
      </c>
    </row>
    <row r="2162" spans="16:146" x14ac:dyDescent="0.25">
      <c r="P2162" s="33" t="str" cm="1">
        <f t="array" ref="P2162">IFERROR(SUM(VALUE(_xlfn.TEXTSPLIT(O2162, ";"))), "")</f>
        <v/>
      </c>
      <c r="EP2162" s="33" t="str">
        <f t="shared" si="66"/>
        <v/>
      </c>
    </row>
    <row r="2163" spans="16:146" x14ac:dyDescent="0.25">
      <c r="P2163" s="33" t="str" cm="1">
        <f t="array" ref="P2163">IFERROR(SUM(VALUE(_xlfn.TEXTSPLIT(O2163, ";"))), "")</f>
        <v/>
      </c>
      <c r="EP2163" s="33" t="str">
        <f t="shared" si="66"/>
        <v/>
      </c>
    </row>
    <row r="2164" spans="16:146" x14ac:dyDescent="0.25">
      <c r="P2164" s="33" t="str" cm="1">
        <f t="array" ref="P2164">IFERROR(SUM(VALUE(_xlfn.TEXTSPLIT(O2164, ";"))), "")</f>
        <v/>
      </c>
      <c r="EP2164" s="33" t="str">
        <f t="shared" si="66"/>
        <v/>
      </c>
    </row>
    <row r="2165" spans="16:146" x14ac:dyDescent="0.25">
      <c r="P2165" s="33" t="str" cm="1">
        <f t="array" ref="P2165">IFERROR(SUM(VALUE(_xlfn.TEXTSPLIT(O2165, ";"))), "")</f>
        <v/>
      </c>
      <c r="EP2165" s="33" t="str">
        <f t="shared" si="66"/>
        <v/>
      </c>
    </row>
    <row r="2166" spans="16:146" x14ac:dyDescent="0.25">
      <c r="P2166" s="33" t="str" cm="1">
        <f t="array" ref="P2166">IFERROR(SUM(VALUE(_xlfn.TEXTSPLIT(O2166, ";"))), "")</f>
        <v/>
      </c>
      <c r="EP2166" s="33" t="str">
        <f t="shared" si="66"/>
        <v/>
      </c>
    </row>
    <row r="2167" spans="16:146" x14ac:dyDescent="0.25">
      <c r="P2167" s="33" t="str" cm="1">
        <f t="array" ref="P2167">IFERROR(SUM(VALUE(_xlfn.TEXTSPLIT(O2167, ";"))), "")</f>
        <v/>
      </c>
      <c r="EP2167" s="33" t="str">
        <f t="shared" si="66"/>
        <v/>
      </c>
    </row>
    <row r="2168" spans="16:146" x14ac:dyDescent="0.25">
      <c r="P2168" s="33" t="str" cm="1">
        <f t="array" ref="P2168">IFERROR(SUM(VALUE(_xlfn.TEXTSPLIT(O2168, ";"))), "")</f>
        <v/>
      </c>
      <c r="EP2168" s="33" t="str">
        <f t="shared" si="66"/>
        <v/>
      </c>
    </row>
    <row r="2169" spans="16:146" x14ac:dyDescent="0.25">
      <c r="P2169" s="33" t="str" cm="1">
        <f t="array" ref="P2169">IFERROR(SUM(VALUE(_xlfn.TEXTSPLIT(O2169, ";"))), "")</f>
        <v/>
      </c>
      <c r="EP2169" s="33" t="str">
        <f t="shared" si="66"/>
        <v/>
      </c>
    </row>
    <row r="2170" spans="16:146" x14ac:dyDescent="0.25">
      <c r="P2170" s="33" t="str" cm="1">
        <f t="array" ref="P2170">IFERROR(SUM(VALUE(_xlfn.TEXTSPLIT(O2170, ";"))), "")</f>
        <v/>
      </c>
      <c r="EP2170" s="33" t="str">
        <f t="shared" si="66"/>
        <v/>
      </c>
    </row>
    <row r="2171" spans="16:146" x14ac:dyDescent="0.25">
      <c r="P2171" s="33" t="str" cm="1">
        <f t="array" ref="P2171">IFERROR(SUM(VALUE(_xlfn.TEXTSPLIT(O2171, ";"))), "")</f>
        <v/>
      </c>
      <c r="EP2171" s="33" t="str">
        <f t="shared" si="66"/>
        <v/>
      </c>
    </row>
    <row r="2172" spans="16:146" x14ac:dyDescent="0.25">
      <c r="P2172" s="33" t="str" cm="1">
        <f t="array" ref="P2172">IFERROR(SUM(VALUE(_xlfn.TEXTSPLIT(O2172, ";"))), "")</f>
        <v/>
      </c>
      <c r="EP2172" s="33" t="str">
        <f t="shared" si="66"/>
        <v/>
      </c>
    </row>
    <row r="2173" spans="16:146" x14ac:dyDescent="0.25">
      <c r="P2173" s="33" t="str" cm="1">
        <f t="array" ref="P2173">IFERROR(SUM(VALUE(_xlfn.TEXTSPLIT(O2173, ";"))), "")</f>
        <v/>
      </c>
      <c r="EP2173" s="33" t="str">
        <f t="shared" si="66"/>
        <v/>
      </c>
    </row>
    <row r="2174" spans="16:146" x14ac:dyDescent="0.25">
      <c r="P2174" s="33" t="str" cm="1">
        <f t="array" ref="P2174">IFERROR(SUM(VALUE(_xlfn.TEXTSPLIT(O2174, ";"))), "")</f>
        <v/>
      </c>
      <c r="EP2174" s="33" t="str">
        <f t="shared" si="66"/>
        <v/>
      </c>
    </row>
    <row r="2175" spans="16:146" x14ac:dyDescent="0.25">
      <c r="P2175" s="33" t="str" cm="1">
        <f t="array" ref="P2175">IFERROR(SUM(VALUE(_xlfn.TEXTSPLIT(O2175, ";"))), "")</f>
        <v/>
      </c>
      <c r="EP2175" s="33" t="str">
        <f t="shared" si="66"/>
        <v/>
      </c>
    </row>
    <row r="2176" spans="16:146" x14ac:dyDescent="0.25">
      <c r="P2176" s="33" t="str" cm="1">
        <f t="array" ref="P2176">IFERROR(SUM(VALUE(_xlfn.TEXTSPLIT(O2176, ";"))), "")</f>
        <v/>
      </c>
      <c r="EP2176" s="33" t="str">
        <f t="shared" si="66"/>
        <v/>
      </c>
    </row>
    <row r="2177" spans="16:146" x14ac:dyDescent="0.25">
      <c r="P2177" s="33" t="str" cm="1">
        <f t="array" ref="P2177">IFERROR(SUM(VALUE(_xlfn.TEXTSPLIT(O2177, ";"))), "")</f>
        <v/>
      </c>
      <c r="EP2177" s="33" t="str">
        <f t="shared" si="66"/>
        <v/>
      </c>
    </row>
    <row r="2178" spans="16:146" x14ac:dyDescent="0.25">
      <c r="P2178" s="33" t="str" cm="1">
        <f t="array" ref="P2178">IFERROR(SUM(VALUE(_xlfn.TEXTSPLIT(O2178, ";"))), "")</f>
        <v/>
      </c>
      <c r="EP2178" s="33" t="str">
        <f t="shared" si="66"/>
        <v/>
      </c>
    </row>
    <row r="2179" spans="16:146" x14ac:dyDescent="0.25">
      <c r="P2179" s="33" t="str" cm="1">
        <f t="array" ref="P2179">IFERROR(SUM(VALUE(_xlfn.TEXTSPLIT(O2179, ";"))), "")</f>
        <v/>
      </c>
      <c r="EP2179" s="33" t="str">
        <f t="shared" si="66"/>
        <v/>
      </c>
    </row>
    <row r="2180" spans="16:146" x14ac:dyDescent="0.25">
      <c r="P2180" s="33" t="str" cm="1">
        <f t="array" ref="P2180">IFERROR(SUM(VALUE(_xlfn.TEXTSPLIT(O2180, ";"))), "")</f>
        <v/>
      </c>
      <c r="EP2180" s="33" t="str">
        <f t="shared" si="66"/>
        <v/>
      </c>
    </row>
    <row r="2181" spans="16:146" x14ac:dyDescent="0.25">
      <c r="P2181" s="33" t="str" cm="1">
        <f t="array" ref="P2181">IFERROR(SUM(VALUE(_xlfn.TEXTSPLIT(O2181, ";"))), "")</f>
        <v/>
      </c>
      <c r="EP2181" s="33" t="str">
        <f t="shared" ref="EP2181:EP2195" si="67">IFERROR(P2181-EO2181, "")</f>
        <v/>
      </c>
    </row>
    <row r="2182" spans="16:146" x14ac:dyDescent="0.25">
      <c r="P2182" s="33" t="str" cm="1">
        <f t="array" ref="P2182">IFERROR(SUM(VALUE(_xlfn.TEXTSPLIT(O2182, ";"))), "")</f>
        <v/>
      </c>
      <c r="EP2182" s="33" t="str">
        <f t="shared" si="67"/>
        <v/>
      </c>
    </row>
    <row r="2183" spans="16:146" x14ac:dyDescent="0.25">
      <c r="P2183" s="33" t="str" cm="1">
        <f t="array" ref="P2183">IFERROR(SUM(VALUE(_xlfn.TEXTSPLIT(O2183, ";"))), "")</f>
        <v/>
      </c>
      <c r="EP2183" s="33" t="str">
        <f t="shared" si="67"/>
        <v/>
      </c>
    </row>
    <row r="2184" spans="16:146" x14ac:dyDescent="0.25">
      <c r="P2184" s="33" t="str" cm="1">
        <f t="array" ref="P2184">IFERROR(SUM(VALUE(_xlfn.TEXTSPLIT(O2184, ";"))), "")</f>
        <v/>
      </c>
      <c r="EP2184" s="33" t="str">
        <f t="shared" si="67"/>
        <v/>
      </c>
    </row>
    <row r="2185" spans="16:146" x14ac:dyDescent="0.25">
      <c r="P2185" s="33" t="str" cm="1">
        <f t="array" ref="P2185">IFERROR(SUM(VALUE(_xlfn.TEXTSPLIT(O2185, ";"))), "")</f>
        <v/>
      </c>
      <c r="EP2185" s="33" t="str">
        <f t="shared" si="67"/>
        <v/>
      </c>
    </row>
    <row r="2186" spans="16:146" x14ac:dyDescent="0.25">
      <c r="P2186" s="33" t="str" cm="1">
        <f t="array" ref="P2186">IFERROR(SUM(VALUE(_xlfn.TEXTSPLIT(O2186, ";"))), "")</f>
        <v/>
      </c>
      <c r="EP2186" s="33" t="str">
        <f t="shared" si="67"/>
        <v/>
      </c>
    </row>
    <row r="2187" spans="16:146" x14ac:dyDescent="0.25">
      <c r="P2187" s="33" t="str" cm="1">
        <f t="array" ref="P2187">IFERROR(SUM(VALUE(_xlfn.TEXTSPLIT(O2187, ";"))), "")</f>
        <v/>
      </c>
      <c r="EP2187" s="33" t="str">
        <f t="shared" si="67"/>
        <v/>
      </c>
    </row>
    <row r="2188" spans="16:146" x14ac:dyDescent="0.25">
      <c r="P2188" s="33" t="str" cm="1">
        <f t="array" ref="P2188">IFERROR(SUM(VALUE(_xlfn.TEXTSPLIT(O2188, ";"))), "")</f>
        <v/>
      </c>
      <c r="EP2188" s="33" t="str">
        <f t="shared" si="67"/>
        <v/>
      </c>
    </row>
    <row r="2189" spans="16:146" x14ac:dyDescent="0.25">
      <c r="P2189" s="33" t="str" cm="1">
        <f t="array" ref="P2189">IFERROR(SUM(VALUE(_xlfn.TEXTSPLIT(O2189, ";"))), "")</f>
        <v/>
      </c>
      <c r="EP2189" s="33" t="str">
        <f t="shared" si="67"/>
        <v/>
      </c>
    </row>
    <row r="2190" spans="16:146" x14ac:dyDescent="0.25">
      <c r="P2190" s="33" t="str" cm="1">
        <f t="array" ref="P2190">IFERROR(SUM(VALUE(_xlfn.TEXTSPLIT(O2190, ";"))), "")</f>
        <v/>
      </c>
      <c r="EP2190" s="33" t="str">
        <f t="shared" si="67"/>
        <v/>
      </c>
    </row>
    <row r="2191" spans="16:146" x14ac:dyDescent="0.25">
      <c r="P2191" s="33" t="str" cm="1">
        <f t="array" ref="P2191">IFERROR(SUM(VALUE(_xlfn.TEXTSPLIT(O2191, ";"))), "")</f>
        <v/>
      </c>
      <c r="EP2191" s="33" t="str">
        <f t="shared" si="67"/>
        <v/>
      </c>
    </row>
    <row r="2192" spans="16:146" x14ac:dyDescent="0.25">
      <c r="P2192" s="33" t="str" cm="1">
        <f t="array" ref="P2192">IFERROR(SUM(VALUE(_xlfn.TEXTSPLIT(O2192, ";"))), "")</f>
        <v/>
      </c>
      <c r="EP2192" s="33" t="str">
        <f t="shared" si="67"/>
        <v/>
      </c>
    </row>
    <row r="2193" spans="16:146" x14ac:dyDescent="0.25">
      <c r="P2193" s="33" t="str" cm="1">
        <f t="array" ref="P2193">IFERROR(SUM(VALUE(_xlfn.TEXTSPLIT(O2193, ";"))), "")</f>
        <v/>
      </c>
      <c r="EP2193" s="33" t="str">
        <f t="shared" si="67"/>
        <v/>
      </c>
    </row>
    <row r="2194" spans="16:146" x14ac:dyDescent="0.25">
      <c r="P2194" s="33" t="str" cm="1">
        <f t="array" ref="P2194">IFERROR(SUM(VALUE(_xlfn.TEXTSPLIT(O2194, ";"))), "")</f>
        <v/>
      </c>
      <c r="EP2194" s="33" t="str">
        <f t="shared" si="67"/>
        <v/>
      </c>
    </row>
    <row r="2195" spans="16:146" x14ac:dyDescent="0.25">
      <c r="P2195" s="33" t="str" cm="1">
        <f t="array" ref="P2195">IFERROR(SUM(VALUE(_xlfn.TEXTSPLIT(O2195, ";"))), "")</f>
        <v/>
      </c>
      <c r="EP2195" s="33" t="str">
        <f t="shared" si="67"/>
        <v/>
      </c>
    </row>
    <row r="2196" spans="16:146" x14ac:dyDescent="0.25">
      <c r="P2196" s="33" t="str" cm="1">
        <f t="array" ref="P2196">IFERROR(SUM(VALUE(_xlfn.TEXTSPLIT(O2196, ";"))), "")</f>
        <v/>
      </c>
    </row>
    <row r="2197" spans="16:146" x14ac:dyDescent="0.25">
      <c r="P2197" s="33" t="str" cm="1">
        <f t="array" ref="P2197">IFERROR(SUM(VALUE(_xlfn.TEXTSPLIT(O2197, ";"))), "")</f>
        <v/>
      </c>
    </row>
    <row r="2198" spans="16:146" x14ac:dyDescent="0.25">
      <c r="P2198" s="33" t="str" cm="1">
        <f t="array" ref="P2198">IFERROR(SUM(VALUE(_xlfn.TEXTSPLIT(O2198, ";"))), "")</f>
        <v/>
      </c>
    </row>
    <row r="2199" spans="16:146" x14ac:dyDescent="0.25">
      <c r="P2199" s="33" t="str" cm="1">
        <f t="array" ref="P2199">IFERROR(SUM(VALUE(_xlfn.TEXTSPLIT(O2199, ";"))), "")</f>
        <v/>
      </c>
    </row>
    <row r="2200" spans="16:146" x14ac:dyDescent="0.25">
      <c r="P2200" s="33" t="str" cm="1">
        <f t="array" ref="P2200">IFERROR(SUM(VALUE(_xlfn.TEXTSPLIT(O2200, ";"))), "")</f>
        <v/>
      </c>
    </row>
    <row r="2201" spans="16:146" x14ac:dyDescent="0.25">
      <c r="P2201" s="33" t="str" cm="1">
        <f t="array" ref="P2201">IFERROR(SUM(VALUE(_xlfn.TEXTSPLIT(O2201, ";"))), "")</f>
        <v/>
      </c>
    </row>
  </sheetData>
  <mergeCells count="34">
    <mergeCell ref="DE2:DO2"/>
    <mergeCell ref="G2:G3"/>
    <mergeCell ref="EJ2:EN2"/>
    <mergeCell ref="A1:P1"/>
    <mergeCell ref="Q1:CO1"/>
    <mergeCell ref="CP1:CW2"/>
    <mergeCell ref="CX1:EA1"/>
    <mergeCell ref="A2:A3"/>
    <mergeCell ref="B2:B3"/>
    <mergeCell ref="C2:C3"/>
    <mergeCell ref="D2:D3"/>
    <mergeCell ref="E2:E3"/>
    <mergeCell ref="DP2:EA2"/>
    <mergeCell ref="M2:M3"/>
    <mergeCell ref="N2:N3"/>
    <mergeCell ref="O2:O3"/>
    <mergeCell ref="F2:F3"/>
    <mergeCell ref="CY2:DD2"/>
    <mergeCell ref="H2:H3"/>
    <mergeCell ref="EO2:EP2"/>
    <mergeCell ref="EB1:EP1"/>
    <mergeCell ref="I2:J2"/>
    <mergeCell ref="K2:L2"/>
    <mergeCell ref="P2:P3"/>
    <mergeCell ref="Q2:W2"/>
    <mergeCell ref="X2:AA2"/>
    <mergeCell ref="AB2:AJ2"/>
    <mergeCell ref="AK2:AP2"/>
    <mergeCell ref="AQ2:BM2"/>
    <mergeCell ref="BN2:CE2"/>
    <mergeCell ref="CF2:CH2"/>
    <mergeCell ref="CI2:CO2"/>
    <mergeCell ref="CX2:CX3"/>
    <mergeCell ref="EF2:EI2"/>
  </mergeCells>
  <dataValidations xWindow="660" yWindow="507" count="18">
    <dataValidation type="list" allowBlank="1" sqref="A3" xr:uid="{C94C9C08-E811-49C1-A6EE-6ABF7BB7DF7D}">
      <formula1>"Stt5_Xeôtô,Stt6_Phươngtiệnvậntảikhác,Stt7_Máymócthiếtbị,Stt9_Tàisảncốđịnhhữuhìnhkhác,Stt10_Quyềnsửdụngđất,Stt8_Câylâunămsúcvậtlàmviệc,Stt4_Vậtkiếntrúc,Stt3_Nhàcôngtrìnhxâydựng"</formula1>
    </dataValidation>
    <dataValidation type="list" allowBlank="1" sqref="B3" xr:uid="{7359BAC5-54E1-4931-A949-89FE114D537E}">
      <formula1>INDIRECT($A3)</formula1>
    </dataValidation>
    <dataValidation type="list" allowBlank="1" showInputMessage="1" showErrorMessage="1" prompt="Vui lòng chọn giá trị Có hoặc Không" sqref="AB4:AB2040 AQ4:AQ2186 CY5 CY4:DD4 CY6:DD2186 DA5:DD5" xr:uid="{C2302BE8-DDD0-45A3-AC25-9C6C0C6B94FE}">
      <formula1>"---,Có,Không"</formula1>
    </dataValidation>
    <dataValidation type="list" allowBlank="1" showInputMessage="1" showErrorMessage="1" promptTitle="Kỳ trích khấu hao" prompt="Vui lòng chọn loại kỳ trích khấu hao: Năm hoặc Tháng" sqref="EK4:EK2163" xr:uid="{918FE884-342B-4B31-B89A-0781AF0660A3}">
      <formula1>"---,Năm,Tháng"</formula1>
    </dataValidation>
    <dataValidation type="list" allowBlank="1" showInputMessage="1" showErrorMessage="1" prompt="Vui lòng chọn cách tính khấu hao,hao mòn: Tính khấu hao, Tính hao mòn, Tính cả hai" sqref="EB4:EB2188" xr:uid="{B12539CD-C7F9-4B49-9682-74888345B2FA}">
      <formula1>"---, Tính khấu hao, Tính hao mòn, Tính cả hai"</formula1>
    </dataValidation>
    <dataValidation allowBlank="1" showInputMessage="1" showErrorMessage="1" prompt="Vui lòng nhập ngày tháng theo định dạng dd/mm/yyyy. Ví dụ: 30/04/2011" sqref="BF4:BF2184 BY4:BY2184 DR4:DR2184 DT4:DT2184 DV4:DV2184 DX4:DX2184 DZ4:DZ2184 EC4:EF2184 EI4:EJ2184" xr:uid="{47DCBA19-C5A7-4862-B806-68E4E8267070}"/>
    <dataValidation type="list" allowBlank="1" showInputMessage="1" showErrorMessage="1" errorTitle="Error!" error="Không được phép sử dụng văn bản tùy chỉnh, vui lòng chọn từ danh sách thả xuống." promptTitle="Notes" prompt="Vui lòng nhấp vào mục thả xuống." sqref="A4:A2001" xr:uid="{00000000-0002-0000-0000-000006000000}">
      <formula1>"STT_10_Quyensudungdat,STT_9_Taisancodinhhuuhinhkhac,STT_5_Xeoto,STT_6_Phuongtienvantaikhac,STT_8_Caylaunamsucvatlamviec,STT_3_Nhacongtrinhxaydung,STT_4_Vatkientruc,STT_7_Maymocthietbi"</formula1>
    </dataValidation>
    <dataValidation type="list" allowBlank="1" showInputMessage="1" showErrorMessage="1" errorTitle="Error!" error="Không được phép sử dụng văn bản tùy chỉnh, vui lòng chọn từ danh sách thả xuống." promptTitle="Notes" prompt="Vui lòng nhấp vào mục thả xuống." sqref="B4:B2001" xr:uid="{00000000-0002-0000-0000-000007000000}">
      <formula1>INDIRECT("category_" &amp; $A4)</formula1>
    </dataValidation>
    <dataValidation type="list" allowBlank="1" showInputMessage="1" showErrorMessage="1" errorTitle="Error!" error="Không được phép sử dụng văn bản tùy chỉnh, vui lòng chọn từ danh sách thả xuống." promptTitle="Notes" prompt="Vui lòng nhấp vào mục thả xuống." sqref="E4:E2001" xr:uid="{00000000-0002-0000-0000-000009000000}">
      <formula1>INDIRECT("location_" &amp; $D4)</formula1>
    </dataValidation>
    <dataValidation type="list" allowBlank="1" showInputMessage="1" showErrorMessage="1" errorTitle="Error!" error="Không được phép sử dụng văn bản tùy chỉnh, vui lòng chọn từ danh sách thả xuống." promptTitle="Notes" prompt="Vui lòng nhấp vào mục thả xuống." sqref="F4:F2001" xr:uid="{00000000-0002-0000-0000-00000A000000}">
      <formula1>INDIRECT("unit_" &amp; $A4)</formula1>
    </dataValidation>
    <dataValidation type="list" allowBlank="1" showInputMessage="1" showErrorMessage="1" errorTitle="Error!" error="Không được phép sử dụng văn bản tùy chỉnh, vui lòng chọn từ danh sách thả xuống." promptTitle="Notes" prompt="Vui lòng nhấp vào mục thả xuống." sqref="G4:G2001" xr:uid="{00000000-0002-0000-0000-00000B000000}">
      <formula1>INDIRECT("documents_" &amp; $D4)</formula1>
    </dataValidation>
    <dataValidation type="list" allowBlank="1" showInputMessage="1" showErrorMessage="1" errorTitle="Error!" error="Không được phép sử dụng văn bản tùy chỉnh, vui lòng chọn từ danh sách thả xuống." promptTitle="Notes" prompt="Vui lòng nhấp vào mục thả xuống." sqref="Y4:Y2001" xr:uid="{00000000-0002-0000-0000-00000F000000}">
      <formula1>INDIRECT("provinces_" &amp; $X4)</formula1>
    </dataValidation>
    <dataValidation type="list" allowBlank="1" sqref="AE4:AE2001" xr:uid="{00000000-0002-0000-0000-000010000000}">
      <formula1>INDIRECT("provinces_" &amp; $AD4)</formula1>
    </dataValidation>
    <dataValidation type="list" allowBlank="1" showInputMessage="1" showErrorMessage="1" errorTitle="Error!" error="Không được phép sử dụng văn bản tùy chỉnh, vui lòng chọn từ danh sách thả xuống." promptTitle="Notes" prompt="Vui lòng nhấp vào mục thả xuống." sqref="Z4:Z2001" xr:uid="{00000000-0002-0000-0000-000011000000}">
      <formula1>INDIRECT("districts_" &amp; $Y4)</formula1>
    </dataValidation>
    <dataValidation type="list" allowBlank="1" sqref="AF4:AF2001" xr:uid="{00000000-0002-0000-0000-000012000000}">
      <formula1>INDIRECT("districts_" &amp; $AE4)</formula1>
    </dataValidation>
    <dataValidation type="list" allowBlank="1" showInputMessage="1" showErrorMessage="1" errorTitle="Error!" error="Không được phép sử dụng văn bản tùy chỉnh, vui lòng chọn từ danh sách thả xuống." promptTitle="Notes" prompt="Vui lòng nhấp vào mục thả xuống." sqref="M4:M2001" xr:uid="{00000000-0002-0000-0000-000014000000}">
      <formula1>INDIRECT("original_" &amp; $A4)</formula1>
    </dataValidation>
    <dataValidation type="list" allowBlank="1" showInputMessage="1" showErrorMessage="1" errorTitle="Error!" error="Không được phép sử dụng văn bản tùy chỉnh, vui lòng chọn từ danh sách thả xuống." promptTitle="Notes" prompt="Vui lòng nhấp vào mục thả xuống." sqref="V4:V2001" xr:uid="{00000000-0002-0000-0000-00001B000000}">
      <formula1>INDIRECT("userused_" &amp; $D4)</formula1>
    </dataValidation>
    <dataValidation type="list" allowBlank="1" sqref="BJ4:BJ2001 CN4:CN2001 CC4:CC2001" xr:uid="{00000000-0002-0000-0000-00001C000000}">
      <formula1>INDIRECT("userused_" &amp; $D4)</formula1>
    </dataValidation>
  </dataValidations>
  <pageMargins left="0.7" right="0.7" top="0.75" bottom="0.75" header="0.3" footer="0.3"/>
  <extLst>
    <ext xmlns:x14="http://schemas.microsoft.com/office/spreadsheetml/2009/9/main" uri="{CCE6A557-97BC-4b89-ADB6-D9C93CAAB3DF}">
      <x14:dataValidations xmlns:xm="http://schemas.microsoft.com/office/excel/2006/main" xWindow="660" yWindow="507" count="15">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08000000}">
          <x14:formula1>
            <xm:f>Department!$A$1:$A3</xm:f>
          </x14:formula1>
          <xm:sqref>D4:D2001</xm:sqref>
        </x14:dataValidation>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0C000000}">
          <x14:formula1>
            <xm:f>Projects!$A$1:$A13</xm:f>
          </x14:formula1>
          <xm:sqref>H4:H2001</xm:sqref>
        </x14:dataValidation>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0D000000}">
          <x14:formula1>
            <xm:f>Provinces!$A$1:$A63</xm:f>
          </x14:formula1>
          <xm:sqref>X4:X2001 AD4:AD2001</xm:sqref>
        </x14:dataValidation>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13000000}">
          <x14:formula1>
            <xm:f>AssetDepartment!$A$1:$A151</xm:f>
          </x14:formula1>
          <xm:sqref>K4:K2001</xm:sqref>
        </x14:dataValidation>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15000000}">
          <x14:formula1>
            <xm:f>CountryProducer!$A$1:$A8</xm:f>
          </x14:formula1>
          <xm:sqref>U4:U2001</xm:sqref>
        </x14:dataValidation>
        <x14:dataValidation type="list" allowBlank="1" xr:uid="{00000000-0002-0000-0000-000016000000}">
          <x14:formula1>
            <xm:f>CountryProducer!$A$1:$A8</xm:f>
          </x14:formula1>
          <xm:sqref>AP4:AP2001 BD4:BD2001 BW4:BW2001 CM4:CM2001 CG4:CG2001</xm:sqref>
        </x14:dataValidation>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1F000000}">
          <x14:formula1>
            <xm:f>AssetGround!$A$1:$A13</xm:f>
          </x14:formula1>
          <xm:sqref>AC4:AC2001</xm:sqref>
        </x14:dataValidation>
        <x14:dataValidation type="list" allowBlank="1" xr:uid="{00000000-0002-0000-0000-000020000000}">
          <x14:formula1>
            <xm:f>AssetGround!$A$1:$A13</xm:f>
          </x14:formula1>
          <xm:sqref>AK4:AK2001</xm:sqref>
        </x14:dataValidation>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21000000}">
          <x14:formula1>
            <xm:f>TypeUsed!$A$1:$A5</xm:f>
          </x14:formula1>
          <xm:sqref>W4:W2001</xm:sqref>
        </x14:dataValidation>
        <x14:dataValidation type="list" allowBlank="1" xr:uid="{00000000-0002-0000-0000-000022000000}">
          <x14:formula1>
            <xm:f>TypeUsed!$A$1:$A5</xm:f>
          </x14:formula1>
          <xm:sqref>BK4:BK2001 CD4:CD2001 CH4:CH2001 CO4:CO2001</xm:sqref>
        </x14:dataValidation>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26000000}">
          <x14:formula1>
            <xm:f>PositionName!$A$1:$A4</xm:f>
          </x14:formula1>
          <xm:sqref>BL4:BL2001</xm:sqref>
        </x14:dataValidation>
        <x14:dataValidation type="list" allowBlank="1" xr:uid="{00000000-0002-0000-0000-000027000000}">
          <x14:formula1>
            <xm:f>PositionName!$A$1:$A4</xm:f>
          </x14:formula1>
          <xm:sqref>BM4:BM2001 CE4:CE2001</xm:sqref>
        </x14:dataValidation>
        <x14:dataValidation type="list" allowBlank="1" showInputMessage="1" showErrorMessage="1" errorTitle="Error!" error="Không được phép sử dụng văn bản tùy chỉnh, vui lòng chọn từ danh sách thả xuống." promptTitle="Notes" prompt="PVui lòng nhấp vào mục thả xuống." xr:uid="{00000000-0002-0000-0000-000029000000}">
          <x14:formula1>
            <xm:f>MedicineType!$A$1:$A323</xm:f>
          </x14:formula1>
          <xm:sqref>CP4:CP2001</xm:sqref>
        </x14:dataValidation>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2A000000}">
          <x14:formula1>
            <xm:f>MedicineGroup!$A$1:$A4</xm:f>
          </x14:formula1>
          <xm:sqref>CQ4:CQ2001</xm:sqref>
        </x14:dataValidation>
        <x14:dataValidation type="list" allowBlank="1" showInputMessage="1" showErrorMessage="1" errorTitle="Error!" error="Không được phép sử dụng văn bản tùy chỉnh, vui lòng chọn từ danh sách thả xuống." promptTitle="Notes" prompt="Vui lòng nhấp vào mục thả xuống." xr:uid="{00000000-0002-0000-0000-00002B000000}">
          <x14:formula1>
            <xm:f>GoalsUseGround!$A$1:$A9</xm:f>
          </x14:formula1>
          <xm:sqref>DP4:DP2001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6B3F9-3C09-4AA0-9937-9726B7D301E3}">
  <dimension ref="A1:EP17"/>
  <sheetViews>
    <sheetView topLeftCell="D4" workbookViewId="0">
      <selection activeCell="N7" sqref="N7"/>
    </sheetView>
  </sheetViews>
  <sheetFormatPr defaultRowHeight="15" x14ac:dyDescent="0.25"/>
  <cols>
    <col min="1" max="1" width="22.5703125" customWidth="1"/>
    <col min="2" max="2" width="21.140625" customWidth="1"/>
    <col min="3" max="3" width="23.140625" customWidth="1"/>
    <col min="4" max="4" width="19.42578125" customWidth="1"/>
    <col min="5" max="5" width="20.7109375" customWidth="1"/>
    <col min="6" max="6" width="16.42578125" customWidth="1"/>
    <col min="7" max="7" width="19.140625" customWidth="1"/>
    <col min="12" max="12" width="11" customWidth="1"/>
    <col min="13" max="13" width="16.85546875" customWidth="1"/>
    <col min="14" max="14" width="37" customWidth="1"/>
    <col min="15" max="15" width="34" customWidth="1"/>
    <col min="23" max="23" width="18.85546875" customWidth="1"/>
    <col min="43" max="43" width="25" customWidth="1"/>
    <col min="44" max="44" width="22" customWidth="1"/>
    <col min="63" max="63" width="17.85546875" customWidth="1"/>
    <col min="82" max="82" width="18" customWidth="1"/>
    <col min="86" max="86" width="25" customWidth="1"/>
    <col min="93" max="93" width="21.85546875" customWidth="1"/>
    <col min="98" max="98" width="20.5703125" customWidth="1"/>
    <col min="99" max="99" width="13.28515625" customWidth="1"/>
    <col min="100" max="100" width="22.42578125" customWidth="1"/>
    <col min="103" max="103" width="21.28515625" customWidth="1"/>
    <col min="104" max="104" width="25.140625" customWidth="1"/>
    <col min="105" max="105" width="16.140625" customWidth="1"/>
    <col min="106" max="106" width="21.7109375" customWidth="1"/>
    <col min="107" max="107" width="20.28515625" customWidth="1"/>
    <col min="108" max="108" width="21.42578125" customWidth="1"/>
    <col min="109" max="109" width="18.7109375" customWidth="1"/>
    <col min="110" max="110" width="16.140625" customWidth="1"/>
    <col min="111" max="111" width="20.42578125" customWidth="1"/>
    <col min="112" max="112" width="27.140625" customWidth="1"/>
    <col min="113" max="113" width="26.7109375" customWidth="1"/>
    <col min="114" max="114" width="25.85546875" customWidth="1"/>
    <col min="115" max="115" width="17.140625" customWidth="1"/>
    <col min="116" max="116" width="22.140625" customWidth="1"/>
    <col min="117" max="117" width="21.7109375" customWidth="1"/>
    <col min="118" max="118" width="23.7109375" customWidth="1"/>
    <col min="119" max="119" width="20.42578125" customWidth="1"/>
    <col min="120" max="120" width="16.7109375" customWidth="1"/>
    <col min="122" max="122" width="21.140625" customWidth="1"/>
    <col min="124" max="124" width="22.42578125" customWidth="1"/>
    <col min="126" max="126" width="19.5703125" customWidth="1"/>
    <col min="128" max="128" width="18.42578125" customWidth="1"/>
    <col min="130" max="130" width="23.42578125" customWidth="1"/>
    <col min="132" max="132" width="28.42578125" bestFit="1" customWidth="1"/>
    <col min="133" max="133" width="18.5703125" customWidth="1"/>
    <col min="134" max="134" width="17.7109375" customWidth="1"/>
    <col min="135" max="135" width="22.5703125" customWidth="1"/>
    <col min="136" max="136" width="17.140625" customWidth="1"/>
    <col min="137" max="137" width="18.28515625" customWidth="1"/>
    <col min="138" max="138" width="17.5703125" customWidth="1"/>
    <col min="139" max="139" width="19.7109375" customWidth="1"/>
    <col min="140" max="140" width="16.85546875" customWidth="1"/>
  </cols>
  <sheetData>
    <row r="1" spans="1:146" ht="34.5" customHeight="1" x14ac:dyDescent="0.25">
      <c r="A1" s="133" t="s">
        <v>0</v>
      </c>
      <c r="B1" s="134"/>
      <c r="C1" s="134"/>
      <c r="D1" s="134"/>
      <c r="E1" s="134"/>
      <c r="F1" s="134"/>
      <c r="G1" s="134"/>
      <c r="H1" s="134"/>
      <c r="I1" s="134"/>
      <c r="J1" s="134"/>
      <c r="K1" s="134"/>
      <c r="L1" s="134"/>
      <c r="M1" s="134"/>
      <c r="N1" s="134"/>
      <c r="O1" s="134"/>
      <c r="P1" s="135"/>
      <c r="Q1" s="136" t="s">
        <v>1</v>
      </c>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8"/>
      <c r="CP1" s="139" t="s">
        <v>2</v>
      </c>
      <c r="CQ1" s="140"/>
      <c r="CR1" s="140"/>
      <c r="CS1" s="140"/>
      <c r="CT1" s="140"/>
      <c r="CU1" s="140"/>
      <c r="CV1" s="140"/>
      <c r="CW1" s="141"/>
      <c r="CX1" s="145" t="s">
        <v>3</v>
      </c>
      <c r="CY1" s="146"/>
      <c r="CZ1" s="146"/>
      <c r="DA1" s="146"/>
      <c r="DB1" s="146"/>
      <c r="DC1" s="146"/>
      <c r="DD1" s="146"/>
      <c r="DE1" s="146"/>
      <c r="DF1" s="146"/>
      <c r="DG1" s="146"/>
      <c r="DH1" s="146"/>
      <c r="DI1" s="146"/>
      <c r="DJ1" s="146"/>
      <c r="DK1" s="146"/>
      <c r="DL1" s="146"/>
      <c r="DM1" s="146"/>
      <c r="DN1" s="146"/>
      <c r="DO1" s="146"/>
      <c r="DP1" s="146"/>
      <c r="DQ1" s="146"/>
      <c r="DR1" s="146"/>
      <c r="DS1" s="146"/>
      <c r="DT1" s="146"/>
      <c r="DU1" s="146"/>
      <c r="DV1" s="146"/>
      <c r="DW1" s="146"/>
      <c r="DX1" s="146"/>
      <c r="DY1" s="146"/>
      <c r="DZ1" s="146"/>
      <c r="EA1" s="147"/>
      <c r="EB1" s="148" t="s">
        <v>4</v>
      </c>
      <c r="EC1" s="148"/>
      <c r="ED1" s="148"/>
      <c r="EE1" s="148"/>
      <c r="EF1" s="148"/>
      <c r="EG1" s="148"/>
      <c r="EH1" s="148"/>
      <c r="EI1" s="148"/>
      <c r="EJ1" s="148"/>
      <c r="EK1" s="148"/>
      <c r="EL1" s="148"/>
      <c r="EM1" s="148"/>
      <c r="EN1" s="148"/>
      <c r="EO1" s="148"/>
      <c r="EP1" s="148"/>
    </row>
    <row r="2" spans="1:146" ht="35.25" customHeight="1" x14ac:dyDescent="0.25">
      <c r="A2" s="149" t="s">
        <v>123</v>
      </c>
      <c r="B2" s="149" t="s">
        <v>124</v>
      </c>
      <c r="C2" s="131" t="s">
        <v>120</v>
      </c>
      <c r="D2" s="149" t="s">
        <v>125</v>
      </c>
      <c r="E2" s="129" t="s">
        <v>5</v>
      </c>
      <c r="F2" s="129" t="s">
        <v>6</v>
      </c>
      <c r="G2" s="129" t="s">
        <v>122</v>
      </c>
      <c r="H2" s="129" t="s">
        <v>121</v>
      </c>
      <c r="I2" s="151" t="s">
        <v>110</v>
      </c>
      <c r="J2" s="152"/>
      <c r="K2" s="153" t="s">
        <v>111</v>
      </c>
      <c r="L2" s="154"/>
      <c r="M2" s="129" t="s">
        <v>126</v>
      </c>
      <c r="N2" s="131" t="s">
        <v>11</v>
      </c>
      <c r="O2" s="131" t="s">
        <v>12</v>
      </c>
      <c r="P2" s="131" t="s">
        <v>112</v>
      </c>
      <c r="Q2" s="114" t="s">
        <v>13</v>
      </c>
      <c r="R2" s="114"/>
      <c r="S2" s="114"/>
      <c r="T2" s="114"/>
      <c r="U2" s="114"/>
      <c r="V2" s="114"/>
      <c r="W2" s="114"/>
      <c r="X2" s="108" t="s">
        <v>14</v>
      </c>
      <c r="Y2" s="108"/>
      <c r="Z2" s="108"/>
      <c r="AA2" s="108"/>
      <c r="AB2" s="150" t="s">
        <v>15</v>
      </c>
      <c r="AC2" s="150"/>
      <c r="AD2" s="150"/>
      <c r="AE2" s="150"/>
      <c r="AF2" s="150"/>
      <c r="AG2" s="150"/>
      <c r="AH2" s="150"/>
      <c r="AI2" s="150"/>
      <c r="AJ2" s="150"/>
      <c r="AK2" s="110" t="s">
        <v>16</v>
      </c>
      <c r="AL2" s="110"/>
      <c r="AM2" s="110"/>
      <c r="AN2" s="110"/>
      <c r="AO2" s="110"/>
      <c r="AP2" s="110"/>
      <c r="AQ2" s="111" t="s">
        <v>17</v>
      </c>
      <c r="AR2" s="111"/>
      <c r="AS2" s="111"/>
      <c r="AT2" s="111"/>
      <c r="AU2" s="111"/>
      <c r="AV2" s="111"/>
      <c r="AW2" s="111"/>
      <c r="AX2" s="111"/>
      <c r="AY2" s="111"/>
      <c r="AZ2" s="111"/>
      <c r="BA2" s="111"/>
      <c r="BB2" s="111"/>
      <c r="BC2" s="111"/>
      <c r="BD2" s="111"/>
      <c r="BE2" s="111"/>
      <c r="BF2" s="111"/>
      <c r="BG2" s="111"/>
      <c r="BH2" s="111"/>
      <c r="BI2" s="111"/>
      <c r="BJ2" s="111"/>
      <c r="BK2" s="111"/>
      <c r="BL2" s="111"/>
      <c r="BM2" s="111"/>
      <c r="BN2" s="112" t="s">
        <v>18</v>
      </c>
      <c r="BO2" s="112"/>
      <c r="BP2" s="112"/>
      <c r="BQ2" s="112"/>
      <c r="BR2" s="112"/>
      <c r="BS2" s="112"/>
      <c r="BT2" s="112"/>
      <c r="BU2" s="112"/>
      <c r="BV2" s="112"/>
      <c r="BW2" s="112"/>
      <c r="BX2" s="112"/>
      <c r="BY2" s="112"/>
      <c r="BZ2" s="112"/>
      <c r="CA2" s="112"/>
      <c r="CB2" s="112"/>
      <c r="CC2" s="112"/>
      <c r="CD2" s="112"/>
      <c r="CE2" s="112"/>
      <c r="CF2" s="113" t="s">
        <v>19</v>
      </c>
      <c r="CG2" s="113"/>
      <c r="CH2" s="113"/>
      <c r="CI2" s="114" t="s">
        <v>20</v>
      </c>
      <c r="CJ2" s="114"/>
      <c r="CK2" s="114"/>
      <c r="CL2" s="114"/>
      <c r="CM2" s="114"/>
      <c r="CN2" s="114"/>
      <c r="CO2" s="114"/>
      <c r="CP2" s="142"/>
      <c r="CQ2" s="143"/>
      <c r="CR2" s="143"/>
      <c r="CS2" s="143"/>
      <c r="CT2" s="143"/>
      <c r="CU2" s="143"/>
      <c r="CV2" s="143"/>
      <c r="CW2" s="144"/>
      <c r="CX2" s="115" t="s">
        <v>21</v>
      </c>
      <c r="CY2" s="117" t="s">
        <v>22</v>
      </c>
      <c r="CZ2" s="118"/>
      <c r="DA2" s="118"/>
      <c r="DB2" s="118"/>
      <c r="DC2" s="118"/>
      <c r="DD2" s="119"/>
      <c r="DE2" s="107" t="s">
        <v>23</v>
      </c>
      <c r="DF2" s="107"/>
      <c r="DG2" s="107"/>
      <c r="DH2" s="107"/>
      <c r="DI2" s="107"/>
      <c r="DJ2" s="107"/>
      <c r="DK2" s="107"/>
      <c r="DL2" s="107"/>
      <c r="DM2" s="107"/>
      <c r="DN2" s="107"/>
      <c r="DO2" s="107"/>
      <c r="DP2" s="120" t="s">
        <v>24</v>
      </c>
      <c r="DQ2" s="121"/>
      <c r="DR2" s="121"/>
      <c r="DS2" s="121"/>
      <c r="DT2" s="121"/>
      <c r="DU2" s="121"/>
      <c r="DV2" s="121"/>
      <c r="DW2" s="121"/>
      <c r="DX2" s="121"/>
      <c r="DY2" s="121"/>
      <c r="DZ2" s="121"/>
      <c r="EA2" s="122"/>
      <c r="EB2" s="1"/>
      <c r="EC2" s="1"/>
      <c r="ED2" s="1"/>
      <c r="EE2" s="1"/>
      <c r="EF2" s="123" t="s">
        <v>25</v>
      </c>
      <c r="EG2" s="124"/>
      <c r="EH2" s="124"/>
      <c r="EI2" s="125"/>
      <c r="EJ2" s="126" t="s">
        <v>26</v>
      </c>
      <c r="EK2" s="127"/>
      <c r="EL2" s="127"/>
      <c r="EM2" s="127"/>
      <c r="EN2" s="128"/>
      <c r="EO2" s="109" t="s">
        <v>106</v>
      </c>
      <c r="EP2" s="109"/>
    </row>
    <row r="3" spans="1:146" ht="90" x14ac:dyDescent="0.25">
      <c r="A3" s="132"/>
      <c r="B3" s="132"/>
      <c r="C3" s="132"/>
      <c r="D3" s="132"/>
      <c r="E3" s="130"/>
      <c r="F3" s="130"/>
      <c r="G3" s="130"/>
      <c r="H3" s="130"/>
      <c r="I3" s="2" t="s">
        <v>8</v>
      </c>
      <c r="J3" s="2" t="s">
        <v>7</v>
      </c>
      <c r="K3" s="3" t="s">
        <v>9</v>
      </c>
      <c r="L3" s="2" t="s">
        <v>10</v>
      </c>
      <c r="M3" s="130"/>
      <c r="N3" s="132"/>
      <c r="O3" s="132"/>
      <c r="P3" s="132"/>
      <c r="Q3" s="4" t="s">
        <v>27</v>
      </c>
      <c r="R3" s="4" t="s">
        <v>28</v>
      </c>
      <c r="S3" s="4" t="s">
        <v>113</v>
      </c>
      <c r="T3" s="4" t="s">
        <v>30</v>
      </c>
      <c r="U3" s="4" t="s">
        <v>31</v>
      </c>
      <c r="V3" s="4" t="s">
        <v>32</v>
      </c>
      <c r="W3" s="4" t="s">
        <v>33</v>
      </c>
      <c r="X3" s="5" t="s">
        <v>34</v>
      </c>
      <c r="Y3" s="5" t="s">
        <v>35</v>
      </c>
      <c r="Z3" s="5" t="s">
        <v>36</v>
      </c>
      <c r="AA3" s="6" t="s">
        <v>37</v>
      </c>
      <c r="AB3" s="7" t="s">
        <v>38</v>
      </c>
      <c r="AC3" s="8" t="s">
        <v>39</v>
      </c>
      <c r="AD3" s="8" t="s">
        <v>34</v>
      </c>
      <c r="AE3" s="8" t="s">
        <v>35</v>
      </c>
      <c r="AF3" s="8" t="s">
        <v>36</v>
      </c>
      <c r="AG3" s="8" t="s">
        <v>40</v>
      </c>
      <c r="AH3" s="7" t="s">
        <v>41</v>
      </c>
      <c r="AI3" s="7" t="s">
        <v>114</v>
      </c>
      <c r="AJ3" s="7" t="s">
        <v>43</v>
      </c>
      <c r="AK3" s="9" t="s">
        <v>39</v>
      </c>
      <c r="AL3" s="9" t="s">
        <v>44</v>
      </c>
      <c r="AM3" s="9" t="s">
        <v>42</v>
      </c>
      <c r="AN3" s="9" t="s">
        <v>45</v>
      </c>
      <c r="AO3" s="9" t="s">
        <v>30</v>
      </c>
      <c r="AP3" s="9" t="s">
        <v>31</v>
      </c>
      <c r="AQ3" s="10" t="s">
        <v>46</v>
      </c>
      <c r="AR3" s="10" t="s">
        <v>47</v>
      </c>
      <c r="AS3" s="10" t="s">
        <v>48</v>
      </c>
      <c r="AT3" s="10" t="s">
        <v>49</v>
      </c>
      <c r="AU3" s="10" t="s">
        <v>50</v>
      </c>
      <c r="AV3" s="10" t="s">
        <v>115</v>
      </c>
      <c r="AW3" s="10" t="s">
        <v>51</v>
      </c>
      <c r="AX3" s="10" t="s">
        <v>116</v>
      </c>
      <c r="AY3" s="10" t="s">
        <v>117</v>
      </c>
      <c r="AZ3" s="10" t="s">
        <v>52</v>
      </c>
      <c r="BA3" s="10" t="s">
        <v>53</v>
      </c>
      <c r="BB3" s="10" t="s">
        <v>54</v>
      </c>
      <c r="BC3" s="10" t="s">
        <v>30</v>
      </c>
      <c r="BD3" s="11" t="s">
        <v>31</v>
      </c>
      <c r="BE3" s="11" t="s">
        <v>55</v>
      </c>
      <c r="BF3" s="11" t="s">
        <v>56</v>
      </c>
      <c r="BG3" s="11" t="s">
        <v>57</v>
      </c>
      <c r="BH3" s="11" t="s">
        <v>58</v>
      </c>
      <c r="BI3" s="11" t="s">
        <v>59</v>
      </c>
      <c r="BJ3" s="11" t="s">
        <v>32</v>
      </c>
      <c r="BK3" s="11" t="s">
        <v>33</v>
      </c>
      <c r="BL3" s="11" t="s">
        <v>60</v>
      </c>
      <c r="BM3" s="11" t="s">
        <v>61</v>
      </c>
      <c r="BN3" s="12" t="s">
        <v>48</v>
      </c>
      <c r="BO3" s="12" t="s">
        <v>27</v>
      </c>
      <c r="BP3" s="12" t="s">
        <v>115</v>
      </c>
      <c r="BQ3" s="12" t="s">
        <v>51</v>
      </c>
      <c r="BR3" s="12" t="s">
        <v>116</v>
      </c>
      <c r="BS3" s="12" t="s">
        <v>117</v>
      </c>
      <c r="BT3" s="12" t="s">
        <v>53</v>
      </c>
      <c r="BU3" s="12" t="s">
        <v>54</v>
      </c>
      <c r="BV3" s="12" t="s">
        <v>30</v>
      </c>
      <c r="BW3" s="13" t="s">
        <v>31</v>
      </c>
      <c r="BX3" s="13" t="s">
        <v>55</v>
      </c>
      <c r="BY3" s="14" t="s">
        <v>56</v>
      </c>
      <c r="BZ3" s="13" t="s">
        <v>57</v>
      </c>
      <c r="CA3" s="13" t="s">
        <v>58</v>
      </c>
      <c r="CB3" s="13" t="s">
        <v>59</v>
      </c>
      <c r="CC3" s="13" t="s">
        <v>32</v>
      </c>
      <c r="CD3" s="13" t="s">
        <v>33</v>
      </c>
      <c r="CE3" s="13" t="s">
        <v>60</v>
      </c>
      <c r="CF3" s="15" t="s">
        <v>62</v>
      </c>
      <c r="CG3" s="16" t="s">
        <v>31</v>
      </c>
      <c r="CH3" s="16" t="s">
        <v>33</v>
      </c>
      <c r="CI3" s="4" t="s">
        <v>27</v>
      </c>
      <c r="CJ3" s="4" t="s">
        <v>28</v>
      </c>
      <c r="CK3" s="4" t="s">
        <v>29</v>
      </c>
      <c r="CL3" s="4" t="s">
        <v>30</v>
      </c>
      <c r="CM3" s="17" t="s">
        <v>31</v>
      </c>
      <c r="CN3" s="17" t="s">
        <v>32</v>
      </c>
      <c r="CO3" s="17" t="s">
        <v>33</v>
      </c>
      <c r="CP3" s="18" t="s">
        <v>63</v>
      </c>
      <c r="CQ3" s="18" t="s">
        <v>64</v>
      </c>
      <c r="CR3" s="19" t="s">
        <v>65</v>
      </c>
      <c r="CS3" s="20" t="s">
        <v>66</v>
      </c>
      <c r="CT3" s="20" t="s">
        <v>67</v>
      </c>
      <c r="CU3" s="20" t="s">
        <v>68</v>
      </c>
      <c r="CV3" s="20" t="s">
        <v>69</v>
      </c>
      <c r="CW3" s="20" t="s">
        <v>70</v>
      </c>
      <c r="CX3" s="116"/>
      <c r="CY3" s="21" t="s">
        <v>71</v>
      </c>
      <c r="CZ3" s="21" t="s">
        <v>72</v>
      </c>
      <c r="DA3" s="21" t="s">
        <v>73</v>
      </c>
      <c r="DB3" s="21" t="s">
        <v>74</v>
      </c>
      <c r="DC3" s="21" t="s">
        <v>75</v>
      </c>
      <c r="DD3" s="21" t="s">
        <v>76</v>
      </c>
      <c r="DE3" s="22" t="s">
        <v>77</v>
      </c>
      <c r="DF3" s="22" t="s">
        <v>78</v>
      </c>
      <c r="DG3" s="22" t="s">
        <v>79</v>
      </c>
      <c r="DH3" s="22" t="s">
        <v>80</v>
      </c>
      <c r="DI3" s="22" t="s">
        <v>81</v>
      </c>
      <c r="DJ3" s="22" t="s">
        <v>82</v>
      </c>
      <c r="DK3" s="22" t="s">
        <v>83</v>
      </c>
      <c r="DL3" s="22" t="s">
        <v>84</v>
      </c>
      <c r="DM3" s="22" t="s">
        <v>85</v>
      </c>
      <c r="DN3" s="22" t="s">
        <v>86</v>
      </c>
      <c r="DO3" s="23" t="s">
        <v>118</v>
      </c>
      <c r="DP3" s="3" t="s">
        <v>87</v>
      </c>
      <c r="DQ3" s="2" t="s">
        <v>88</v>
      </c>
      <c r="DR3" s="2" t="s">
        <v>89</v>
      </c>
      <c r="DS3" s="2" t="s">
        <v>90</v>
      </c>
      <c r="DT3" s="2" t="s">
        <v>91</v>
      </c>
      <c r="DU3" s="2" t="s">
        <v>92</v>
      </c>
      <c r="DV3" s="2" t="s">
        <v>93</v>
      </c>
      <c r="DW3" s="2" t="s">
        <v>96</v>
      </c>
      <c r="DX3" s="2" t="s">
        <v>97</v>
      </c>
      <c r="DY3" s="2" t="s">
        <v>94</v>
      </c>
      <c r="DZ3" s="2" t="s">
        <v>95</v>
      </c>
      <c r="EA3" s="2" t="s">
        <v>98</v>
      </c>
      <c r="EB3" s="24" t="s">
        <v>99</v>
      </c>
      <c r="EC3" s="25" t="s">
        <v>100</v>
      </c>
      <c r="ED3" s="25" t="s">
        <v>101</v>
      </c>
      <c r="EE3" s="26" t="s">
        <v>102</v>
      </c>
      <c r="EF3" s="27" t="s">
        <v>130</v>
      </c>
      <c r="EG3" s="27" t="s">
        <v>129</v>
      </c>
      <c r="EH3" s="27" t="s">
        <v>103</v>
      </c>
      <c r="EI3" s="27" t="s">
        <v>128</v>
      </c>
      <c r="EJ3" s="10" t="s">
        <v>119</v>
      </c>
      <c r="EK3" s="10" t="s">
        <v>104</v>
      </c>
      <c r="EL3" s="10" t="s">
        <v>105</v>
      </c>
      <c r="EM3" s="10" t="s">
        <v>107</v>
      </c>
      <c r="EN3" s="10" t="s">
        <v>108</v>
      </c>
      <c r="EO3" s="25" t="s">
        <v>127</v>
      </c>
      <c r="EP3" s="26" t="s">
        <v>109</v>
      </c>
    </row>
    <row r="4" spans="1:146" s="30" customFormat="1" ht="245.25" customHeight="1" x14ac:dyDescent="0.25">
      <c r="A4" s="28" t="s">
        <v>131</v>
      </c>
      <c r="B4" s="28" t="s">
        <v>132</v>
      </c>
      <c r="C4" s="28" t="s">
        <v>133</v>
      </c>
      <c r="D4" s="28" t="s">
        <v>134</v>
      </c>
      <c r="E4" s="28" t="s">
        <v>255</v>
      </c>
      <c r="F4" s="28" t="s">
        <v>135</v>
      </c>
      <c r="G4" s="28" t="s">
        <v>136</v>
      </c>
      <c r="H4" s="28" t="s">
        <v>137</v>
      </c>
      <c r="I4" s="28" t="s">
        <v>138</v>
      </c>
      <c r="J4" s="28" t="s">
        <v>139</v>
      </c>
      <c r="K4" s="28" t="s">
        <v>140</v>
      </c>
      <c r="L4" s="28" t="s">
        <v>141</v>
      </c>
      <c r="M4" s="28" t="s">
        <v>142</v>
      </c>
      <c r="N4" s="28" t="s">
        <v>143</v>
      </c>
      <c r="O4" s="28" t="s">
        <v>144</v>
      </c>
      <c r="P4" s="28" t="s">
        <v>145</v>
      </c>
      <c r="Q4" s="28" t="s">
        <v>146</v>
      </c>
      <c r="R4" s="28" t="s">
        <v>147</v>
      </c>
      <c r="S4" s="28" t="s">
        <v>148</v>
      </c>
      <c r="T4" s="28" t="s">
        <v>149</v>
      </c>
      <c r="U4" s="28" t="s">
        <v>150</v>
      </c>
      <c r="V4" s="28" t="s">
        <v>151</v>
      </c>
      <c r="W4" s="29" t="s">
        <v>152</v>
      </c>
      <c r="X4" s="28" t="s">
        <v>153</v>
      </c>
      <c r="Y4" s="28" t="s">
        <v>154</v>
      </c>
      <c r="Z4" s="28" t="s">
        <v>155</v>
      </c>
      <c r="AA4" s="28" t="s">
        <v>156</v>
      </c>
      <c r="AB4" s="28" t="s">
        <v>157</v>
      </c>
      <c r="AC4" s="28" t="s">
        <v>158</v>
      </c>
      <c r="AD4" s="28" t="s">
        <v>159</v>
      </c>
      <c r="AE4" s="28" t="s">
        <v>160</v>
      </c>
      <c r="AF4" s="28" t="s">
        <v>161</v>
      </c>
      <c r="AG4" s="28" t="s">
        <v>162</v>
      </c>
      <c r="AH4" s="28" t="s">
        <v>163</v>
      </c>
      <c r="AI4" s="28" t="s">
        <v>164</v>
      </c>
      <c r="AJ4" s="28" t="s">
        <v>165</v>
      </c>
      <c r="AK4" s="28" t="s">
        <v>166</v>
      </c>
      <c r="AL4" s="28" t="s">
        <v>167</v>
      </c>
      <c r="AM4" s="28" t="s">
        <v>168</v>
      </c>
      <c r="AN4" s="28" t="s">
        <v>169</v>
      </c>
      <c r="AO4" s="28" t="s">
        <v>170</v>
      </c>
      <c r="AP4" s="28" t="s">
        <v>170</v>
      </c>
      <c r="AQ4" s="28" t="s">
        <v>171</v>
      </c>
      <c r="AR4" s="28" t="s">
        <v>172</v>
      </c>
      <c r="AS4" s="28" t="s">
        <v>173</v>
      </c>
      <c r="AT4" s="28" t="s">
        <v>174</v>
      </c>
      <c r="AU4" s="28" t="s">
        <v>175</v>
      </c>
      <c r="AV4" s="28" t="s">
        <v>176</v>
      </c>
      <c r="AW4" s="28" t="s">
        <v>177</v>
      </c>
      <c r="AX4" s="28" t="s">
        <v>178</v>
      </c>
      <c r="AY4" s="28" t="s">
        <v>179</v>
      </c>
      <c r="AZ4" s="28" t="s">
        <v>180</v>
      </c>
      <c r="BA4" s="28" t="s">
        <v>181</v>
      </c>
      <c r="BB4" s="28" t="s">
        <v>182</v>
      </c>
      <c r="BC4" s="28" t="s">
        <v>183</v>
      </c>
      <c r="BD4" s="28" t="s">
        <v>184</v>
      </c>
      <c r="BE4" s="28" t="s">
        <v>185</v>
      </c>
      <c r="BF4" s="28" t="s">
        <v>186</v>
      </c>
      <c r="BG4" s="28" t="s">
        <v>187</v>
      </c>
      <c r="BH4" s="28" t="s">
        <v>188</v>
      </c>
      <c r="BI4" s="28" t="s">
        <v>189</v>
      </c>
      <c r="BJ4" s="28" t="s">
        <v>190</v>
      </c>
      <c r="BK4" s="29" t="s">
        <v>152</v>
      </c>
      <c r="BL4" s="28" t="s">
        <v>191</v>
      </c>
      <c r="BM4" s="28" t="s">
        <v>192</v>
      </c>
      <c r="BN4" s="28" t="s">
        <v>174</v>
      </c>
      <c r="BO4" s="28" t="s">
        <v>175</v>
      </c>
      <c r="BP4" s="28" t="s">
        <v>176</v>
      </c>
      <c r="BQ4" s="28" t="s">
        <v>177</v>
      </c>
      <c r="BR4" s="28" t="s">
        <v>178</v>
      </c>
      <c r="BS4" s="28" t="s">
        <v>179</v>
      </c>
      <c r="BT4" s="28" t="s">
        <v>181</v>
      </c>
      <c r="BU4" s="28" t="s">
        <v>182</v>
      </c>
      <c r="BV4" s="28" t="s">
        <v>193</v>
      </c>
      <c r="BW4" s="28" t="s">
        <v>194</v>
      </c>
      <c r="BX4" s="28" t="s">
        <v>185</v>
      </c>
      <c r="BY4" s="28" t="s">
        <v>186</v>
      </c>
      <c r="BZ4" s="28" t="s">
        <v>187</v>
      </c>
      <c r="CA4" s="28" t="s">
        <v>195</v>
      </c>
      <c r="CB4" s="28" t="s">
        <v>196</v>
      </c>
      <c r="CC4" s="28" t="s">
        <v>197</v>
      </c>
      <c r="CD4" s="29" t="s">
        <v>152</v>
      </c>
      <c r="CE4" s="28" t="s">
        <v>198</v>
      </c>
      <c r="CF4" s="28" t="s">
        <v>199</v>
      </c>
      <c r="CG4" s="28" t="s">
        <v>200</v>
      </c>
      <c r="CH4" s="29" t="s">
        <v>152</v>
      </c>
      <c r="CI4" s="28" t="s">
        <v>201</v>
      </c>
      <c r="CJ4" s="28" t="s">
        <v>202</v>
      </c>
      <c r="CK4" s="28" t="s">
        <v>203</v>
      </c>
      <c r="CL4" s="28" t="s">
        <v>204</v>
      </c>
      <c r="CM4" s="28" t="s">
        <v>205</v>
      </c>
      <c r="CN4" s="28" t="s">
        <v>206</v>
      </c>
      <c r="CO4" s="29" t="s">
        <v>152</v>
      </c>
      <c r="CP4" s="29" t="s">
        <v>207</v>
      </c>
      <c r="CQ4" s="29" t="s">
        <v>208</v>
      </c>
      <c r="CR4" s="29" t="s">
        <v>209</v>
      </c>
      <c r="CS4" s="29" t="s">
        <v>210</v>
      </c>
      <c r="CT4" s="29" t="s">
        <v>211</v>
      </c>
      <c r="CU4" s="28" t="s">
        <v>212</v>
      </c>
      <c r="CV4" s="29" t="s">
        <v>213</v>
      </c>
      <c r="CW4" s="29" t="s">
        <v>214</v>
      </c>
      <c r="CX4" s="29" t="s">
        <v>215</v>
      </c>
      <c r="CY4" s="29" t="s">
        <v>216</v>
      </c>
      <c r="CZ4" s="29" t="s">
        <v>216</v>
      </c>
      <c r="DA4" s="29" t="s">
        <v>216</v>
      </c>
      <c r="DB4" s="29" t="s">
        <v>216</v>
      </c>
      <c r="DC4" s="29" t="s">
        <v>216</v>
      </c>
      <c r="DD4" s="29" t="s">
        <v>216</v>
      </c>
      <c r="DE4" s="29" t="s">
        <v>251</v>
      </c>
      <c r="DF4" s="29" t="s">
        <v>252</v>
      </c>
      <c r="DG4" s="29" t="s">
        <v>253</v>
      </c>
      <c r="DH4" s="29" t="s">
        <v>254</v>
      </c>
      <c r="DI4" s="29" t="s">
        <v>217</v>
      </c>
      <c r="DJ4" s="29" t="s">
        <v>218</v>
      </c>
      <c r="DK4" s="29" t="s">
        <v>219</v>
      </c>
      <c r="DL4" s="29" t="s">
        <v>220</v>
      </c>
      <c r="DM4" s="29" t="s">
        <v>221</v>
      </c>
      <c r="DN4" s="29" t="s">
        <v>222</v>
      </c>
      <c r="DO4" s="29" t="s">
        <v>223</v>
      </c>
      <c r="DP4" s="29" t="s">
        <v>224</v>
      </c>
      <c r="DQ4" s="29" t="s">
        <v>225</v>
      </c>
      <c r="DR4" s="29" t="s">
        <v>226</v>
      </c>
      <c r="DS4" s="29" t="s">
        <v>227</v>
      </c>
      <c r="DT4" s="29" t="s">
        <v>228</v>
      </c>
      <c r="DU4" s="29" t="s">
        <v>229</v>
      </c>
      <c r="DV4" s="29" t="s">
        <v>230</v>
      </c>
      <c r="DW4" s="29" t="s">
        <v>231</v>
      </c>
      <c r="DX4" s="29" t="s">
        <v>232</v>
      </c>
      <c r="DY4" s="29" t="s">
        <v>233</v>
      </c>
      <c r="DZ4" s="29" t="s">
        <v>234</v>
      </c>
      <c r="EA4" s="29" t="s">
        <v>235</v>
      </c>
      <c r="EB4" s="29" t="s">
        <v>236</v>
      </c>
      <c r="EC4" s="29" t="s">
        <v>237</v>
      </c>
      <c r="ED4" s="29" t="s">
        <v>238</v>
      </c>
      <c r="EE4" s="29" t="s">
        <v>239</v>
      </c>
      <c r="EF4" s="29" t="s">
        <v>240</v>
      </c>
      <c r="EG4" s="28" t="s">
        <v>241</v>
      </c>
      <c r="EH4" s="28" t="s">
        <v>242</v>
      </c>
      <c r="EI4" s="29" t="s">
        <v>243</v>
      </c>
      <c r="EJ4" s="29" t="s">
        <v>244</v>
      </c>
      <c r="EK4" s="29" t="s">
        <v>245</v>
      </c>
      <c r="EL4" s="29" t="s">
        <v>246</v>
      </c>
      <c r="EM4" s="29" t="s">
        <v>247</v>
      </c>
      <c r="EN4" s="29" t="s">
        <v>248</v>
      </c>
      <c r="EO4" s="28" t="s">
        <v>249</v>
      </c>
      <c r="EP4" s="28" t="s">
        <v>250</v>
      </c>
    </row>
    <row r="5" spans="1:146" s="31" customFormat="1" x14ac:dyDescent="0.25">
      <c r="N5" s="32" t="s">
        <v>256</v>
      </c>
    </row>
    <row r="6" spans="1:146" s="31" customFormat="1" x14ac:dyDescent="0.25">
      <c r="N6" s="31" t="s">
        <v>257</v>
      </c>
    </row>
    <row r="7" spans="1:146" s="31" customFormat="1" x14ac:dyDescent="0.25">
      <c r="N7" s="31" t="s">
        <v>258</v>
      </c>
    </row>
    <row r="8" spans="1:146" s="31" customFormat="1" x14ac:dyDescent="0.25">
      <c r="N8" s="31" t="s">
        <v>259</v>
      </c>
    </row>
    <row r="9" spans="1:146" s="31" customFormat="1" x14ac:dyDescent="0.25">
      <c r="N9" s="31" t="s">
        <v>260</v>
      </c>
    </row>
    <row r="10" spans="1:146" s="31" customFormat="1" x14ac:dyDescent="0.25">
      <c r="N10" s="31" t="s">
        <v>261</v>
      </c>
    </row>
    <row r="11" spans="1:146" s="31" customFormat="1" x14ac:dyDescent="0.25">
      <c r="N11" s="31" t="s">
        <v>262</v>
      </c>
    </row>
    <row r="12" spans="1:146" s="31" customFormat="1" x14ac:dyDescent="0.25">
      <c r="N12" s="31" t="s">
        <v>263</v>
      </c>
    </row>
    <row r="13" spans="1:146" s="31" customFormat="1" x14ac:dyDescent="0.25">
      <c r="N13" s="31" t="s">
        <v>264</v>
      </c>
    </row>
    <row r="14" spans="1:146" s="31" customFormat="1" x14ac:dyDescent="0.25">
      <c r="N14" s="31" t="s">
        <v>265</v>
      </c>
    </row>
    <row r="15" spans="1:146" s="31" customFormat="1" x14ac:dyDescent="0.25">
      <c r="N15" s="31" t="s">
        <v>266</v>
      </c>
    </row>
    <row r="16" spans="1:146" s="31" customFormat="1" x14ac:dyDescent="0.25">
      <c r="N16" s="31" t="s">
        <v>267</v>
      </c>
    </row>
    <row r="17" spans="14:14" x14ac:dyDescent="0.25">
      <c r="N17" s="31" t="s">
        <v>268</v>
      </c>
    </row>
  </sheetData>
  <mergeCells count="34">
    <mergeCell ref="A1:P1"/>
    <mergeCell ref="Q1:CO1"/>
    <mergeCell ref="CP1:CW2"/>
    <mergeCell ref="CX1:EA1"/>
    <mergeCell ref="EB1:EP1"/>
    <mergeCell ref="A2:A3"/>
    <mergeCell ref="B2:B3"/>
    <mergeCell ref="C2:C3"/>
    <mergeCell ref="D2:D3"/>
    <mergeCell ref="E2:E3"/>
    <mergeCell ref="AB2:AJ2"/>
    <mergeCell ref="F2:F3"/>
    <mergeCell ref="G2:G3"/>
    <mergeCell ref="H2:H3"/>
    <mergeCell ref="I2:J2"/>
    <mergeCell ref="K2:L2"/>
    <mergeCell ref="M2:M3"/>
    <mergeCell ref="N2:N3"/>
    <mergeCell ref="O2:O3"/>
    <mergeCell ref="P2:P3"/>
    <mergeCell ref="Q2:W2"/>
    <mergeCell ref="X2:AA2"/>
    <mergeCell ref="EO2:EP2"/>
    <mergeCell ref="AK2:AP2"/>
    <mergeCell ref="AQ2:BM2"/>
    <mergeCell ref="BN2:CE2"/>
    <mergeCell ref="CF2:CH2"/>
    <mergeCell ref="CI2:CO2"/>
    <mergeCell ref="CX2:CX3"/>
    <mergeCell ref="CY2:DD2"/>
    <mergeCell ref="DE2:DO2"/>
    <mergeCell ref="DP2:EA2"/>
    <mergeCell ref="EF2:EI2"/>
    <mergeCell ref="EJ2:EN2"/>
  </mergeCells>
  <dataValidations count="2">
    <dataValidation type="list" allowBlank="1" sqref="B3" xr:uid="{ACD79C73-1AC5-4E5C-B174-8735C17FE353}">
      <formula1>INDIRECT($A3)</formula1>
    </dataValidation>
    <dataValidation type="list" allowBlank="1" sqref="A3" xr:uid="{98342A4A-F89C-4892-AD3E-F681FF714121}">
      <formula1>"Stt5_Xeôtô,Stt6_Phươngtiệnvậntảikhác,Stt7_Máymócthiếtbị,Stt9_Tàisảncốđịnhhữuhìnhkhác,Stt10_Quyềnsửdụngđất,Stt8_Câylâunămsúcvậtlàmviệc,Stt4_Vậtkiếntrúc,Stt3_Nhàcôngtrìnhxâydựng"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4"/>
  <sheetViews>
    <sheetView workbookViewId="0"/>
  </sheetViews>
  <sheetFormatPr defaultRowHeight="15" x14ac:dyDescent="0.25"/>
  <sheetData>
    <row r="1" spans="1:5" x14ac:dyDescent="0.25">
      <c r="A1" t="s">
        <v>270</v>
      </c>
      <c r="B1" t="s">
        <v>271</v>
      </c>
      <c r="C1" t="s">
        <v>272</v>
      </c>
      <c r="D1" t="s">
        <v>272</v>
      </c>
      <c r="E1" t="s">
        <v>272</v>
      </c>
    </row>
    <row r="3" spans="1:5" x14ac:dyDescent="0.25">
      <c r="A3" t="s">
        <v>273</v>
      </c>
      <c r="B3" t="s">
        <v>271</v>
      </c>
      <c r="C3" t="s">
        <v>272</v>
      </c>
      <c r="D3" t="s">
        <v>272</v>
      </c>
      <c r="E3" t="s">
        <v>272</v>
      </c>
    </row>
    <row r="5" spans="1:5" x14ac:dyDescent="0.25">
      <c r="A5" t="s">
        <v>274</v>
      </c>
      <c r="B5" t="s">
        <v>271</v>
      </c>
      <c r="C5" t="s">
        <v>272</v>
      </c>
      <c r="D5" t="s">
        <v>272</v>
      </c>
      <c r="E5" t="s">
        <v>272</v>
      </c>
    </row>
    <row r="6" spans="1:5" x14ac:dyDescent="0.25">
      <c r="A6" t="s">
        <v>275</v>
      </c>
      <c r="B6" t="s">
        <v>276</v>
      </c>
      <c r="C6" t="s">
        <v>272</v>
      </c>
      <c r="D6" t="s">
        <v>277</v>
      </c>
      <c r="E6" t="s">
        <v>278</v>
      </c>
    </row>
    <row r="7" spans="1:5" x14ac:dyDescent="0.25">
      <c r="A7" t="s">
        <v>279</v>
      </c>
      <c r="B7" t="s">
        <v>276</v>
      </c>
      <c r="C7" t="s">
        <v>272</v>
      </c>
      <c r="D7" t="s">
        <v>277</v>
      </c>
      <c r="E7" t="s">
        <v>278</v>
      </c>
    </row>
    <row r="8" spans="1:5" x14ac:dyDescent="0.25">
      <c r="A8" t="s">
        <v>280</v>
      </c>
      <c r="B8" t="s">
        <v>276</v>
      </c>
      <c r="C8" t="s">
        <v>272</v>
      </c>
      <c r="D8" t="s">
        <v>277</v>
      </c>
      <c r="E8" t="s">
        <v>278</v>
      </c>
    </row>
    <row r="9" spans="1:5" x14ac:dyDescent="0.25">
      <c r="A9" t="s">
        <v>281</v>
      </c>
      <c r="B9" t="s">
        <v>276</v>
      </c>
      <c r="C9" t="s">
        <v>272</v>
      </c>
      <c r="D9" t="s">
        <v>277</v>
      </c>
      <c r="E9" t="s">
        <v>278</v>
      </c>
    </row>
    <row r="10" spans="1:5" x14ac:dyDescent="0.25">
      <c r="A10" t="s">
        <v>282</v>
      </c>
      <c r="B10" t="s">
        <v>276</v>
      </c>
      <c r="C10" t="s">
        <v>272</v>
      </c>
      <c r="D10" t="s">
        <v>277</v>
      </c>
      <c r="E10" t="s">
        <v>278</v>
      </c>
    </row>
    <row r="11" spans="1:5" x14ac:dyDescent="0.25">
      <c r="A11" t="s">
        <v>283</v>
      </c>
      <c r="B11" t="s">
        <v>276</v>
      </c>
      <c r="C11" t="s">
        <v>272</v>
      </c>
      <c r="D11" t="s">
        <v>277</v>
      </c>
      <c r="E11" t="s">
        <v>278</v>
      </c>
    </row>
    <row r="12" spans="1:5" x14ac:dyDescent="0.25">
      <c r="A12" t="s">
        <v>284</v>
      </c>
      <c r="B12" t="s">
        <v>276</v>
      </c>
      <c r="C12" t="s">
        <v>272</v>
      </c>
      <c r="D12" t="s">
        <v>277</v>
      </c>
      <c r="E12" t="s">
        <v>278</v>
      </c>
    </row>
    <row r="13" spans="1:5" x14ac:dyDescent="0.25">
      <c r="A13" t="s">
        <v>285</v>
      </c>
      <c r="B13" t="s">
        <v>276</v>
      </c>
      <c r="C13" t="s">
        <v>272</v>
      </c>
      <c r="D13" t="s">
        <v>277</v>
      </c>
      <c r="E13" t="s">
        <v>278</v>
      </c>
    </row>
    <row r="14" spans="1:5" x14ac:dyDescent="0.25">
      <c r="A14" t="s">
        <v>286</v>
      </c>
      <c r="B14" t="s">
        <v>276</v>
      </c>
      <c r="C14" t="s">
        <v>272</v>
      </c>
      <c r="D14" t="s">
        <v>277</v>
      </c>
      <c r="E14" t="s">
        <v>278</v>
      </c>
    </row>
    <row r="15" spans="1:5" x14ac:dyDescent="0.25">
      <c r="A15" t="s">
        <v>287</v>
      </c>
      <c r="B15" t="s">
        <v>276</v>
      </c>
      <c r="C15" t="s">
        <v>272</v>
      </c>
      <c r="D15" t="s">
        <v>277</v>
      </c>
      <c r="E15" t="s">
        <v>278</v>
      </c>
    </row>
    <row r="16" spans="1:5" x14ac:dyDescent="0.25">
      <c r="A16" t="s">
        <v>288</v>
      </c>
      <c r="B16" t="s">
        <v>276</v>
      </c>
      <c r="C16" t="s">
        <v>272</v>
      </c>
      <c r="D16" t="s">
        <v>277</v>
      </c>
      <c r="E16" t="s">
        <v>278</v>
      </c>
    </row>
    <row r="17" spans="1:5" x14ac:dyDescent="0.25">
      <c r="A17" t="s">
        <v>289</v>
      </c>
      <c r="B17" t="s">
        <v>276</v>
      </c>
      <c r="C17" t="s">
        <v>272</v>
      </c>
      <c r="D17" t="s">
        <v>277</v>
      </c>
      <c r="E17" t="s">
        <v>278</v>
      </c>
    </row>
    <row r="18" spans="1:5" x14ac:dyDescent="0.25">
      <c r="A18" t="s">
        <v>290</v>
      </c>
      <c r="B18" t="s">
        <v>276</v>
      </c>
      <c r="C18" t="s">
        <v>272</v>
      </c>
      <c r="D18" t="s">
        <v>277</v>
      </c>
      <c r="E18" t="s">
        <v>278</v>
      </c>
    </row>
    <row r="19" spans="1:5" x14ac:dyDescent="0.25">
      <c r="A19" t="s">
        <v>291</v>
      </c>
      <c r="B19" t="s">
        <v>276</v>
      </c>
      <c r="C19" t="s">
        <v>272</v>
      </c>
      <c r="D19" t="s">
        <v>277</v>
      </c>
      <c r="E19" t="s">
        <v>278</v>
      </c>
    </row>
    <row r="20" spans="1:5" x14ac:dyDescent="0.25">
      <c r="A20" t="s">
        <v>292</v>
      </c>
      <c r="B20" t="s">
        <v>276</v>
      </c>
      <c r="C20" t="s">
        <v>272</v>
      </c>
      <c r="D20" t="s">
        <v>277</v>
      </c>
      <c r="E20" t="s">
        <v>278</v>
      </c>
    </row>
    <row r="21" spans="1:5" x14ac:dyDescent="0.25">
      <c r="A21" t="s">
        <v>293</v>
      </c>
      <c r="B21" t="s">
        <v>276</v>
      </c>
      <c r="C21" t="s">
        <v>272</v>
      </c>
      <c r="D21" t="s">
        <v>277</v>
      </c>
      <c r="E21" t="s">
        <v>278</v>
      </c>
    </row>
    <row r="22" spans="1:5" x14ac:dyDescent="0.25">
      <c r="A22" t="s">
        <v>294</v>
      </c>
      <c r="B22" t="s">
        <v>276</v>
      </c>
      <c r="C22" t="s">
        <v>272</v>
      </c>
      <c r="D22" t="s">
        <v>277</v>
      </c>
      <c r="E22" t="s">
        <v>278</v>
      </c>
    </row>
    <row r="23" spans="1:5" x14ac:dyDescent="0.25">
      <c r="A23" t="s">
        <v>295</v>
      </c>
      <c r="B23" t="s">
        <v>276</v>
      </c>
      <c r="C23" t="s">
        <v>272</v>
      </c>
      <c r="D23" t="s">
        <v>277</v>
      </c>
      <c r="E23" t="s">
        <v>278</v>
      </c>
    </row>
    <row r="24" spans="1:5" x14ac:dyDescent="0.25">
      <c r="A24" t="s">
        <v>296</v>
      </c>
      <c r="B24" t="s">
        <v>276</v>
      </c>
      <c r="C24" t="s">
        <v>272</v>
      </c>
      <c r="D24" t="s">
        <v>277</v>
      </c>
      <c r="E24" t="s">
        <v>278</v>
      </c>
    </row>
    <row r="25" spans="1:5" x14ac:dyDescent="0.25">
      <c r="A25" t="s">
        <v>297</v>
      </c>
      <c r="B25" t="s">
        <v>276</v>
      </c>
      <c r="C25" t="s">
        <v>272</v>
      </c>
      <c r="D25" t="s">
        <v>277</v>
      </c>
      <c r="E25" t="s">
        <v>278</v>
      </c>
    </row>
    <row r="26" spans="1:5" x14ac:dyDescent="0.25">
      <c r="A26" t="s">
        <v>298</v>
      </c>
      <c r="B26" t="s">
        <v>276</v>
      </c>
      <c r="C26" t="s">
        <v>272</v>
      </c>
      <c r="D26" t="s">
        <v>277</v>
      </c>
      <c r="E26" t="s">
        <v>278</v>
      </c>
    </row>
    <row r="27" spans="1:5" x14ac:dyDescent="0.25">
      <c r="A27" t="s">
        <v>299</v>
      </c>
      <c r="B27" t="s">
        <v>276</v>
      </c>
      <c r="C27" t="s">
        <v>272</v>
      </c>
      <c r="D27" t="s">
        <v>277</v>
      </c>
      <c r="E27" t="s">
        <v>278</v>
      </c>
    </row>
    <row r="28" spans="1:5" x14ac:dyDescent="0.25">
      <c r="A28" t="s">
        <v>300</v>
      </c>
      <c r="B28" t="s">
        <v>276</v>
      </c>
      <c r="C28" t="s">
        <v>272</v>
      </c>
      <c r="D28" t="s">
        <v>277</v>
      </c>
      <c r="E28" t="s">
        <v>278</v>
      </c>
    </row>
    <row r="29" spans="1:5" x14ac:dyDescent="0.25">
      <c r="A29" t="s">
        <v>301</v>
      </c>
      <c r="B29" t="s">
        <v>276</v>
      </c>
      <c r="C29" t="s">
        <v>272</v>
      </c>
      <c r="D29" t="s">
        <v>277</v>
      </c>
      <c r="E29" t="s">
        <v>278</v>
      </c>
    </row>
    <row r="30" spans="1:5" x14ac:dyDescent="0.25">
      <c r="A30" t="s">
        <v>302</v>
      </c>
      <c r="B30" t="s">
        <v>276</v>
      </c>
      <c r="C30" t="s">
        <v>272</v>
      </c>
      <c r="D30" t="s">
        <v>277</v>
      </c>
      <c r="E30" t="s">
        <v>278</v>
      </c>
    </row>
    <row r="31" spans="1:5" x14ac:dyDescent="0.25">
      <c r="A31" t="s">
        <v>303</v>
      </c>
      <c r="B31" t="s">
        <v>276</v>
      </c>
      <c r="C31" t="s">
        <v>272</v>
      </c>
      <c r="D31" t="s">
        <v>277</v>
      </c>
      <c r="E31" t="s">
        <v>278</v>
      </c>
    </row>
    <row r="32" spans="1:5" x14ac:dyDescent="0.25">
      <c r="A32" t="s">
        <v>304</v>
      </c>
      <c r="B32" t="s">
        <v>276</v>
      </c>
      <c r="C32" t="s">
        <v>272</v>
      </c>
      <c r="D32" t="s">
        <v>277</v>
      </c>
      <c r="E32" t="s">
        <v>278</v>
      </c>
    </row>
    <row r="33" spans="1:5" x14ac:dyDescent="0.25">
      <c r="A33" t="s">
        <v>305</v>
      </c>
      <c r="B33" t="s">
        <v>276</v>
      </c>
      <c r="C33" t="s">
        <v>272</v>
      </c>
      <c r="D33" t="s">
        <v>277</v>
      </c>
      <c r="E33" t="s">
        <v>278</v>
      </c>
    </row>
    <row r="34" spans="1:5" x14ac:dyDescent="0.25">
      <c r="A34" t="s">
        <v>306</v>
      </c>
      <c r="B34" t="s">
        <v>276</v>
      </c>
      <c r="C34" t="s">
        <v>272</v>
      </c>
      <c r="D34" t="s">
        <v>277</v>
      </c>
      <c r="E34" t="s">
        <v>278</v>
      </c>
    </row>
    <row r="35" spans="1:5" x14ac:dyDescent="0.25">
      <c r="A35" t="s">
        <v>307</v>
      </c>
      <c r="B35" t="s">
        <v>276</v>
      </c>
      <c r="C35" t="s">
        <v>272</v>
      </c>
      <c r="D35" t="s">
        <v>277</v>
      </c>
      <c r="E35" t="s">
        <v>278</v>
      </c>
    </row>
    <row r="36" spans="1:5" x14ac:dyDescent="0.25">
      <c r="A36" t="s">
        <v>308</v>
      </c>
      <c r="B36" t="s">
        <v>276</v>
      </c>
      <c r="C36" t="s">
        <v>272</v>
      </c>
      <c r="D36" t="s">
        <v>277</v>
      </c>
      <c r="E36" t="s">
        <v>278</v>
      </c>
    </row>
    <row r="37" spans="1:5" x14ac:dyDescent="0.25">
      <c r="A37" t="s">
        <v>309</v>
      </c>
      <c r="B37" t="s">
        <v>276</v>
      </c>
      <c r="C37" t="s">
        <v>272</v>
      </c>
      <c r="D37" t="s">
        <v>277</v>
      </c>
      <c r="E37" t="s">
        <v>278</v>
      </c>
    </row>
    <row r="38" spans="1:5" x14ac:dyDescent="0.25">
      <c r="A38" t="s">
        <v>310</v>
      </c>
      <c r="B38" t="s">
        <v>276</v>
      </c>
      <c r="C38" t="s">
        <v>272</v>
      </c>
      <c r="D38" t="s">
        <v>277</v>
      </c>
      <c r="E38" t="s">
        <v>278</v>
      </c>
    </row>
    <row r="39" spans="1:5" x14ac:dyDescent="0.25">
      <c r="A39" t="s">
        <v>311</v>
      </c>
      <c r="B39" t="s">
        <v>276</v>
      </c>
      <c r="C39" t="s">
        <v>272</v>
      </c>
      <c r="D39" t="s">
        <v>277</v>
      </c>
      <c r="E39" t="s">
        <v>278</v>
      </c>
    </row>
    <row r="40" spans="1:5" x14ac:dyDescent="0.25">
      <c r="A40" t="s">
        <v>312</v>
      </c>
      <c r="B40" t="s">
        <v>276</v>
      </c>
      <c r="C40" t="s">
        <v>272</v>
      </c>
      <c r="D40" t="s">
        <v>277</v>
      </c>
      <c r="E40" t="s">
        <v>278</v>
      </c>
    </row>
    <row r="41" spans="1:5" x14ac:dyDescent="0.25">
      <c r="A41" t="s">
        <v>313</v>
      </c>
      <c r="B41" t="s">
        <v>276</v>
      </c>
      <c r="C41" t="s">
        <v>272</v>
      </c>
      <c r="D41" t="s">
        <v>277</v>
      </c>
      <c r="E41" t="s">
        <v>278</v>
      </c>
    </row>
    <row r="42" spans="1:5" x14ac:dyDescent="0.25">
      <c r="A42" t="s">
        <v>314</v>
      </c>
      <c r="B42" t="s">
        <v>276</v>
      </c>
      <c r="C42" t="s">
        <v>272</v>
      </c>
      <c r="D42" t="s">
        <v>277</v>
      </c>
      <c r="E42" t="s">
        <v>278</v>
      </c>
    </row>
    <row r="43" spans="1:5" x14ac:dyDescent="0.25">
      <c r="A43" t="s">
        <v>315</v>
      </c>
      <c r="B43" t="s">
        <v>276</v>
      </c>
      <c r="C43" t="s">
        <v>272</v>
      </c>
      <c r="D43" t="s">
        <v>277</v>
      </c>
      <c r="E43" t="s">
        <v>278</v>
      </c>
    </row>
    <row r="44" spans="1:5" x14ac:dyDescent="0.25">
      <c r="A44" t="s">
        <v>316</v>
      </c>
      <c r="B44" t="s">
        <v>276</v>
      </c>
      <c r="C44" t="s">
        <v>272</v>
      </c>
      <c r="D44" t="s">
        <v>277</v>
      </c>
      <c r="E44" t="s">
        <v>278</v>
      </c>
    </row>
    <row r="45" spans="1:5" x14ac:dyDescent="0.25">
      <c r="A45" t="s">
        <v>317</v>
      </c>
      <c r="B45" t="s">
        <v>276</v>
      </c>
      <c r="C45" t="s">
        <v>272</v>
      </c>
      <c r="D45" t="s">
        <v>277</v>
      </c>
      <c r="E45" t="s">
        <v>278</v>
      </c>
    </row>
    <row r="46" spans="1:5" x14ac:dyDescent="0.25">
      <c r="A46" t="s">
        <v>318</v>
      </c>
      <c r="B46" t="s">
        <v>276</v>
      </c>
      <c r="C46" t="s">
        <v>272</v>
      </c>
      <c r="D46" t="s">
        <v>277</v>
      </c>
      <c r="E46" t="s">
        <v>278</v>
      </c>
    </row>
    <row r="47" spans="1:5" x14ac:dyDescent="0.25">
      <c r="A47" t="s">
        <v>319</v>
      </c>
      <c r="B47" t="s">
        <v>276</v>
      </c>
      <c r="C47" t="s">
        <v>272</v>
      </c>
      <c r="D47" t="s">
        <v>277</v>
      </c>
      <c r="E47" t="s">
        <v>278</v>
      </c>
    </row>
    <row r="48" spans="1:5" x14ac:dyDescent="0.25">
      <c r="A48" t="s">
        <v>320</v>
      </c>
      <c r="B48" t="s">
        <v>276</v>
      </c>
      <c r="C48" t="s">
        <v>272</v>
      </c>
      <c r="D48" t="s">
        <v>277</v>
      </c>
      <c r="E48" t="s">
        <v>278</v>
      </c>
    </row>
    <row r="49" spans="1:5" x14ac:dyDescent="0.25">
      <c r="A49" t="s">
        <v>321</v>
      </c>
      <c r="B49" t="s">
        <v>276</v>
      </c>
      <c r="C49" t="s">
        <v>272</v>
      </c>
      <c r="D49" t="s">
        <v>277</v>
      </c>
      <c r="E49" t="s">
        <v>278</v>
      </c>
    </row>
    <row r="50" spans="1:5" x14ac:dyDescent="0.25">
      <c r="A50" t="s">
        <v>322</v>
      </c>
      <c r="B50" t="s">
        <v>276</v>
      </c>
      <c r="C50" t="s">
        <v>272</v>
      </c>
      <c r="D50" t="s">
        <v>277</v>
      </c>
      <c r="E50" t="s">
        <v>278</v>
      </c>
    </row>
    <row r="51" spans="1:5" x14ac:dyDescent="0.25">
      <c r="A51" t="s">
        <v>323</v>
      </c>
      <c r="B51" t="s">
        <v>276</v>
      </c>
      <c r="C51" t="s">
        <v>272</v>
      </c>
      <c r="D51" t="s">
        <v>277</v>
      </c>
      <c r="E51" t="s">
        <v>278</v>
      </c>
    </row>
    <row r="52" spans="1:5" x14ac:dyDescent="0.25">
      <c r="A52" t="s">
        <v>324</v>
      </c>
      <c r="B52" t="s">
        <v>276</v>
      </c>
      <c r="C52" t="s">
        <v>272</v>
      </c>
      <c r="D52" t="s">
        <v>277</v>
      </c>
      <c r="E52" t="s">
        <v>278</v>
      </c>
    </row>
    <row r="53" spans="1:5" x14ac:dyDescent="0.25">
      <c r="A53" t="s">
        <v>325</v>
      </c>
      <c r="B53" t="s">
        <v>276</v>
      </c>
      <c r="C53" t="s">
        <v>272</v>
      </c>
      <c r="D53" t="s">
        <v>277</v>
      </c>
      <c r="E53" t="s">
        <v>278</v>
      </c>
    </row>
    <row r="54" spans="1:5" x14ac:dyDescent="0.25">
      <c r="A54" t="s">
        <v>326</v>
      </c>
      <c r="B54" t="s">
        <v>276</v>
      </c>
      <c r="C54" t="s">
        <v>272</v>
      </c>
      <c r="D54" t="s">
        <v>277</v>
      </c>
      <c r="E54" t="s">
        <v>278</v>
      </c>
    </row>
    <row r="55" spans="1:5" x14ac:dyDescent="0.25">
      <c r="A55" t="s">
        <v>327</v>
      </c>
      <c r="B55" t="s">
        <v>276</v>
      </c>
      <c r="C55" t="s">
        <v>272</v>
      </c>
      <c r="D55" t="s">
        <v>277</v>
      </c>
      <c r="E55" t="s">
        <v>278</v>
      </c>
    </row>
    <row r="56" spans="1:5" x14ac:dyDescent="0.25">
      <c r="A56" t="s">
        <v>328</v>
      </c>
      <c r="B56" t="s">
        <v>276</v>
      </c>
      <c r="C56" t="s">
        <v>272</v>
      </c>
      <c r="D56" t="s">
        <v>277</v>
      </c>
      <c r="E56" t="s">
        <v>278</v>
      </c>
    </row>
    <row r="57" spans="1:5" x14ac:dyDescent="0.25">
      <c r="A57" t="s">
        <v>329</v>
      </c>
      <c r="B57" t="s">
        <v>276</v>
      </c>
      <c r="C57" t="s">
        <v>272</v>
      </c>
      <c r="D57" t="s">
        <v>277</v>
      </c>
      <c r="E57" t="s">
        <v>278</v>
      </c>
    </row>
    <row r="58" spans="1:5" x14ac:dyDescent="0.25">
      <c r="A58" t="s">
        <v>330</v>
      </c>
      <c r="B58" t="s">
        <v>276</v>
      </c>
      <c r="C58" t="s">
        <v>272</v>
      </c>
      <c r="D58" t="s">
        <v>277</v>
      </c>
      <c r="E58" t="s">
        <v>278</v>
      </c>
    </row>
    <row r="59" spans="1:5" x14ac:dyDescent="0.25">
      <c r="A59" t="s">
        <v>331</v>
      </c>
      <c r="B59" t="s">
        <v>276</v>
      </c>
      <c r="C59" t="s">
        <v>272</v>
      </c>
      <c r="D59" t="s">
        <v>277</v>
      </c>
      <c r="E59" t="s">
        <v>278</v>
      </c>
    </row>
    <row r="60" spans="1:5" x14ac:dyDescent="0.25">
      <c r="A60" t="s">
        <v>332</v>
      </c>
      <c r="B60" t="s">
        <v>276</v>
      </c>
      <c r="C60" t="s">
        <v>272</v>
      </c>
      <c r="D60" t="s">
        <v>277</v>
      </c>
      <c r="E60" t="s">
        <v>278</v>
      </c>
    </row>
    <row r="61" spans="1:5" x14ac:dyDescent="0.25">
      <c r="A61" t="s">
        <v>333</v>
      </c>
      <c r="B61" t="s">
        <v>276</v>
      </c>
      <c r="C61" t="s">
        <v>272</v>
      </c>
      <c r="D61" t="s">
        <v>277</v>
      </c>
      <c r="E61" t="s">
        <v>278</v>
      </c>
    </row>
    <row r="62" spans="1:5" x14ac:dyDescent="0.25">
      <c r="A62" t="s">
        <v>334</v>
      </c>
      <c r="B62" t="s">
        <v>276</v>
      </c>
      <c r="C62" t="s">
        <v>272</v>
      </c>
      <c r="D62" t="s">
        <v>277</v>
      </c>
      <c r="E62" t="s">
        <v>278</v>
      </c>
    </row>
    <row r="63" spans="1:5" x14ac:dyDescent="0.25">
      <c r="A63" t="s">
        <v>335</v>
      </c>
      <c r="B63" t="s">
        <v>276</v>
      </c>
      <c r="C63" t="s">
        <v>272</v>
      </c>
      <c r="D63" t="s">
        <v>277</v>
      </c>
      <c r="E63" t="s">
        <v>278</v>
      </c>
    </row>
    <row r="64" spans="1:5" x14ac:dyDescent="0.25">
      <c r="A64" t="s">
        <v>336</v>
      </c>
      <c r="B64" t="s">
        <v>276</v>
      </c>
      <c r="C64" t="s">
        <v>272</v>
      </c>
      <c r="D64" t="s">
        <v>277</v>
      </c>
      <c r="E64" t="s">
        <v>278</v>
      </c>
    </row>
    <row r="65" spans="1:5" x14ac:dyDescent="0.25">
      <c r="A65" t="s">
        <v>337</v>
      </c>
      <c r="B65" t="s">
        <v>276</v>
      </c>
      <c r="C65" t="s">
        <v>272</v>
      </c>
      <c r="D65" t="s">
        <v>277</v>
      </c>
      <c r="E65" t="s">
        <v>278</v>
      </c>
    </row>
    <row r="66" spans="1:5" x14ac:dyDescent="0.25">
      <c r="A66" t="s">
        <v>338</v>
      </c>
      <c r="B66" t="s">
        <v>276</v>
      </c>
      <c r="C66" t="s">
        <v>272</v>
      </c>
      <c r="D66" t="s">
        <v>277</v>
      </c>
      <c r="E66" t="s">
        <v>278</v>
      </c>
    </row>
    <row r="67" spans="1:5" x14ac:dyDescent="0.25">
      <c r="A67" t="s">
        <v>339</v>
      </c>
      <c r="B67" t="s">
        <v>276</v>
      </c>
      <c r="C67" t="s">
        <v>272</v>
      </c>
      <c r="D67" t="s">
        <v>277</v>
      </c>
      <c r="E67" t="s">
        <v>278</v>
      </c>
    </row>
    <row r="68" spans="1:5" x14ac:dyDescent="0.25">
      <c r="A68" t="s">
        <v>340</v>
      </c>
      <c r="B68" t="s">
        <v>276</v>
      </c>
      <c r="C68" t="s">
        <v>272</v>
      </c>
      <c r="D68" t="s">
        <v>277</v>
      </c>
      <c r="E68" t="s">
        <v>278</v>
      </c>
    </row>
    <row r="69" spans="1:5" x14ac:dyDescent="0.25">
      <c r="A69" t="s">
        <v>341</v>
      </c>
      <c r="B69" t="s">
        <v>276</v>
      </c>
      <c r="C69" t="s">
        <v>272</v>
      </c>
      <c r="D69" t="s">
        <v>277</v>
      </c>
      <c r="E69" t="s">
        <v>278</v>
      </c>
    </row>
    <row r="70" spans="1:5" x14ac:dyDescent="0.25">
      <c r="A70" t="s">
        <v>342</v>
      </c>
      <c r="B70" t="s">
        <v>276</v>
      </c>
      <c r="C70" t="s">
        <v>272</v>
      </c>
      <c r="D70" t="s">
        <v>277</v>
      </c>
      <c r="E70" t="s">
        <v>278</v>
      </c>
    </row>
    <row r="71" spans="1:5" x14ac:dyDescent="0.25">
      <c r="A71" t="s">
        <v>343</v>
      </c>
      <c r="B71" t="s">
        <v>276</v>
      </c>
      <c r="C71" t="s">
        <v>272</v>
      </c>
      <c r="D71" t="s">
        <v>277</v>
      </c>
      <c r="E71" t="s">
        <v>278</v>
      </c>
    </row>
    <row r="72" spans="1:5" x14ac:dyDescent="0.25">
      <c r="A72" t="s">
        <v>344</v>
      </c>
      <c r="B72" t="s">
        <v>276</v>
      </c>
      <c r="C72" t="s">
        <v>272</v>
      </c>
      <c r="D72" t="s">
        <v>277</v>
      </c>
      <c r="E72" t="s">
        <v>278</v>
      </c>
    </row>
    <row r="73" spans="1:5" x14ac:dyDescent="0.25">
      <c r="A73" t="s">
        <v>345</v>
      </c>
      <c r="B73" t="s">
        <v>276</v>
      </c>
      <c r="C73" t="s">
        <v>272</v>
      </c>
      <c r="D73" t="s">
        <v>277</v>
      </c>
      <c r="E73" t="s">
        <v>278</v>
      </c>
    </row>
    <row r="74" spans="1:5" x14ac:dyDescent="0.25">
      <c r="A74" t="s">
        <v>346</v>
      </c>
      <c r="B74" t="s">
        <v>276</v>
      </c>
      <c r="C74" t="s">
        <v>272</v>
      </c>
      <c r="D74" t="s">
        <v>277</v>
      </c>
      <c r="E74" t="s">
        <v>278</v>
      </c>
    </row>
    <row r="75" spans="1:5" x14ac:dyDescent="0.25">
      <c r="A75" t="s">
        <v>347</v>
      </c>
      <c r="B75" t="s">
        <v>276</v>
      </c>
      <c r="C75" t="s">
        <v>272</v>
      </c>
      <c r="D75" t="s">
        <v>277</v>
      </c>
      <c r="E75" t="s">
        <v>278</v>
      </c>
    </row>
    <row r="76" spans="1:5" x14ac:dyDescent="0.25">
      <c r="A76" t="s">
        <v>348</v>
      </c>
      <c r="B76" t="s">
        <v>276</v>
      </c>
      <c r="C76" t="s">
        <v>272</v>
      </c>
      <c r="D76" t="s">
        <v>277</v>
      </c>
      <c r="E76" t="s">
        <v>278</v>
      </c>
    </row>
    <row r="77" spans="1:5" x14ac:dyDescent="0.25">
      <c r="A77" t="s">
        <v>349</v>
      </c>
      <c r="B77" t="s">
        <v>276</v>
      </c>
      <c r="C77" t="s">
        <v>272</v>
      </c>
      <c r="D77" t="s">
        <v>277</v>
      </c>
      <c r="E77" t="s">
        <v>278</v>
      </c>
    </row>
    <row r="78" spans="1:5" x14ac:dyDescent="0.25">
      <c r="A78" t="s">
        <v>350</v>
      </c>
      <c r="B78" t="s">
        <v>276</v>
      </c>
      <c r="C78" t="s">
        <v>272</v>
      </c>
      <c r="D78" t="s">
        <v>277</v>
      </c>
      <c r="E78" t="s">
        <v>278</v>
      </c>
    </row>
    <row r="79" spans="1:5" x14ac:dyDescent="0.25">
      <c r="A79" t="s">
        <v>351</v>
      </c>
      <c r="B79" t="s">
        <v>276</v>
      </c>
      <c r="C79" t="s">
        <v>272</v>
      </c>
      <c r="D79" t="s">
        <v>277</v>
      </c>
      <c r="E79" t="s">
        <v>278</v>
      </c>
    </row>
    <row r="80" spans="1:5" x14ac:dyDescent="0.25">
      <c r="A80" t="s">
        <v>352</v>
      </c>
      <c r="B80" t="s">
        <v>276</v>
      </c>
      <c r="C80" t="s">
        <v>272</v>
      </c>
      <c r="D80" t="s">
        <v>277</v>
      </c>
      <c r="E80" t="s">
        <v>278</v>
      </c>
    </row>
    <row r="81" spans="1:5" x14ac:dyDescent="0.25">
      <c r="A81" t="s">
        <v>353</v>
      </c>
      <c r="D81" t="s">
        <v>277</v>
      </c>
      <c r="E81" t="s">
        <v>278</v>
      </c>
    </row>
    <row r="83" spans="1:5" x14ac:dyDescent="0.25">
      <c r="A83" t="s">
        <v>354</v>
      </c>
      <c r="B83" t="s">
        <v>271</v>
      </c>
      <c r="C83" t="s">
        <v>272</v>
      </c>
      <c r="D83" t="s">
        <v>272</v>
      </c>
      <c r="E83" t="s">
        <v>272</v>
      </c>
    </row>
    <row r="84" spans="1:5" x14ac:dyDescent="0.25">
      <c r="A84" t="s">
        <v>355</v>
      </c>
      <c r="B84" t="s">
        <v>276</v>
      </c>
      <c r="C84" t="s">
        <v>272</v>
      </c>
      <c r="D84" t="s">
        <v>272</v>
      </c>
      <c r="E84" t="s">
        <v>272</v>
      </c>
    </row>
    <row r="85" spans="1:5" x14ac:dyDescent="0.25">
      <c r="A85" t="s">
        <v>356</v>
      </c>
      <c r="B85" t="s">
        <v>357</v>
      </c>
      <c r="C85" t="s">
        <v>278</v>
      </c>
      <c r="D85" t="s">
        <v>272</v>
      </c>
      <c r="E85" t="s">
        <v>272</v>
      </c>
    </row>
    <row r="86" spans="1:5" x14ac:dyDescent="0.25">
      <c r="A86" t="s">
        <v>358</v>
      </c>
      <c r="B86" t="s">
        <v>357</v>
      </c>
      <c r="C86" t="s">
        <v>278</v>
      </c>
      <c r="D86" t="s">
        <v>272</v>
      </c>
      <c r="E86" t="s">
        <v>272</v>
      </c>
    </row>
    <row r="87" spans="1:5" x14ac:dyDescent="0.25">
      <c r="A87" t="s">
        <v>359</v>
      </c>
      <c r="B87" t="s">
        <v>360</v>
      </c>
      <c r="C87" t="s">
        <v>361</v>
      </c>
      <c r="D87" t="s">
        <v>272</v>
      </c>
      <c r="E87" t="s">
        <v>272</v>
      </c>
    </row>
    <row r="88" spans="1:5" x14ac:dyDescent="0.25">
      <c r="A88" t="s">
        <v>362</v>
      </c>
      <c r="D88" t="s">
        <v>272</v>
      </c>
      <c r="E88" t="s">
        <v>272</v>
      </c>
    </row>
    <row r="89" spans="1:5" x14ac:dyDescent="0.25">
      <c r="A89" t="s">
        <v>363</v>
      </c>
      <c r="B89" t="s">
        <v>357</v>
      </c>
      <c r="C89" t="s">
        <v>278</v>
      </c>
      <c r="D89" t="s">
        <v>272</v>
      </c>
      <c r="E89" t="s">
        <v>272</v>
      </c>
    </row>
    <row r="90" spans="1:5" x14ac:dyDescent="0.25">
      <c r="A90" t="s">
        <v>364</v>
      </c>
      <c r="B90" t="s">
        <v>357</v>
      </c>
      <c r="C90" t="s">
        <v>278</v>
      </c>
      <c r="D90" t="s">
        <v>272</v>
      </c>
      <c r="E90" t="s">
        <v>272</v>
      </c>
    </row>
    <row r="91" spans="1:5" x14ac:dyDescent="0.25">
      <c r="A91" t="s">
        <v>365</v>
      </c>
      <c r="B91" t="s">
        <v>357</v>
      </c>
      <c r="C91" t="s">
        <v>278</v>
      </c>
      <c r="D91" t="s">
        <v>272</v>
      </c>
      <c r="E91" t="s">
        <v>272</v>
      </c>
    </row>
    <row r="92" spans="1:5" x14ac:dyDescent="0.25">
      <c r="A92" t="s">
        <v>366</v>
      </c>
      <c r="B92" t="s">
        <v>357</v>
      </c>
      <c r="C92" t="s">
        <v>278</v>
      </c>
      <c r="D92" t="s">
        <v>272</v>
      </c>
      <c r="E92" t="s">
        <v>272</v>
      </c>
    </row>
    <row r="93" spans="1:5" x14ac:dyDescent="0.25">
      <c r="A93" t="s">
        <v>367</v>
      </c>
      <c r="B93" t="s">
        <v>357</v>
      </c>
      <c r="C93" t="s">
        <v>278</v>
      </c>
      <c r="D93" t="s">
        <v>272</v>
      </c>
      <c r="E93" t="s">
        <v>272</v>
      </c>
    </row>
    <row r="94" spans="1:5" x14ac:dyDescent="0.25">
      <c r="A94" t="s">
        <v>368</v>
      </c>
      <c r="B94" t="s">
        <v>357</v>
      </c>
      <c r="C94" t="s">
        <v>278</v>
      </c>
      <c r="D94" t="s">
        <v>272</v>
      </c>
      <c r="E94" t="s">
        <v>272</v>
      </c>
    </row>
    <row r="95" spans="1:5" x14ac:dyDescent="0.25">
      <c r="A95" t="s">
        <v>369</v>
      </c>
      <c r="B95" t="s">
        <v>357</v>
      </c>
      <c r="C95" t="s">
        <v>278</v>
      </c>
      <c r="D95" t="s">
        <v>272</v>
      </c>
      <c r="E95" t="s">
        <v>272</v>
      </c>
    </row>
    <row r="96" spans="1:5" x14ac:dyDescent="0.25">
      <c r="A96" t="s">
        <v>370</v>
      </c>
      <c r="B96" t="s">
        <v>357</v>
      </c>
      <c r="C96" t="s">
        <v>278</v>
      </c>
      <c r="D96" t="s">
        <v>272</v>
      </c>
      <c r="E96" t="s">
        <v>272</v>
      </c>
    </row>
    <row r="97" spans="1:5" x14ac:dyDescent="0.25">
      <c r="A97" t="s">
        <v>371</v>
      </c>
      <c r="B97" t="s">
        <v>357</v>
      </c>
      <c r="C97" t="s">
        <v>278</v>
      </c>
      <c r="D97" t="s">
        <v>272</v>
      </c>
      <c r="E97" t="s">
        <v>272</v>
      </c>
    </row>
    <row r="99" spans="1:5" x14ac:dyDescent="0.25">
      <c r="A99" t="s">
        <v>372</v>
      </c>
      <c r="B99" t="s">
        <v>271</v>
      </c>
      <c r="C99" t="s">
        <v>272</v>
      </c>
      <c r="D99" t="s">
        <v>272</v>
      </c>
      <c r="E99" t="s">
        <v>272</v>
      </c>
    </row>
    <row r="100" spans="1:5" x14ac:dyDescent="0.25">
      <c r="A100" t="s">
        <v>373</v>
      </c>
      <c r="B100" t="s">
        <v>374</v>
      </c>
      <c r="C100" t="s">
        <v>278</v>
      </c>
      <c r="D100" t="s">
        <v>375</v>
      </c>
      <c r="E100" t="s">
        <v>360</v>
      </c>
    </row>
    <row r="101" spans="1:5" x14ac:dyDescent="0.25">
      <c r="A101" t="s">
        <v>376</v>
      </c>
      <c r="B101" t="s">
        <v>276</v>
      </c>
      <c r="C101" t="s">
        <v>377</v>
      </c>
      <c r="D101" t="s">
        <v>374</v>
      </c>
      <c r="E101" t="s">
        <v>378</v>
      </c>
    </row>
    <row r="102" spans="1:5" x14ac:dyDescent="0.25">
      <c r="A102" t="s">
        <v>379</v>
      </c>
      <c r="B102" t="s">
        <v>380</v>
      </c>
      <c r="C102" t="s">
        <v>360</v>
      </c>
      <c r="D102" t="s">
        <v>375</v>
      </c>
      <c r="E102" t="s">
        <v>360</v>
      </c>
    </row>
    <row r="104" spans="1:5" x14ac:dyDescent="0.25">
      <c r="A104" t="s">
        <v>381</v>
      </c>
      <c r="B104" t="s">
        <v>271</v>
      </c>
      <c r="C104" t="s">
        <v>272</v>
      </c>
      <c r="D104" t="s">
        <v>272</v>
      </c>
      <c r="E104" t="s">
        <v>272</v>
      </c>
    </row>
    <row r="105" spans="1:5" x14ac:dyDescent="0.25">
      <c r="A105" t="s">
        <v>382</v>
      </c>
      <c r="B105" t="s">
        <v>378</v>
      </c>
      <c r="C105" t="s">
        <v>383</v>
      </c>
      <c r="D105" t="s">
        <v>384</v>
      </c>
      <c r="E105" t="s">
        <v>385</v>
      </c>
    </row>
    <row r="106" spans="1:5" x14ac:dyDescent="0.25">
      <c r="A106" t="s">
        <v>386</v>
      </c>
      <c r="B106" t="s">
        <v>378</v>
      </c>
      <c r="C106" t="s">
        <v>383</v>
      </c>
      <c r="D106" t="s">
        <v>384</v>
      </c>
      <c r="E106" t="s">
        <v>385</v>
      </c>
    </row>
    <row r="107" spans="1:5" x14ac:dyDescent="0.25">
      <c r="A107" t="s">
        <v>387</v>
      </c>
      <c r="B107" t="s">
        <v>378</v>
      </c>
      <c r="C107" t="s">
        <v>383</v>
      </c>
      <c r="D107" t="s">
        <v>380</v>
      </c>
      <c r="E107" t="s">
        <v>383</v>
      </c>
    </row>
    <row r="108" spans="1:5" x14ac:dyDescent="0.25">
      <c r="A108" t="s">
        <v>388</v>
      </c>
      <c r="B108" t="s">
        <v>378</v>
      </c>
      <c r="C108" t="s">
        <v>383</v>
      </c>
      <c r="D108" t="s">
        <v>374</v>
      </c>
      <c r="E108" t="s">
        <v>378</v>
      </c>
    </row>
    <row r="109" spans="1:5" x14ac:dyDescent="0.25">
      <c r="A109" t="s">
        <v>389</v>
      </c>
      <c r="B109" t="s">
        <v>378</v>
      </c>
      <c r="C109" t="s">
        <v>383</v>
      </c>
      <c r="D109" t="s">
        <v>277</v>
      </c>
      <c r="E109" t="s">
        <v>278</v>
      </c>
    </row>
    <row r="110" spans="1:5" x14ac:dyDescent="0.25">
      <c r="A110" t="s">
        <v>390</v>
      </c>
    </row>
    <row r="111" spans="1:5" x14ac:dyDescent="0.25">
      <c r="A111" t="s">
        <v>391</v>
      </c>
      <c r="B111" t="s">
        <v>278</v>
      </c>
      <c r="C111" t="s">
        <v>392</v>
      </c>
      <c r="D111" t="s">
        <v>272</v>
      </c>
      <c r="E111" t="s">
        <v>361</v>
      </c>
    </row>
    <row r="113" spans="1:5" x14ac:dyDescent="0.25">
      <c r="A113" t="s">
        <v>393</v>
      </c>
      <c r="B113" t="s">
        <v>271</v>
      </c>
      <c r="C113" t="s">
        <v>272</v>
      </c>
      <c r="D113" t="s">
        <v>272</v>
      </c>
      <c r="E113" t="s">
        <v>272</v>
      </c>
    </row>
    <row r="114" spans="1:5" x14ac:dyDescent="0.25">
      <c r="A114" t="s">
        <v>394</v>
      </c>
      <c r="B114" t="s">
        <v>271</v>
      </c>
      <c r="C114" t="s">
        <v>361</v>
      </c>
      <c r="D114" t="s">
        <v>271</v>
      </c>
      <c r="E114" t="s">
        <v>361</v>
      </c>
    </row>
    <row r="115" spans="1:5" x14ac:dyDescent="0.25">
      <c r="A115" t="s">
        <v>395</v>
      </c>
      <c r="B115" t="s">
        <v>276</v>
      </c>
      <c r="C115" t="s">
        <v>378</v>
      </c>
      <c r="D115" t="s">
        <v>272</v>
      </c>
      <c r="E115" t="s">
        <v>272</v>
      </c>
    </row>
    <row r="116" spans="1:5" x14ac:dyDescent="0.25">
      <c r="A116" t="s">
        <v>396</v>
      </c>
      <c r="B116" t="s">
        <v>276</v>
      </c>
      <c r="C116" t="s">
        <v>378</v>
      </c>
      <c r="D116" t="s">
        <v>272</v>
      </c>
      <c r="E116" t="s">
        <v>272</v>
      </c>
    </row>
    <row r="118" spans="1:5" x14ac:dyDescent="0.25">
      <c r="A118" t="s">
        <v>397</v>
      </c>
      <c r="B118" t="s">
        <v>271</v>
      </c>
      <c r="C118" t="s">
        <v>272</v>
      </c>
      <c r="D118" t="s">
        <v>272</v>
      </c>
      <c r="E118" t="s">
        <v>272</v>
      </c>
    </row>
    <row r="119" spans="1:5" x14ac:dyDescent="0.25">
      <c r="A119" t="s">
        <v>398</v>
      </c>
      <c r="D119" t="s">
        <v>399</v>
      </c>
      <c r="E119" t="s">
        <v>399</v>
      </c>
    </row>
    <row r="120" spans="1:5" x14ac:dyDescent="0.25">
      <c r="A120" t="s">
        <v>400</v>
      </c>
      <c r="D120" t="s">
        <v>399</v>
      </c>
      <c r="E120" t="s">
        <v>399</v>
      </c>
    </row>
    <row r="121" spans="1:5" x14ac:dyDescent="0.25">
      <c r="A121" t="s">
        <v>401</v>
      </c>
      <c r="D121" t="s">
        <v>399</v>
      </c>
      <c r="E121" t="s">
        <v>399</v>
      </c>
    </row>
    <row r="122" spans="1:5" x14ac:dyDescent="0.25">
      <c r="A122" t="s">
        <v>402</v>
      </c>
      <c r="D122" t="s">
        <v>375</v>
      </c>
      <c r="E122" t="s">
        <v>360</v>
      </c>
    </row>
    <row r="123" spans="1:5" x14ac:dyDescent="0.25">
      <c r="A123" t="s">
        <v>403</v>
      </c>
      <c r="D123" t="s">
        <v>361</v>
      </c>
      <c r="E123" t="s">
        <v>271</v>
      </c>
    </row>
    <row r="124" spans="1:5" x14ac:dyDescent="0.25">
      <c r="A124" t="s">
        <v>404</v>
      </c>
      <c r="D124" t="s">
        <v>361</v>
      </c>
      <c r="E124" t="s">
        <v>271</v>
      </c>
    </row>
    <row r="125" spans="1:5" x14ac:dyDescent="0.25">
      <c r="A125" t="s">
        <v>405</v>
      </c>
      <c r="D125" t="s">
        <v>361</v>
      </c>
      <c r="E125" t="s">
        <v>271</v>
      </c>
    </row>
    <row r="126" spans="1:5" x14ac:dyDescent="0.25">
      <c r="A126" t="s">
        <v>406</v>
      </c>
      <c r="D126" t="s">
        <v>361</v>
      </c>
      <c r="E126" t="s">
        <v>271</v>
      </c>
    </row>
    <row r="127" spans="1:5" x14ac:dyDescent="0.25">
      <c r="A127" t="s">
        <v>407</v>
      </c>
      <c r="D127" t="s">
        <v>361</v>
      </c>
      <c r="E127" t="s">
        <v>271</v>
      </c>
    </row>
    <row r="128" spans="1:5" x14ac:dyDescent="0.25">
      <c r="A128" t="s">
        <v>408</v>
      </c>
      <c r="D128" t="s">
        <v>361</v>
      </c>
      <c r="E128" t="s">
        <v>271</v>
      </c>
    </row>
    <row r="129" spans="1:5" x14ac:dyDescent="0.25">
      <c r="A129" t="s">
        <v>409</v>
      </c>
      <c r="D129" t="s">
        <v>361</v>
      </c>
      <c r="E129" t="s">
        <v>271</v>
      </c>
    </row>
    <row r="130" spans="1:5" x14ac:dyDescent="0.25">
      <c r="A130" t="s">
        <v>410</v>
      </c>
      <c r="D130" t="s">
        <v>361</v>
      </c>
      <c r="E130" t="s">
        <v>271</v>
      </c>
    </row>
    <row r="131" spans="1:5" x14ac:dyDescent="0.25">
      <c r="A131" t="s">
        <v>411</v>
      </c>
      <c r="D131" t="s">
        <v>375</v>
      </c>
      <c r="E131" t="s">
        <v>360</v>
      </c>
    </row>
    <row r="132" spans="1:5" x14ac:dyDescent="0.25">
      <c r="A132" t="s">
        <v>412</v>
      </c>
      <c r="D132" t="s">
        <v>375</v>
      </c>
      <c r="E132" t="s">
        <v>360</v>
      </c>
    </row>
    <row r="133" spans="1:5" x14ac:dyDescent="0.25">
      <c r="A133" t="s">
        <v>413</v>
      </c>
      <c r="D133" t="s">
        <v>375</v>
      </c>
      <c r="E133" t="s">
        <v>360</v>
      </c>
    </row>
    <row r="134" spans="1:5" x14ac:dyDescent="0.25">
      <c r="A134" t="s">
        <v>414</v>
      </c>
      <c r="D134" t="s">
        <v>375</v>
      </c>
      <c r="E134" t="s">
        <v>360</v>
      </c>
    </row>
    <row r="135" spans="1:5" x14ac:dyDescent="0.25">
      <c r="A135" t="s">
        <v>415</v>
      </c>
      <c r="D135" t="s">
        <v>361</v>
      </c>
      <c r="E135" t="s">
        <v>271</v>
      </c>
    </row>
    <row r="136" spans="1:5" x14ac:dyDescent="0.25">
      <c r="A136" t="s">
        <v>416</v>
      </c>
      <c r="D136" t="s">
        <v>361</v>
      </c>
      <c r="E136" t="s">
        <v>271</v>
      </c>
    </row>
    <row r="137" spans="1:5" x14ac:dyDescent="0.25">
      <c r="A137" t="s">
        <v>417</v>
      </c>
      <c r="D137" t="s">
        <v>361</v>
      </c>
      <c r="E137" t="s">
        <v>271</v>
      </c>
    </row>
    <row r="138" spans="1:5" x14ac:dyDescent="0.25">
      <c r="A138" t="s">
        <v>418</v>
      </c>
      <c r="D138" t="s">
        <v>399</v>
      </c>
      <c r="E138" t="s">
        <v>399</v>
      </c>
    </row>
    <row r="139" spans="1:5" x14ac:dyDescent="0.25">
      <c r="A139" t="s">
        <v>419</v>
      </c>
      <c r="D139" t="s">
        <v>399</v>
      </c>
      <c r="E139" t="s">
        <v>399</v>
      </c>
    </row>
    <row r="140" spans="1:5" x14ac:dyDescent="0.25">
      <c r="A140" t="s">
        <v>420</v>
      </c>
      <c r="D140" t="s">
        <v>399</v>
      </c>
      <c r="E140" t="s">
        <v>399</v>
      </c>
    </row>
    <row r="141" spans="1:5" x14ac:dyDescent="0.25">
      <c r="A141" t="s">
        <v>421</v>
      </c>
      <c r="D141" t="s">
        <v>361</v>
      </c>
      <c r="E141" t="s">
        <v>271</v>
      </c>
    </row>
    <row r="142" spans="1:5" x14ac:dyDescent="0.25">
      <c r="A142" t="s">
        <v>422</v>
      </c>
      <c r="D142" t="s">
        <v>375</v>
      </c>
      <c r="E142" t="s">
        <v>360</v>
      </c>
    </row>
    <row r="143" spans="1:5" x14ac:dyDescent="0.25">
      <c r="A143" t="s">
        <v>423</v>
      </c>
      <c r="D143" t="s">
        <v>361</v>
      </c>
      <c r="E143" t="s">
        <v>271</v>
      </c>
    </row>
    <row r="144" spans="1:5" x14ac:dyDescent="0.25">
      <c r="A144" t="s">
        <v>424</v>
      </c>
      <c r="D144" t="s">
        <v>361</v>
      </c>
      <c r="E144" t="s">
        <v>271</v>
      </c>
    </row>
    <row r="145" spans="1:5" x14ac:dyDescent="0.25">
      <c r="A145" t="s">
        <v>425</v>
      </c>
      <c r="D145" t="s">
        <v>361</v>
      </c>
      <c r="E145" t="s">
        <v>271</v>
      </c>
    </row>
    <row r="146" spans="1:5" x14ac:dyDescent="0.25">
      <c r="A146" t="s">
        <v>426</v>
      </c>
      <c r="D146" t="s">
        <v>361</v>
      </c>
      <c r="E146" t="s">
        <v>271</v>
      </c>
    </row>
    <row r="147" spans="1:5" x14ac:dyDescent="0.25">
      <c r="A147" t="s">
        <v>427</v>
      </c>
      <c r="D147" t="s">
        <v>361</v>
      </c>
      <c r="E147" t="s">
        <v>271</v>
      </c>
    </row>
    <row r="148" spans="1:5" x14ac:dyDescent="0.25">
      <c r="A148" t="s">
        <v>428</v>
      </c>
      <c r="D148" t="s">
        <v>361</v>
      </c>
      <c r="E148" t="s">
        <v>271</v>
      </c>
    </row>
    <row r="149" spans="1:5" x14ac:dyDescent="0.25">
      <c r="A149" t="s">
        <v>429</v>
      </c>
      <c r="D149" t="s">
        <v>361</v>
      </c>
      <c r="E149" t="s">
        <v>271</v>
      </c>
    </row>
    <row r="150" spans="1:5" x14ac:dyDescent="0.25">
      <c r="A150" t="s">
        <v>430</v>
      </c>
      <c r="D150" t="s">
        <v>361</v>
      </c>
      <c r="E150" t="s">
        <v>271</v>
      </c>
    </row>
    <row r="151" spans="1:5" x14ac:dyDescent="0.25">
      <c r="A151" t="s">
        <v>431</v>
      </c>
      <c r="D151" t="s">
        <v>375</v>
      </c>
      <c r="E151" t="s">
        <v>360</v>
      </c>
    </row>
    <row r="152" spans="1:5" x14ac:dyDescent="0.25">
      <c r="A152" t="s">
        <v>432</v>
      </c>
      <c r="D152" t="s">
        <v>375</v>
      </c>
      <c r="E152" t="s">
        <v>360</v>
      </c>
    </row>
    <row r="153" spans="1:5" x14ac:dyDescent="0.25">
      <c r="A153" t="s">
        <v>433</v>
      </c>
      <c r="D153" t="s">
        <v>375</v>
      </c>
      <c r="E153" t="s">
        <v>360</v>
      </c>
    </row>
    <row r="154" spans="1:5" x14ac:dyDescent="0.25">
      <c r="A154" t="s">
        <v>434</v>
      </c>
      <c r="D154" t="s">
        <v>375</v>
      </c>
      <c r="E154" t="s">
        <v>360</v>
      </c>
    </row>
    <row r="155" spans="1:5" x14ac:dyDescent="0.25">
      <c r="A155" t="s">
        <v>435</v>
      </c>
      <c r="D155" t="s">
        <v>361</v>
      </c>
      <c r="E155" t="s">
        <v>271</v>
      </c>
    </row>
    <row r="156" spans="1:5" x14ac:dyDescent="0.25">
      <c r="A156" t="s">
        <v>436</v>
      </c>
      <c r="D156" t="s">
        <v>361</v>
      </c>
      <c r="E156" t="s">
        <v>271</v>
      </c>
    </row>
    <row r="157" spans="1:5" x14ac:dyDescent="0.25">
      <c r="A157" t="s">
        <v>437</v>
      </c>
      <c r="D157" t="s">
        <v>361</v>
      </c>
      <c r="E157" t="s">
        <v>271</v>
      </c>
    </row>
    <row r="158" spans="1:5" x14ac:dyDescent="0.25">
      <c r="A158" t="s">
        <v>438</v>
      </c>
      <c r="D158" t="s">
        <v>361</v>
      </c>
      <c r="E158" t="s">
        <v>271</v>
      </c>
    </row>
    <row r="159" spans="1:5" x14ac:dyDescent="0.25">
      <c r="A159" t="s">
        <v>439</v>
      </c>
      <c r="D159" t="s">
        <v>361</v>
      </c>
      <c r="E159" t="s">
        <v>271</v>
      </c>
    </row>
    <row r="160" spans="1:5" x14ac:dyDescent="0.25">
      <c r="A160" t="s">
        <v>440</v>
      </c>
      <c r="D160" t="s">
        <v>361</v>
      </c>
      <c r="E160" t="s">
        <v>271</v>
      </c>
    </row>
    <row r="161" spans="1:5" x14ac:dyDescent="0.25">
      <c r="A161" t="s">
        <v>441</v>
      </c>
      <c r="D161" t="s">
        <v>361</v>
      </c>
      <c r="E161" t="s">
        <v>271</v>
      </c>
    </row>
    <row r="162" spans="1:5" x14ac:dyDescent="0.25">
      <c r="A162" t="s">
        <v>442</v>
      </c>
      <c r="D162" t="s">
        <v>361</v>
      </c>
      <c r="E162" t="s">
        <v>271</v>
      </c>
    </row>
    <row r="163" spans="1:5" x14ac:dyDescent="0.25">
      <c r="A163" t="s">
        <v>443</v>
      </c>
      <c r="D163" t="s">
        <v>361</v>
      </c>
      <c r="E163" t="s">
        <v>271</v>
      </c>
    </row>
    <row r="164" spans="1:5" x14ac:dyDescent="0.25">
      <c r="A164" t="s">
        <v>444</v>
      </c>
      <c r="D164" t="s">
        <v>361</v>
      </c>
      <c r="E164" t="s">
        <v>271</v>
      </c>
    </row>
    <row r="165" spans="1:5" x14ac:dyDescent="0.25">
      <c r="A165" t="s">
        <v>445</v>
      </c>
      <c r="D165" t="s">
        <v>361</v>
      </c>
      <c r="E165" t="s">
        <v>271</v>
      </c>
    </row>
    <row r="166" spans="1:5" x14ac:dyDescent="0.25">
      <c r="A166" t="s">
        <v>446</v>
      </c>
      <c r="D166" t="s">
        <v>361</v>
      </c>
      <c r="E166" t="s">
        <v>271</v>
      </c>
    </row>
    <row r="167" spans="1:5" x14ac:dyDescent="0.25">
      <c r="A167" t="s">
        <v>447</v>
      </c>
      <c r="D167" t="s">
        <v>361</v>
      </c>
      <c r="E167" t="s">
        <v>271</v>
      </c>
    </row>
    <row r="168" spans="1:5" x14ac:dyDescent="0.25">
      <c r="A168" t="s">
        <v>448</v>
      </c>
      <c r="D168" t="s">
        <v>361</v>
      </c>
      <c r="E168" t="s">
        <v>271</v>
      </c>
    </row>
    <row r="169" spans="1:5" x14ac:dyDescent="0.25">
      <c r="A169" t="s">
        <v>449</v>
      </c>
      <c r="D169" t="s">
        <v>361</v>
      </c>
      <c r="E169" t="s">
        <v>271</v>
      </c>
    </row>
    <row r="170" spans="1:5" x14ac:dyDescent="0.25">
      <c r="A170" t="s">
        <v>450</v>
      </c>
      <c r="D170" t="s">
        <v>361</v>
      </c>
      <c r="E170" t="s">
        <v>271</v>
      </c>
    </row>
    <row r="171" spans="1:5" x14ac:dyDescent="0.25">
      <c r="A171" t="s">
        <v>451</v>
      </c>
      <c r="D171" t="s">
        <v>361</v>
      </c>
      <c r="E171" t="s">
        <v>271</v>
      </c>
    </row>
    <row r="172" spans="1:5" x14ac:dyDescent="0.25">
      <c r="A172" t="s">
        <v>452</v>
      </c>
      <c r="D172" t="s">
        <v>361</v>
      </c>
      <c r="E172" t="s">
        <v>271</v>
      </c>
    </row>
    <row r="173" spans="1:5" x14ac:dyDescent="0.25">
      <c r="A173" t="s">
        <v>453</v>
      </c>
      <c r="D173" t="s">
        <v>361</v>
      </c>
      <c r="E173" t="s">
        <v>271</v>
      </c>
    </row>
    <row r="174" spans="1:5" x14ac:dyDescent="0.25">
      <c r="A174" t="s">
        <v>454</v>
      </c>
      <c r="D174" t="s">
        <v>375</v>
      </c>
      <c r="E174" t="s">
        <v>360</v>
      </c>
    </row>
    <row r="175" spans="1:5" x14ac:dyDescent="0.25">
      <c r="A175" t="s">
        <v>455</v>
      </c>
      <c r="D175" t="s">
        <v>375</v>
      </c>
      <c r="E175" t="s">
        <v>360</v>
      </c>
    </row>
    <row r="176" spans="1:5" x14ac:dyDescent="0.25">
      <c r="A176" t="s">
        <v>456</v>
      </c>
      <c r="D176" t="s">
        <v>375</v>
      </c>
      <c r="E176" t="s">
        <v>360</v>
      </c>
    </row>
    <row r="177" spans="1:5" x14ac:dyDescent="0.25">
      <c r="A177" t="s">
        <v>457</v>
      </c>
      <c r="D177" t="s">
        <v>375</v>
      </c>
      <c r="E177" t="s">
        <v>360</v>
      </c>
    </row>
    <row r="178" spans="1:5" x14ac:dyDescent="0.25">
      <c r="A178" t="s">
        <v>458</v>
      </c>
      <c r="D178" t="s">
        <v>375</v>
      </c>
      <c r="E178" t="s">
        <v>360</v>
      </c>
    </row>
    <row r="179" spans="1:5" x14ac:dyDescent="0.25">
      <c r="A179" t="s">
        <v>459</v>
      </c>
      <c r="D179" t="s">
        <v>375</v>
      </c>
      <c r="E179" t="s">
        <v>360</v>
      </c>
    </row>
    <row r="180" spans="1:5" x14ac:dyDescent="0.25">
      <c r="A180" t="s">
        <v>460</v>
      </c>
      <c r="D180" t="s">
        <v>361</v>
      </c>
      <c r="E180" t="s">
        <v>271</v>
      </c>
    </row>
    <row r="181" spans="1:5" x14ac:dyDescent="0.25">
      <c r="A181" t="s">
        <v>461</v>
      </c>
      <c r="D181" t="s">
        <v>361</v>
      </c>
      <c r="E181" t="s">
        <v>271</v>
      </c>
    </row>
    <row r="182" spans="1:5" x14ac:dyDescent="0.25">
      <c r="A182" t="s">
        <v>462</v>
      </c>
      <c r="D182" t="s">
        <v>361</v>
      </c>
      <c r="E182" t="s">
        <v>271</v>
      </c>
    </row>
    <row r="183" spans="1:5" x14ac:dyDescent="0.25">
      <c r="A183" t="s">
        <v>463</v>
      </c>
      <c r="D183" t="s">
        <v>361</v>
      </c>
      <c r="E183" t="s">
        <v>271</v>
      </c>
    </row>
    <row r="184" spans="1:5" x14ac:dyDescent="0.25">
      <c r="A184" t="s">
        <v>464</v>
      </c>
      <c r="D184" t="s">
        <v>361</v>
      </c>
      <c r="E184" t="s">
        <v>271</v>
      </c>
    </row>
    <row r="185" spans="1:5" x14ac:dyDescent="0.25">
      <c r="A185" t="s">
        <v>465</v>
      </c>
      <c r="D185" t="s">
        <v>361</v>
      </c>
      <c r="E185" t="s">
        <v>271</v>
      </c>
    </row>
    <row r="186" spans="1:5" x14ac:dyDescent="0.25">
      <c r="A186" t="s">
        <v>466</v>
      </c>
      <c r="D186" t="s">
        <v>361</v>
      </c>
      <c r="E186" t="s">
        <v>271</v>
      </c>
    </row>
    <row r="187" spans="1:5" x14ac:dyDescent="0.25">
      <c r="A187" t="s">
        <v>467</v>
      </c>
      <c r="D187" t="s">
        <v>361</v>
      </c>
      <c r="E187" t="s">
        <v>271</v>
      </c>
    </row>
    <row r="188" spans="1:5" x14ac:dyDescent="0.25">
      <c r="A188" t="s">
        <v>468</v>
      </c>
      <c r="D188" t="s">
        <v>375</v>
      </c>
      <c r="E188" t="s">
        <v>360</v>
      </c>
    </row>
    <row r="189" spans="1:5" x14ac:dyDescent="0.25">
      <c r="A189" t="s">
        <v>469</v>
      </c>
      <c r="D189" t="s">
        <v>375</v>
      </c>
      <c r="E189" t="s">
        <v>360</v>
      </c>
    </row>
    <row r="190" spans="1:5" x14ac:dyDescent="0.25">
      <c r="A190" t="s">
        <v>470</v>
      </c>
      <c r="D190" t="s">
        <v>375</v>
      </c>
      <c r="E190" t="s">
        <v>360</v>
      </c>
    </row>
    <row r="191" spans="1:5" x14ac:dyDescent="0.25">
      <c r="A191" t="s">
        <v>471</v>
      </c>
      <c r="D191" t="s">
        <v>375</v>
      </c>
      <c r="E191" t="s">
        <v>360</v>
      </c>
    </row>
    <row r="192" spans="1:5" x14ac:dyDescent="0.25">
      <c r="A192" t="s">
        <v>472</v>
      </c>
      <c r="D192" t="s">
        <v>361</v>
      </c>
      <c r="E192" t="s">
        <v>271</v>
      </c>
    </row>
    <row r="193" spans="1:5" x14ac:dyDescent="0.25">
      <c r="A193" t="s">
        <v>473</v>
      </c>
      <c r="D193" t="s">
        <v>361</v>
      </c>
      <c r="E193" t="s">
        <v>271</v>
      </c>
    </row>
    <row r="194" spans="1:5" x14ac:dyDescent="0.25">
      <c r="A194" t="s">
        <v>474</v>
      </c>
      <c r="D194" t="s">
        <v>361</v>
      </c>
      <c r="E194" t="s">
        <v>271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4"/>
  <sheetViews>
    <sheetView workbookViewId="0"/>
  </sheetViews>
  <sheetFormatPr defaultRowHeight="15" x14ac:dyDescent="0.25"/>
  <sheetData>
    <row r="2" spans="1:3" x14ac:dyDescent="0.25">
      <c r="A2" t="s">
        <v>475</v>
      </c>
      <c r="B2" t="s">
        <v>477</v>
      </c>
      <c r="C2" t="s">
        <v>480</v>
      </c>
    </row>
    <row r="3" spans="1:3" x14ac:dyDescent="0.25">
      <c r="A3" t="s">
        <v>476</v>
      </c>
      <c r="B3" t="s">
        <v>478</v>
      </c>
      <c r="C3" t="s">
        <v>481</v>
      </c>
    </row>
    <row r="4" spans="1:3" x14ac:dyDescent="0.25">
      <c r="B4"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
  <sheetViews>
    <sheetView workbookViewId="0"/>
  </sheetViews>
  <sheetFormatPr defaultRowHeight="15" x14ac:dyDescent="0.25"/>
  <sheetData>
    <row r="1" spans="1:1" x14ac:dyDescent="0.25">
      <c r="A1" t="s">
        <v>482</v>
      </c>
    </row>
    <row r="2" spans="1:1" x14ac:dyDescent="0.25">
      <c r="A2" t="s">
        <v>483</v>
      </c>
    </row>
    <row r="3" spans="1:1" x14ac:dyDescent="0.25">
      <c r="A3" t="s">
        <v>484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5"/>
  <sheetViews>
    <sheetView workbookViewId="0"/>
  </sheetViews>
  <sheetFormatPr defaultRowHeight="15" x14ac:dyDescent="0.25"/>
  <sheetData>
    <row r="2" spans="1:8" x14ac:dyDescent="0.25">
      <c r="A2" t="s">
        <v>485</v>
      </c>
      <c r="B2" t="s">
        <v>489</v>
      </c>
      <c r="C2" t="s">
        <v>493</v>
      </c>
      <c r="D2" t="s">
        <v>497</v>
      </c>
      <c r="E2" t="s">
        <v>501</v>
      </c>
      <c r="F2" t="s">
        <v>505</v>
      </c>
      <c r="G2" t="s">
        <v>508</v>
      </c>
      <c r="H2" t="s">
        <v>512</v>
      </c>
    </row>
    <row r="3" spans="1:8" x14ac:dyDescent="0.25">
      <c r="A3" t="s">
        <v>486</v>
      </c>
      <c r="B3" t="s">
        <v>490</v>
      </c>
      <c r="C3" t="s">
        <v>494</v>
      </c>
      <c r="D3" t="s">
        <v>498</v>
      </c>
      <c r="E3" t="s">
        <v>502</v>
      </c>
      <c r="F3" t="s">
        <v>506</v>
      </c>
      <c r="G3" t="s">
        <v>509</v>
      </c>
      <c r="H3" t="s">
        <v>513</v>
      </c>
    </row>
    <row r="4" spans="1:8" x14ac:dyDescent="0.25">
      <c r="A4" t="s">
        <v>487</v>
      </c>
      <c r="B4" t="s">
        <v>491</v>
      </c>
      <c r="C4" t="s">
        <v>495</v>
      </c>
      <c r="D4" t="s">
        <v>499</v>
      </c>
      <c r="E4" t="s">
        <v>503</v>
      </c>
      <c r="F4" t="s">
        <v>507</v>
      </c>
      <c r="G4" t="s">
        <v>510</v>
      </c>
      <c r="H4" t="s">
        <v>514</v>
      </c>
    </row>
    <row r="5" spans="1:8" x14ac:dyDescent="0.25">
      <c r="A5" t="s">
        <v>488</v>
      </c>
      <c r="B5" t="s">
        <v>492</v>
      </c>
      <c r="C5" t="s">
        <v>496</v>
      </c>
      <c r="D5" t="s">
        <v>500</v>
      </c>
      <c r="E5" t="s">
        <v>504</v>
      </c>
      <c r="G5" t="s">
        <v>511</v>
      </c>
      <c r="H5" t="s">
        <v>515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C4"/>
  <sheetViews>
    <sheetView workbookViewId="0"/>
  </sheetViews>
  <sheetFormatPr defaultRowHeight="15" x14ac:dyDescent="0.25"/>
  <sheetData>
    <row r="2" spans="1:3" x14ac:dyDescent="0.25">
      <c r="A2" t="s">
        <v>516</v>
      </c>
      <c r="B2" t="s">
        <v>516</v>
      </c>
      <c r="C2" t="s">
        <v>516</v>
      </c>
    </row>
    <row r="3" spans="1:3" x14ac:dyDescent="0.25">
      <c r="A3" t="s">
        <v>517</v>
      </c>
      <c r="B3" t="s">
        <v>517</v>
      </c>
      <c r="C3" t="s">
        <v>517</v>
      </c>
    </row>
    <row r="4" spans="1:3" x14ac:dyDescent="0.25">
      <c r="A4" t="s">
        <v>518</v>
      </c>
      <c r="B4" t="s">
        <v>518</v>
      </c>
      <c r="C4" t="s">
        <v>518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3"/>
  <sheetViews>
    <sheetView workbookViewId="0"/>
  </sheetViews>
  <sheetFormatPr defaultRowHeight="15" x14ac:dyDescent="0.25"/>
  <sheetData>
    <row r="1" spans="1:1" x14ac:dyDescent="0.25">
      <c r="A1" t="s">
        <v>519</v>
      </c>
    </row>
    <row r="2" spans="1:1" x14ac:dyDescent="0.25">
      <c r="A2" t="s">
        <v>520</v>
      </c>
    </row>
    <row r="3" spans="1:1" x14ac:dyDescent="0.25">
      <c r="A3" t="s">
        <v>521</v>
      </c>
    </row>
    <row r="4" spans="1:1" x14ac:dyDescent="0.25">
      <c r="A4" t="s">
        <v>522</v>
      </c>
    </row>
    <row r="5" spans="1:1" x14ac:dyDescent="0.25">
      <c r="A5" t="s">
        <v>523</v>
      </c>
    </row>
    <row r="6" spans="1:1" x14ac:dyDescent="0.25">
      <c r="A6" t="s">
        <v>524</v>
      </c>
    </row>
    <row r="7" spans="1:1" x14ac:dyDescent="0.25">
      <c r="A7" t="s">
        <v>525</v>
      </c>
    </row>
    <row r="8" spans="1:1" x14ac:dyDescent="0.25">
      <c r="A8" t="s">
        <v>526</v>
      </c>
    </row>
    <row r="9" spans="1:1" x14ac:dyDescent="0.25">
      <c r="A9" t="s">
        <v>527</v>
      </c>
    </row>
    <row r="10" spans="1:1" x14ac:dyDescent="0.25">
      <c r="A10" t="s">
        <v>528</v>
      </c>
    </row>
    <row r="11" spans="1:1" x14ac:dyDescent="0.25">
      <c r="A11" t="s">
        <v>529</v>
      </c>
    </row>
    <row r="12" spans="1:1" x14ac:dyDescent="0.25">
      <c r="A12" t="s">
        <v>530</v>
      </c>
    </row>
    <row r="13" spans="1:1" x14ac:dyDescent="0.25">
      <c r="A13" t="s">
        <v>531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63"/>
  <sheetViews>
    <sheetView workbookViewId="0"/>
  </sheetViews>
  <sheetFormatPr defaultRowHeight="15" x14ac:dyDescent="0.25"/>
  <sheetData>
    <row r="1" spans="1:1" x14ac:dyDescent="0.25">
      <c r="A1" t="s">
        <v>532</v>
      </c>
    </row>
    <row r="2" spans="1:1" x14ac:dyDescent="0.25">
      <c r="A2" t="s">
        <v>533</v>
      </c>
    </row>
    <row r="3" spans="1:1" x14ac:dyDescent="0.25">
      <c r="A3" t="s">
        <v>534</v>
      </c>
    </row>
    <row r="4" spans="1:1" x14ac:dyDescent="0.25">
      <c r="A4" t="s">
        <v>535</v>
      </c>
    </row>
    <row r="5" spans="1:1" x14ac:dyDescent="0.25">
      <c r="A5" t="s">
        <v>536</v>
      </c>
    </row>
    <row r="6" spans="1:1" x14ac:dyDescent="0.25">
      <c r="A6" t="s">
        <v>537</v>
      </c>
    </row>
    <row r="7" spans="1:1" x14ac:dyDescent="0.25">
      <c r="A7" t="s">
        <v>538</v>
      </c>
    </row>
    <row r="8" spans="1:1" x14ac:dyDescent="0.25">
      <c r="A8" t="s">
        <v>539</v>
      </c>
    </row>
    <row r="9" spans="1:1" x14ac:dyDescent="0.25">
      <c r="A9" t="s">
        <v>540</v>
      </c>
    </row>
    <row r="10" spans="1:1" x14ac:dyDescent="0.25">
      <c r="A10" t="s">
        <v>541</v>
      </c>
    </row>
    <row r="11" spans="1:1" x14ac:dyDescent="0.25">
      <c r="A11" t="s">
        <v>542</v>
      </c>
    </row>
    <row r="12" spans="1:1" x14ac:dyDescent="0.25">
      <c r="A12" t="s">
        <v>543</v>
      </c>
    </row>
    <row r="13" spans="1:1" x14ac:dyDescent="0.25">
      <c r="A13" t="s">
        <v>544</v>
      </c>
    </row>
    <row r="14" spans="1:1" x14ac:dyDescent="0.25">
      <c r="A14" t="s">
        <v>545</v>
      </c>
    </row>
    <row r="15" spans="1:1" x14ac:dyDescent="0.25">
      <c r="A15" t="s">
        <v>546</v>
      </c>
    </row>
    <row r="16" spans="1:1" x14ac:dyDescent="0.25">
      <c r="A16" t="s">
        <v>547</v>
      </c>
    </row>
    <row r="17" spans="1:1" x14ac:dyDescent="0.25">
      <c r="A17" t="s">
        <v>548</v>
      </c>
    </row>
    <row r="18" spans="1:1" x14ac:dyDescent="0.25">
      <c r="A18" t="s">
        <v>549</v>
      </c>
    </row>
    <row r="19" spans="1:1" x14ac:dyDescent="0.25">
      <c r="A19" t="s">
        <v>550</v>
      </c>
    </row>
    <row r="20" spans="1:1" x14ac:dyDescent="0.25">
      <c r="A20" t="s">
        <v>551</v>
      </c>
    </row>
    <row r="21" spans="1:1" x14ac:dyDescent="0.25">
      <c r="A21" t="s">
        <v>552</v>
      </c>
    </row>
    <row r="22" spans="1:1" x14ac:dyDescent="0.25">
      <c r="A22" t="s">
        <v>553</v>
      </c>
    </row>
    <row r="23" spans="1:1" x14ac:dyDescent="0.25">
      <c r="A23" t="s">
        <v>554</v>
      </c>
    </row>
    <row r="24" spans="1:1" x14ac:dyDescent="0.25">
      <c r="A24" t="s">
        <v>555</v>
      </c>
    </row>
    <row r="25" spans="1:1" x14ac:dyDescent="0.25">
      <c r="A25" t="s">
        <v>556</v>
      </c>
    </row>
    <row r="26" spans="1:1" x14ac:dyDescent="0.25">
      <c r="A26" t="s">
        <v>557</v>
      </c>
    </row>
    <row r="27" spans="1:1" x14ac:dyDescent="0.25">
      <c r="A27" t="s">
        <v>558</v>
      </c>
    </row>
    <row r="28" spans="1:1" x14ac:dyDescent="0.25">
      <c r="A28" t="s">
        <v>559</v>
      </c>
    </row>
    <row r="29" spans="1:1" x14ac:dyDescent="0.25">
      <c r="A29" t="s">
        <v>560</v>
      </c>
    </row>
    <row r="30" spans="1:1" x14ac:dyDescent="0.25">
      <c r="A30" t="s">
        <v>561</v>
      </c>
    </row>
    <row r="31" spans="1:1" x14ac:dyDescent="0.25">
      <c r="A31" t="s">
        <v>562</v>
      </c>
    </row>
    <row r="32" spans="1:1" x14ac:dyDescent="0.25">
      <c r="A32" t="s">
        <v>563</v>
      </c>
    </row>
    <row r="33" spans="1:1" x14ac:dyDescent="0.25">
      <c r="A33" t="s">
        <v>564</v>
      </c>
    </row>
    <row r="34" spans="1:1" x14ac:dyDescent="0.25">
      <c r="A34" t="s">
        <v>565</v>
      </c>
    </row>
    <row r="35" spans="1:1" x14ac:dyDescent="0.25">
      <c r="A35" t="s">
        <v>566</v>
      </c>
    </row>
    <row r="36" spans="1:1" x14ac:dyDescent="0.25">
      <c r="A36" t="s">
        <v>567</v>
      </c>
    </row>
    <row r="37" spans="1:1" x14ac:dyDescent="0.25">
      <c r="A37" t="s">
        <v>568</v>
      </c>
    </row>
    <row r="38" spans="1:1" x14ac:dyDescent="0.25">
      <c r="A38" t="s">
        <v>569</v>
      </c>
    </row>
    <row r="39" spans="1:1" x14ac:dyDescent="0.25">
      <c r="A39" t="s">
        <v>570</v>
      </c>
    </row>
    <row r="40" spans="1:1" x14ac:dyDescent="0.25">
      <c r="A40" t="s">
        <v>571</v>
      </c>
    </row>
    <row r="41" spans="1:1" x14ac:dyDescent="0.25">
      <c r="A41" t="s">
        <v>572</v>
      </c>
    </row>
    <row r="42" spans="1:1" x14ac:dyDescent="0.25">
      <c r="A42" t="s">
        <v>573</v>
      </c>
    </row>
    <row r="43" spans="1:1" x14ac:dyDescent="0.25">
      <c r="A43" t="s">
        <v>574</v>
      </c>
    </row>
    <row r="44" spans="1:1" x14ac:dyDescent="0.25">
      <c r="A44" t="s">
        <v>575</v>
      </c>
    </row>
    <row r="45" spans="1:1" x14ac:dyDescent="0.25">
      <c r="A45" t="s">
        <v>576</v>
      </c>
    </row>
    <row r="46" spans="1:1" x14ac:dyDescent="0.25">
      <c r="A46" t="s">
        <v>577</v>
      </c>
    </row>
    <row r="47" spans="1:1" x14ac:dyDescent="0.25">
      <c r="A47" t="s">
        <v>578</v>
      </c>
    </row>
    <row r="48" spans="1:1" x14ac:dyDescent="0.25">
      <c r="A48" t="s">
        <v>579</v>
      </c>
    </row>
    <row r="49" spans="1:1" x14ac:dyDescent="0.25">
      <c r="A49" t="s">
        <v>580</v>
      </c>
    </row>
    <row r="50" spans="1:1" x14ac:dyDescent="0.25">
      <c r="A50" t="s">
        <v>581</v>
      </c>
    </row>
    <row r="51" spans="1:1" x14ac:dyDescent="0.25">
      <c r="A51" t="s">
        <v>582</v>
      </c>
    </row>
    <row r="52" spans="1:1" x14ac:dyDescent="0.25">
      <c r="A52" t="s">
        <v>583</v>
      </c>
    </row>
    <row r="53" spans="1:1" x14ac:dyDescent="0.25">
      <c r="A53" t="s">
        <v>584</v>
      </c>
    </row>
    <row r="54" spans="1:1" x14ac:dyDescent="0.25">
      <c r="A54" t="s">
        <v>585</v>
      </c>
    </row>
    <row r="55" spans="1:1" x14ac:dyDescent="0.25">
      <c r="A55" t="s">
        <v>586</v>
      </c>
    </row>
    <row r="56" spans="1:1" x14ac:dyDescent="0.25">
      <c r="A56" t="s">
        <v>587</v>
      </c>
    </row>
    <row r="57" spans="1:1" x14ac:dyDescent="0.25">
      <c r="A57" t="s">
        <v>588</v>
      </c>
    </row>
    <row r="58" spans="1:1" x14ac:dyDescent="0.25">
      <c r="A58" t="s">
        <v>589</v>
      </c>
    </row>
    <row r="59" spans="1:1" x14ac:dyDescent="0.25">
      <c r="A59" t="s">
        <v>590</v>
      </c>
    </row>
    <row r="60" spans="1:1" x14ac:dyDescent="0.25">
      <c r="A60" t="s">
        <v>591</v>
      </c>
    </row>
    <row r="61" spans="1:1" x14ac:dyDescent="0.25">
      <c r="A61" t="s">
        <v>592</v>
      </c>
    </row>
    <row r="62" spans="1:1" x14ac:dyDescent="0.25">
      <c r="A62" t="s">
        <v>593</v>
      </c>
    </row>
    <row r="63" spans="1:1" x14ac:dyDescent="0.25">
      <c r="A63" t="s">
        <v>594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K30"/>
  <sheetViews>
    <sheetView workbookViewId="0"/>
  </sheetViews>
  <sheetFormatPr defaultRowHeight="15" x14ac:dyDescent="0.25"/>
  <sheetData>
    <row r="2" spans="1:63" x14ac:dyDescent="0.25">
      <c r="A2" t="s">
        <v>595</v>
      </c>
      <c r="B2" t="s">
        <v>602</v>
      </c>
      <c r="C2" t="s">
        <v>608</v>
      </c>
      <c r="D2" t="s">
        <v>614</v>
      </c>
      <c r="E2" t="s">
        <v>622</v>
      </c>
      <c r="F2" t="s">
        <v>628</v>
      </c>
      <c r="G2" t="s">
        <v>637</v>
      </c>
      <c r="H2" t="s">
        <v>647</v>
      </c>
      <c r="I2" t="s">
        <v>668</v>
      </c>
      <c r="J2" t="s">
        <v>676</v>
      </c>
      <c r="K2" t="s">
        <v>684</v>
      </c>
      <c r="L2" t="s">
        <v>692</v>
      </c>
      <c r="M2" t="s">
        <v>700</v>
      </c>
      <c r="N2" t="s">
        <v>708</v>
      </c>
      <c r="O2" t="s">
        <v>724</v>
      </c>
      <c r="P2" t="s">
        <v>733</v>
      </c>
      <c r="Q2" t="s">
        <v>742</v>
      </c>
      <c r="R2" t="s">
        <v>752</v>
      </c>
      <c r="S2" t="s">
        <v>759</v>
      </c>
      <c r="T2" t="s">
        <v>769</v>
      </c>
      <c r="U2" t="s">
        <v>776</v>
      </c>
      <c r="V2" t="s">
        <v>793</v>
      </c>
      <c r="W2" t="s">
        <v>802</v>
      </c>
      <c r="X2" t="s">
        <v>807</v>
      </c>
      <c r="Y2" t="s">
        <v>814</v>
      </c>
      <c r="Z2" t="s">
        <v>824</v>
      </c>
      <c r="AA2" t="s">
        <v>832</v>
      </c>
      <c r="AB2" t="s">
        <v>846</v>
      </c>
      <c r="AC2" t="s">
        <v>855</v>
      </c>
      <c r="AD2" t="s">
        <v>865</v>
      </c>
      <c r="AE2" t="s">
        <v>876</v>
      </c>
      <c r="AF2" t="s">
        <v>884</v>
      </c>
      <c r="AG2" t="s">
        <v>904</v>
      </c>
      <c r="AH2" t="s">
        <v>911</v>
      </c>
      <c r="AI2" t="s">
        <v>920</v>
      </c>
      <c r="AJ2" t="s">
        <v>934</v>
      </c>
      <c r="AK2" t="s">
        <v>947</v>
      </c>
      <c r="AL2" t="s">
        <v>958</v>
      </c>
      <c r="AM2" t="s">
        <v>970</v>
      </c>
      <c r="AN2" t="s">
        <v>981</v>
      </c>
      <c r="AO2" t="s">
        <v>993</v>
      </c>
      <c r="AP2" t="s">
        <v>1000</v>
      </c>
      <c r="AQ2" t="s">
        <v>1008</v>
      </c>
      <c r="AR2" t="s">
        <v>1016</v>
      </c>
      <c r="AS2" t="s">
        <v>1022</v>
      </c>
      <c r="AT2" t="s">
        <v>1030</v>
      </c>
      <c r="AU2" t="s">
        <v>1038</v>
      </c>
      <c r="AV2" t="s">
        <v>1064</v>
      </c>
      <c r="AW2" t="s">
        <v>1074</v>
      </c>
      <c r="AX2" t="s">
        <v>1084</v>
      </c>
      <c r="AY2" t="s">
        <v>1092</v>
      </c>
      <c r="AZ2" t="s">
        <v>1099</v>
      </c>
      <c r="BA2" t="s">
        <v>1110</v>
      </c>
      <c r="BB2" t="s">
        <v>1117</v>
      </c>
      <c r="BC2" t="s">
        <v>1125</v>
      </c>
      <c r="BD2" t="s">
        <v>1133</v>
      </c>
      <c r="BE2" t="s">
        <v>1142</v>
      </c>
      <c r="BF2" t="s">
        <v>1171</v>
      </c>
      <c r="BG2" t="s">
        <v>1182</v>
      </c>
      <c r="BH2" t="s">
        <v>1188</v>
      </c>
      <c r="BI2" t="s">
        <v>1200</v>
      </c>
      <c r="BJ2" t="s">
        <v>1214</v>
      </c>
      <c r="BK2" t="s">
        <v>1221</v>
      </c>
    </row>
    <row r="3" spans="1:63" x14ac:dyDescent="0.25">
      <c r="A3" t="s">
        <v>596</v>
      </c>
      <c r="B3" t="s">
        <v>603</v>
      </c>
      <c r="C3" t="s">
        <v>609</v>
      </c>
      <c r="D3" t="s">
        <v>615</v>
      </c>
      <c r="E3" t="s">
        <v>623</v>
      </c>
      <c r="F3" t="s">
        <v>629</v>
      </c>
      <c r="G3" t="s">
        <v>638</v>
      </c>
      <c r="H3" t="s">
        <v>648</v>
      </c>
      <c r="I3" t="s">
        <v>669</v>
      </c>
      <c r="J3" t="s">
        <v>677</v>
      </c>
      <c r="K3" t="s">
        <v>685</v>
      </c>
      <c r="L3" t="s">
        <v>693</v>
      </c>
      <c r="M3" t="s">
        <v>701</v>
      </c>
      <c r="N3" t="s">
        <v>709</v>
      </c>
      <c r="O3" t="s">
        <v>725</v>
      </c>
      <c r="P3" t="s">
        <v>734</v>
      </c>
      <c r="Q3" t="s">
        <v>743</v>
      </c>
      <c r="R3" t="s">
        <v>753</v>
      </c>
      <c r="S3" t="s">
        <v>760</v>
      </c>
      <c r="T3" t="s">
        <v>770</v>
      </c>
      <c r="U3" t="s">
        <v>777</v>
      </c>
      <c r="V3" t="s">
        <v>794</v>
      </c>
      <c r="W3" t="s">
        <v>803</v>
      </c>
      <c r="X3" t="s">
        <v>808</v>
      </c>
      <c r="Y3" t="s">
        <v>815</v>
      </c>
      <c r="Z3" t="s">
        <v>825</v>
      </c>
      <c r="AA3" t="s">
        <v>833</v>
      </c>
      <c r="AB3" t="s">
        <v>847</v>
      </c>
      <c r="AC3" t="s">
        <v>856</v>
      </c>
      <c r="AD3" t="s">
        <v>866</v>
      </c>
      <c r="AE3" t="s">
        <v>877</v>
      </c>
      <c r="AF3" t="s">
        <v>885</v>
      </c>
      <c r="AG3" t="s">
        <v>905</v>
      </c>
      <c r="AH3" t="s">
        <v>912</v>
      </c>
      <c r="AI3" t="s">
        <v>921</v>
      </c>
      <c r="AJ3" t="s">
        <v>935</v>
      </c>
      <c r="AK3" t="s">
        <v>948</v>
      </c>
      <c r="AL3" t="s">
        <v>959</v>
      </c>
      <c r="AM3" t="s">
        <v>971</v>
      </c>
      <c r="AN3" t="s">
        <v>982</v>
      </c>
      <c r="AO3" t="s">
        <v>994</v>
      </c>
      <c r="AP3" t="s">
        <v>1001</v>
      </c>
      <c r="AQ3" t="s">
        <v>1009</v>
      </c>
      <c r="AR3" t="s">
        <v>1017</v>
      </c>
      <c r="AS3" t="s">
        <v>1023</v>
      </c>
      <c r="AT3" t="s">
        <v>1031</v>
      </c>
      <c r="AU3" t="s">
        <v>1039</v>
      </c>
      <c r="AV3" t="s">
        <v>1065</v>
      </c>
      <c r="AW3" t="s">
        <v>1075</v>
      </c>
      <c r="AX3" t="s">
        <v>1085</v>
      </c>
      <c r="AY3" t="s">
        <v>1093</v>
      </c>
      <c r="AZ3" t="s">
        <v>1100</v>
      </c>
      <c r="BA3" t="s">
        <v>1111</v>
      </c>
      <c r="BB3" t="s">
        <v>1118</v>
      </c>
      <c r="BC3" t="s">
        <v>1126</v>
      </c>
      <c r="BD3" t="s">
        <v>1134</v>
      </c>
      <c r="BE3" t="s">
        <v>1143</v>
      </c>
      <c r="BF3" t="s">
        <v>1172</v>
      </c>
      <c r="BG3" t="s">
        <v>1183</v>
      </c>
      <c r="BH3" t="s">
        <v>1189</v>
      </c>
      <c r="BI3" t="s">
        <v>1201</v>
      </c>
      <c r="BJ3" t="s">
        <v>1215</v>
      </c>
      <c r="BK3" t="s">
        <v>1222</v>
      </c>
    </row>
    <row r="4" spans="1:63" x14ac:dyDescent="0.25">
      <c r="A4" t="s">
        <v>597</v>
      </c>
      <c r="B4" t="s">
        <v>604</v>
      </c>
      <c r="C4" t="s">
        <v>610</v>
      </c>
      <c r="D4" t="s">
        <v>616</v>
      </c>
      <c r="E4" t="s">
        <v>624</v>
      </c>
      <c r="F4" t="s">
        <v>630</v>
      </c>
      <c r="G4" t="s">
        <v>639</v>
      </c>
      <c r="H4" t="s">
        <v>649</v>
      </c>
      <c r="I4" t="s">
        <v>670</v>
      </c>
      <c r="J4" t="s">
        <v>678</v>
      </c>
      <c r="K4" t="s">
        <v>686</v>
      </c>
      <c r="L4" t="s">
        <v>694</v>
      </c>
      <c r="M4" t="s">
        <v>702</v>
      </c>
      <c r="N4" t="s">
        <v>710</v>
      </c>
      <c r="O4" t="s">
        <v>726</v>
      </c>
      <c r="P4" t="s">
        <v>735</v>
      </c>
      <c r="Q4" t="s">
        <v>744</v>
      </c>
      <c r="R4" t="s">
        <v>754</v>
      </c>
      <c r="S4" t="s">
        <v>761</v>
      </c>
      <c r="T4" t="s">
        <v>771</v>
      </c>
      <c r="U4" t="s">
        <v>778</v>
      </c>
      <c r="V4" t="s">
        <v>795</v>
      </c>
      <c r="W4" t="s">
        <v>804</v>
      </c>
      <c r="X4" t="s">
        <v>809</v>
      </c>
      <c r="Y4" t="s">
        <v>816</v>
      </c>
      <c r="Z4" t="s">
        <v>826</v>
      </c>
      <c r="AA4" t="s">
        <v>834</v>
      </c>
      <c r="AB4" t="s">
        <v>848</v>
      </c>
      <c r="AC4" t="s">
        <v>857</v>
      </c>
      <c r="AD4" t="s">
        <v>867</v>
      </c>
      <c r="AE4" t="s">
        <v>878</v>
      </c>
      <c r="AF4" t="s">
        <v>886</v>
      </c>
      <c r="AG4" t="s">
        <v>906</v>
      </c>
      <c r="AH4" t="s">
        <v>913</v>
      </c>
      <c r="AI4" t="s">
        <v>922</v>
      </c>
      <c r="AJ4" t="s">
        <v>936</v>
      </c>
      <c r="AK4" t="s">
        <v>949</v>
      </c>
      <c r="AL4" t="s">
        <v>960</v>
      </c>
      <c r="AM4" t="s">
        <v>972</v>
      </c>
      <c r="AN4" t="s">
        <v>983</v>
      </c>
      <c r="AO4" t="s">
        <v>995</v>
      </c>
      <c r="AP4" t="s">
        <v>1002</v>
      </c>
      <c r="AQ4" t="s">
        <v>1010</v>
      </c>
      <c r="AR4" t="s">
        <v>1018</v>
      </c>
      <c r="AS4" t="s">
        <v>1024</v>
      </c>
      <c r="AT4" t="s">
        <v>1032</v>
      </c>
      <c r="AU4" t="s">
        <v>1040</v>
      </c>
      <c r="AV4" t="s">
        <v>1066</v>
      </c>
      <c r="AW4" t="s">
        <v>1076</v>
      </c>
      <c r="AX4" t="s">
        <v>1086</v>
      </c>
      <c r="AY4" t="s">
        <v>1094</v>
      </c>
      <c r="AZ4" t="s">
        <v>1101</v>
      </c>
      <c r="BA4" t="s">
        <v>1112</v>
      </c>
      <c r="BB4" t="s">
        <v>1119</v>
      </c>
      <c r="BC4" t="s">
        <v>1127</v>
      </c>
      <c r="BD4" t="s">
        <v>1135</v>
      </c>
      <c r="BE4" t="s">
        <v>1144</v>
      </c>
      <c r="BF4" t="s">
        <v>1173</v>
      </c>
      <c r="BG4" t="s">
        <v>1184</v>
      </c>
      <c r="BH4" t="s">
        <v>1190</v>
      </c>
      <c r="BI4" t="s">
        <v>1202</v>
      </c>
      <c r="BJ4" t="s">
        <v>1216</v>
      </c>
      <c r="BK4" t="s">
        <v>1223</v>
      </c>
    </row>
    <row r="5" spans="1:63" x14ac:dyDescent="0.25">
      <c r="A5" t="s">
        <v>598</v>
      </c>
      <c r="B5" t="s">
        <v>605</v>
      </c>
      <c r="C5" t="s">
        <v>611</v>
      </c>
      <c r="D5" t="s">
        <v>617</v>
      </c>
      <c r="E5" t="s">
        <v>625</v>
      </c>
      <c r="F5" t="s">
        <v>631</v>
      </c>
      <c r="G5" t="s">
        <v>640</v>
      </c>
      <c r="H5" t="s">
        <v>650</v>
      </c>
      <c r="I5" t="s">
        <v>671</v>
      </c>
      <c r="J5" t="s">
        <v>679</v>
      </c>
      <c r="K5" t="s">
        <v>687</v>
      </c>
      <c r="L5" t="s">
        <v>695</v>
      </c>
      <c r="M5" t="s">
        <v>703</v>
      </c>
      <c r="N5" t="s">
        <v>711</v>
      </c>
      <c r="O5" t="s">
        <v>727</v>
      </c>
      <c r="P5" t="s">
        <v>736</v>
      </c>
      <c r="Q5" t="s">
        <v>745</v>
      </c>
      <c r="R5" t="s">
        <v>755</v>
      </c>
      <c r="S5" t="s">
        <v>762</v>
      </c>
      <c r="T5" t="s">
        <v>772</v>
      </c>
      <c r="U5" t="s">
        <v>779</v>
      </c>
      <c r="V5" t="s">
        <v>796</v>
      </c>
      <c r="W5" t="s">
        <v>805</v>
      </c>
      <c r="X5" t="s">
        <v>810</v>
      </c>
      <c r="Y5" t="s">
        <v>817</v>
      </c>
      <c r="Z5" t="s">
        <v>827</v>
      </c>
      <c r="AA5" t="s">
        <v>835</v>
      </c>
      <c r="AB5" t="s">
        <v>849</v>
      </c>
      <c r="AC5" t="s">
        <v>858</v>
      </c>
      <c r="AD5" t="s">
        <v>868</v>
      </c>
      <c r="AE5" t="s">
        <v>879</v>
      </c>
      <c r="AF5" t="s">
        <v>887</v>
      </c>
      <c r="AG5" t="s">
        <v>907</v>
      </c>
      <c r="AH5" t="s">
        <v>914</v>
      </c>
      <c r="AI5" t="s">
        <v>923</v>
      </c>
      <c r="AJ5" t="s">
        <v>937</v>
      </c>
      <c r="AK5" t="s">
        <v>950</v>
      </c>
      <c r="AL5" t="s">
        <v>961</v>
      </c>
      <c r="AM5" t="s">
        <v>973</v>
      </c>
      <c r="AN5" t="s">
        <v>984</v>
      </c>
      <c r="AO5" t="s">
        <v>996</v>
      </c>
      <c r="AP5" t="s">
        <v>1003</v>
      </c>
      <c r="AQ5" t="s">
        <v>1011</v>
      </c>
      <c r="AR5" t="s">
        <v>1019</v>
      </c>
      <c r="AS5" t="s">
        <v>1025</v>
      </c>
      <c r="AT5" t="s">
        <v>1033</v>
      </c>
      <c r="AU5" t="s">
        <v>1041</v>
      </c>
      <c r="AV5" t="s">
        <v>1067</v>
      </c>
      <c r="AW5" t="s">
        <v>1077</v>
      </c>
      <c r="AX5" t="s">
        <v>1087</v>
      </c>
      <c r="AY5" t="s">
        <v>1095</v>
      </c>
      <c r="AZ5" t="s">
        <v>1102</v>
      </c>
      <c r="BA5" t="s">
        <v>1113</v>
      </c>
      <c r="BB5" t="s">
        <v>1120</v>
      </c>
      <c r="BC5" t="s">
        <v>1128</v>
      </c>
      <c r="BD5" t="s">
        <v>1136</v>
      </c>
      <c r="BE5" t="s">
        <v>1145</v>
      </c>
      <c r="BF5" t="s">
        <v>1174</v>
      </c>
      <c r="BG5" t="s">
        <v>1185</v>
      </c>
      <c r="BH5" t="s">
        <v>1191</v>
      </c>
      <c r="BI5" t="s">
        <v>1203</v>
      </c>
      <c r="BJ5" t="s">
        <v>1217</v>
      </c>
      <c r="BK5" t="s">
        <v>1224</v>
      </c>
    </row>
    <row r="6" spans="1:63" x14ac:dyDescent="0.25">
      <c r="A6" t="s">
        <v>599</v>
      </c>
      <c r="B6" t="s">
        <v>606</v>
      </c>
      <c r="C6" t="s">
        <v>612</v>
      </c>
      <c r="D6" t="s">
        <v>618</v>
      </c>
      <c r="E6" t="s">
        <v>626</v>
      </c>
      <c r="F6" t="s">
        <v>632</v>
      </c>
      <c r="G6" t="s">
        <v>641</v>
      </c>
      <c r="H6" t="s">
        <v>651</v>
      </c>
      <c r="I6" t="s">
        <v>672</v>
      </c>
      <c r="J6" t="s">
        <v>680</v>
      </c>
      <c r="K6" t="s">
        <v>688</v>
      </c>
      <c r="L6" t="s">
        <v>696</v>
      </c>
      <c r="M6" t="s">
        <v>704</v>
      </c>
      <c r="N6" t="s">
        <v>712</v>
      </c>
      <c r="O6" t="s">
        <v>728</v>
      </c>
      <c r="P6" t="s">
        <v>737</v>
      </c>
      <c r="Q6" t="s">
        <v>746</v>
      </c>
      <c r="R6" t="s">
        <v>756</v>
      </c>
      <c r="S6" t="s">
        <v>763</v>
      </c>
      <c r="T6" t="s">
        <v>773</v>
      </c>
      <c r="U6" t="s">
        <v>780</v>
      </c>
      <c r="V6" t="s">
        <v>797</v>
      </c>
      <c r="W6" t="s">
        <v>806</v>
      </c>
      <c r="X6" t="s">
        <v>811</v>
      </c>
      <c r="Y6" t="s">
        <v>818</v>
      </c>
      <c r="Z6" t="s">
        <v>828</v>
      </c>
      <c r="AA6" t="s">
        <v>836</v>
      </c>
      <c r="AB6" t="s">
        <v>850</v>
      </c>
      <c r="AC6" t="s">
        <v>859</v>
      </c>
      <c r="AD6" t="s">
        <v>869</v>
      </c>
      <c r="AE6" t="s">
        <v>880</v>
      </c>
      <c r="AF6" t="s">
        <v>888</v>
      </c>
      <c r="AG6" t="s">
        <v>908</v>
      </c>
      <c r="AH6" t="s">
        <v>915</v>
      </c>
      <c r="AI6" t="s">
        <v>924</v>
      </c>
      <c r="AJ6" t="s">
        <v>938</v>
      </c>
      <c r="AK6" t="s">
        <v>951</v>
      </c>
      <c r="AL6" t="s">
        <v>962</v>
      </c>
      <c r="AM6" t="s">
        <v>974</v>
      </c>
      <c r="AN6" t="s">
        <v>985</v>
      </c>
      <c r="AO6" t="s">
        <v>997</v>
      </c>
      <c r="AP6" t="s">
        <v>1004</v>
      </c>
      <c r="AQ6" t="s">
        <v>1012</v>
      </c>
      <c r="AR6" t="s">
        <v>1020</v>
      </c>
      <c r="AS6" t="s">
        <v>1026</v>
      </c>
      <c r="AT6" t="s">
        <v>1034</v>
      </c>
      <c r="AU6" t="s">
        <v>1042</v>
      </c>
      <c r="AV6" t="s">
        <v>1068</v>
      </c>
      <c r="AW6" t="s">
        <v>1078</v>
      </c>
      <c r="AX6" t="s">
        <v>1088</v>
      </c>
      <c r="AY6" t="s">
        <v>1096</v>
      </c>
      <c r="AZ6" t="s">
        <v>1103</v>
      </c>
      <c r="BA6" t="s">
        <v>1114</v>
      </c>
      <c r="BB6" t="s">
        <v>1121</v>
      </c>
      <c r="BC6" t="s">
        <v>1129</v>
      </c>
      <c r="BD6" t="s">
        <v>1137</v>
      </c>
      <c r="BE6" t="s">
        <v>1146</v>
      </c>
      <c r="BF6" t="s">
        <v>1175</v>
      </c>
      <c r="BG6" t="s">
        <v>1186</v>
      </c>
      <c r="BH6" t="s">
        <v>1192</v>
      </c>
      <c r="BI6" t="s">
        <v>1204</v>
      </c>
      <c r="BJ6" t="s">
        <v>1218</v>
      </c>
      <c r="BK6" t="s">
        <v>1225</v>
      </c>
    </row>
    <row r="7" spans="1:63" x14ac:dyDescent="0.25">
      <c r="A7" t="s">
        <v>600</v>
      </c>
      <c r="B7" t="s">
        <v>607</v>
      </c>
      <c r="C7" t="s">
        <v>613</v>
      </c>
      <c r="D7" t="s">
        <v>619</v>
      </c>
      <c r="E7" t="s">
        <v>627</v>
      </c>
      <c r="F7" t="s">
        <v>633</v>
      </c>
      <c r="G7" t="s">
        <v>642</v>
      </c>
      <c r="H7" t="s">
        <v>652</v>
      </c>
      <c r="I7" t="s">
        <v>673</v>
      </c>
      <c r="J7" t="s">
        <v>681</v>
      </c>
      <c r="K7" t="s">
        <v>689</v>
      </c>
      <c r="L7" t="s">
        <v>697</v>
      </c>
      <c r="M7" t="s">
        <v>705</v>
      </c>
      <c r="N7" t="s">
        <v>713</v>
      </c>
      <c r="O7" t="s">
        <v>729</v>
      </c>
      <c r="P7" t="s">
        <v>738</v>
      </c>
      <c r="Q7" t="s">
        <v>747</v>
      </c>
      <c r="R7" t="s">
        <v>757</v>
      </c>
      <c r="S7" t="s">
        <v>764</v>
      </c>
      <c r="T7" t="s">
        <v>774</v>
      </c>
      <c r="U7" t="s">
        <v>781</v>
      </c>
      <c r="V7" t="s">
        <v>798</v>
      </c>
      <c r="X7" t="s">
        <v>812</v>
      </c>
      <c r="Y7" t="s">
        <v>819</v>
      </c>
      <c r="Z7" t="s">
        <v>829</v>
      </c>
      <c r="AA7" t="s">
        <v>837</v>
      </c>
      <c r="AB7" t="s">
        <v>851</v>
      </c>
      <c r="AC7" t="s">
        <v>860</v>
      </c>
      <c r="AD7" t="s">
        <v>870</v>
      </c>
      <c r="AE7" t="s">
        <v>881</v>
      </c>
      <c r="AF7" t="s">
        <v>889</v>
      </c>
      <c r="AG7" t="s">
        <v>909</v>
      </c>
      <c r="AH7" t="s">
        <v>916</v>
      </c>
      <c r="AI7" t="s">
        <v>925</v>
      </c>
      <c r="AJ7" t="s">
        <v>939</v>
      </c>
      <c r="AK7" t="s">
        <v>952</v>
      </c>
      <c r="AL7" t="s">
        <v>963</v>
      </c>
      <c r="AM7" t="s">
        <v>975</v>
      </c>
      <c r="AN7" t="s">
        <v>986</v>
      </c>
      <c r="AO7" t="s">
        <v>998</v>
      </c>
      <c r="AP7" t="s">
        <v>1005</v>
      </c>
      <c r="AQ7" t="s">
        <v>1013</v>
      </c>
      <c r="AR7" t="s">
        <v>1021</v>
      </c>
      <c r="AS7" t="s">
        <v>1027</v>
      </c>
      <c r="AT7" t="s">
        <v>1035</v>
      </c>
      <c r="AU7" t="s">
        <v>1043</v>
      </c>
      <c r="AV7" t="s">
        <v>1069</v>
      </c>
      <c r="AW7" t="s">
        <v>1079</v>
      </c>
      <c r="AX7" t="s">
        <v>1089</v>
      </c>
      <c r="AY7" t="s">
        <v>1097</v>
      </c>
      <c r="AZ7" t="s">
        <v>1104</v>
      </c>
      <c r="BA7" t="s">
        <v>1115</v>
      </c>
      <c r="BB7" t="s">
        <v>1122</v>
      </c>
      <c r="BC7" t="s">
        <v>1130</v>
      </c>
      <c r="BD7" t="s">
        <v>1138</v>
      </c>
      <c r="BE7" t="s">
        <v>1147</v>
      </c>
      <c r="BF7" t="s">
        <v>1176</v>
      </c>
      <c r="BG7" t="s">
        <v>1187</v>
      </c>
      <c r="BH7" t="s">
        <v>1193</v>
      </c>
      <c r="BI7" t="s">
        <v>1205</v>
      </c>
      <c r="BJ7" t="s">
        <v>1219</v>
      </c>
      <c r="BK7" t="s">
        <v>1226</v>
      </c>
    </row>
    <row r="8" spans="1:63" x14ac:dyDescent="0.25">
      <c r="A8" t="s">
        <v>601</v>
      </c>
      <c r="D8" t="s">
        <v>620</v>
      </c>
      <c r="F8" t="s">
        <v>634</v>
      </c>
      <c r="G8" t="s">
        <v>643</v>
      </c>
      <c r="H8" t="s">
        <v>653</v>
      </c>
      <c r="I8" t="s">
        <v>674</v>
      </c>
      <c r="J8" t="s">
        <v>682</v>
      </c>
      <c r="K8" t="s">
        <v>690</v>
      </c>
      <c r="L8" t="s">
        <v>698</v>
      </c>
      <c r="M8" t="s">
        <v>706</v>
      </c>
      <c r="N8" t="s">
        <v>714</v>
      </c>
      <c r="O8" t="s">
        <v>730</v>
      </c>
      <c r="P8" t="s">
        <v>739</v>
      </c>
      <c r="Q8" t="s">
        <v>748</v>
      </c>
      <c r="R8" t="s">
        <v>758</v>
      </c>
      <c r="S8" t="s">
        <v>765</v>
      </c>
      <c r="T8" t="s">
        <v>775</v>
      </c>
      <c r="U8" t="s">
        <v>782</v>
      </c>
      <c r="V8" t="s">
        <v>799</v>
      </c>
      <c r="X8" t="s">
        <v>813</v>
      </c>
      <c r="Y8" t="s">
        <v>820</v>
      </c>
      <c r="Z8" t="s">
        <v>830</v>
      </c>
      <c r="AA8" t="s">
        <v>838</v>
      </c>
      <c r="AB8" t="s">
        <v>852</v>
      </c>
      <c r="AC8" t="s">
        <v>861</v>
      </c>
      <c r="AD8" t="s">
        <v>871</v>
      </c>
      <c r="AE8" t="s">
        <v>882</v>
      </c>
      <c r="AF8" t="s">
        <v>890</v>
      </c>
      <c r="AG8" t="s">
        <v>910</v>
      </c>
      <c r="AH8" t="s">
        <v>917</v>
      </c>
      <c r="AI8" t="s">
        <v>926</v>
      </c>
      <c r="AJ8" t="s">
        <v>940</v>
      </c>
      <c r="AK8" t="s">
        <v>953</v>
      </c>
      <c r="AL8" t="s">
        <v>964</v>
      </c>
      <c r="AM8" t="s">
        <v>976</v>
      </c>
      <c r="AN8" t="s">
        <v>987</v>
      </c>
      <c r="AO8" t="s">
        <v>999</v>
      </c>
      <c r="AP8" t="s">
        <v>1006</v>
      </c>
      <c r="AQ8" t="s">
        <v>1014</v>
      </c>
      <c r="AS8" t="s">
        <v>1028</v>
      </c>
      <c r="AT8" t="s">
        <v>1036</v>
      </c>
      <c r="AU8" t="s">
        <v>1044</v>
      </c>
      <c r="AV8" t="s">
        <v>1070</v>
      </c>
      <c r="AW8" t="s">
        <v>1080</v>
      </c>
      <c r="AX8" t="s">
        <v>1090</v>
      </c>
      <c r="AY8" t="s">
        <v>1098</v>
      </c>
      <c r="AZ8" t="s">
        <v>1105</v>
      </c>
      <c r="BA8" t="s">
        <v>1116</v>
      </c>
      <c r="BB8" t="s">
        <v>1123</v>
      </c>
      <c r="BC8" t="s">
        <v>1131</v>
      </c>
      <c r="BD8" t="s">
        <v>1139</v>
      </c>
      <c r="BE8" t="s">
        <v>1148</v>
      </c>
      <c r="BF8" t="s">
        <v>1177</v>
      </c>
      <c r="BH8" t="s">
        <v>1194</v>
      </c>
      <c r="BI8" t="s">
        <v>1206</v>
      </c>
      <c r="BJ8" t="s">
        <v>1220</v>
      </c>
      <c r="BK8" t="s">
        <v>1227</v>
      </c>
    </row>
    <row r="9" spans="1:63" x14ac:dyDescent="0.25">
      <c r="D9" t="s">
        <v>621</v>
      </c>
      <c r="F9" t="s">
        <v>635</v>
      </c>
      <c r="G9" t="s">
        <v>644</v>
      </c>
      <c r="H9" t="s">
        <v>654</v>
      </c>
      <c r="I9" t="s">
        <v>675</v>
      </c>
      <c r="J9" t="s">
        <v>683</v>
      </c>
      <c r="K9" t="s">
        <v>691</v>
      </c>
      <c r="L9" t="s">
        <v>699</v>
      </c>
      <c r="M9" t="s">
        <v>707</v>
      </c>
      <c r="N9" t="s">
        <v>715</v>
      </c>
      <c r="O9" t="s">
        <v>731</v>
      </c>
      <c r="P9" t="s">
        <v>740</v>
      </c>
      <c r="Q9" t="s">
        <v>749</v>
      </c>
      <c r="S9" t="s">
        <v>766</v>
      </c>
      <c r="U9" t="s">
        <v>783</v>
      </c>
      <c r="V9" t="s">
        <v>800</v>
      </c>
      <c r="Y9" t="s">
        <v>821</v>
      </c>
      <c r="Z9" t="s">
        <v>831</v>
      </c>
      <c r="AA9" t="s">
        <v>839</v>
      </c>
      <c r="AB9" t="s">
        <v>853</v>
      </c>
      <c r="AC9" t="s">
        <v>862</v>
      </c>
      <c r="AD9" t="s">
        <v>872</v>
      </c>
      <c r="AE9" t="s">
        <v>883</v>
      </c>
      <c r="AF9" t="s">
        <v>891</v>
      </c>
      <c r="AH9" t="s">
        <v>918</v>
      </c>
      <c r="AI9" t="s">
        <v>927</v>
      </c>
      <c r="AJ9" t="s">
        <v>941</v>
      </c>
      <c r="AK9" t="s">
        <v>954</v>
      </c>
      <c r="AL9" t="s">
        <v>965</v>
      </c>
      <c r="AM9" t="s">
        <v>977</v>
      </c>
      <c r="AN9" t="s">
        <v>988</v>
      </c>
      <c r="AP9" t="s">
        <v>1007</v>
      </c>
      <c r="AQ9" t="s">
        <v>1015</v>
      </c>
      <c r="AS9" t="s">
        <v>1029</v>
      </c>
      <c r="AT9" t="s">
        <v>1037</v>
      </c>
      <c r="AU9" t="s">
        <v>1045</v>
      </c>
      <c r="AV9" t="s">
        <v>1071</v>
      </c>
      <c r="AW9" t="s">
        <v>1081</v>
      </c>
      <c r="AX9" t="s">
        <v>1091</v>
      </c>
      <c r="AZ9" t="s">
        <v>1106</v>
      </c>
      <c r="BB9" t="s">
        <v>1124</v>
      </c>
      <c r="BC9" t="s">
        <v>1132</v>
      </c>
      <c r="BD9" t="s">
        <v>1140</v>
      </c>
      <c r="BE9" t="s">
        <v>1149</v>
      </c>
      <c r="BF9" t="s">
        <v>1178</v>
      </c>
      <c r="BH9" t="s">
        <v>1195</v>
      </c>
      <c r="BI9" t="s">
        <v>1207</v>
      </c>
      <c r="BK9" t="s">
        <v>1228</v>
      </c>
    </row>
    <row r="10" spans="1:63" x14ac:dyDescent="0.25">
      <c r="F10" t="s">
        <v>636</v>
      </c>
      <c r="G10" t="s">
        <v>645</v>
      </c>
      <c r="H10" t="s">
        <v>655</v>
      </c>
      <c r="N10" t="s">
        <v>716</v>
      </c>
      <c r="O10" t="s">
        <v>732</v>
      </c>
      <c r="P10" t="s">
        <v>741</v>
      </c>
      <c r="Q10" t="s">
        <v>750</v>
      </c>
      <c r="S10" t="s">
        <v>767</v>
      </c>
      <c r="U10" t="s">
        <v>784</v>
      </c>
      <c r="V10" t="s">
        <v>801</v>
      </c>
      <c r="Y10" t="s">
        <v>822</v>
      </c>
      <c r="AA10" t="s">
        <v>840</v>
      </c>
      <c r="AB10" t="s">
        <v>854</v>
      </c>
      <c r="AC10" t="s">
        <v>863</v>
      </c>
      <c r="AD10" t="s">
        <v>873</v>
      </c>
      <c r="AF10" t="s">
        <v>892</v>
      </c>
      <c r="AH10" t="s">
        <v>919</v>
      </c>
      <c r="AI10" t="s">
        <v>928</v>
      </c>
      <c r="AJ10" t="s">
        <v>942</v>
      </c>
      <c r="AK10" t="s">
        <v>955</v>
      </c>
      <c r="AL10" t="s">
        <v>966</v>
      </c>
      <c r="AM10" t="s">
        <v>978</v>
      </c>
      <c r="AN10" t="s">
        <v>989</v>
      </c>
      <c r="AU10" t="s">
        <v>1046</v>
      </c>
      <c r="AV10" t="s">
        <v>1072</v>
      </c>
      <c r="AW10" t="s">
        <v>1082</v>
      </c>
      <c r="AZ10" t="s">
        <v>1107</v>
      </c>
      <c r="BD10" t="s">
        <v>1141</v>
      </c>
      <c r="BE10" t="s">
        <v>1150</v>
      </c>
      <c r="BF10" t="s">
        <v>1179</v>
      </c>
      <c r="BH10" t="s">
        <v>1196</v>
      </c>
      <c r="BI10" t="s">
        <v>1208</v>
      </c>
      <c r="BK10" t="s">
        <v>1229</v>
      </c>
    </row>
    <row r="11" spans="1:63" x14ac:dyDescent="0.25">
      <c r="G11" t="s">
        <v>646</v>
      </c>
      <c r="H11" t="s">
        <v>656</v>
      </c>
      <c r="N11" t="s">
        <v>717</v>
      </c>
      <c r="Q11" t="s">
        <v>751</v>
      </c>
      <c r="S11" t="s">
        <v>768</v>
      </c>
      <c r="U11" t="s">
        <v>785</v>
      </c>
      <c r="Y11" t="s">
        <v>823</v>
      </c>
      <c r="AA11" t="s">
        <v>841</v>
      </c>
      <c r="AC11" t="s">
        <v>864</v>
      </c>
      <c r="AD11" t="s">
        <v>874</v>
      </c>
      <c r="AF11" t="s">
        <v>893</v>
      </c>
      <c r="AI11" t="s">
        <v>929</v>
      </c>
      <c r="AJ11" t="s">
        <v>943</v>
      </c>
      <c r="AK11" t="s">
        <v>956</v>
      </c>
      <c r="AL11" t="s">
        <v>967</v>
      </c>
      <c r="AM11" t="s">
        <v>979</v>
      </c>
      <c r="AN11" t="s">
        <v>990</v>
      </c>
      <c r="AU11" t="s">
        <v>1047</v>
      </c>
      <c r="AV11" t="s">
        <v>1073</v>
      </c>
      <c r="AW11" t="s">
        <v>1083</v>
      </c>
      <c r="AZ11" t="s">
        <v>1108</v>
      </c>
      <c r="BE11" t="s">
        <v>1151</v>
      </c>
      <c r="BF11" t="s">
        <v>1180</v>
      </c>
      <c r="BH11" t="s">
        <v>1197</v>
      </c>
      <c r="BI11" t="s">
        <v>1209</v>
      </c>
      <c r="BK11" t="s">
        <v>1230</v>
      </c>
    </row>
    <row r="12" spans="1:63" x14ac:dyDescent="0.25">
      <c r="H12" t="s">
        <v>657</v>
      </c>
      <c r="N12" t="s">
        <v>718</v>
      </c>
      <c r="U12" t="s">
        <v>786</v>
      </c>
      <c r="AA12" t="s">
        <v>842</v>
      </c>
      <c r="AD12" t="s">
        <v>875</v>
      </c>
      <c r="AF12" t="s">
        <v>894</v>
      </c>
      <c r="AI12" t="s">
        <v>930</v>
      </c>
      <c r="AJ12" t="s">
        <v>944</v>
      </c>
      <c r="AK12" t="s">
        <v>957</v>
      </c>
      <c r="AL12" t="s">
        <v>968</v>
      </c>
      <c r="AM12" t="s">
        <v>980</v>
      </c>
      <c r="AN12" t="s">
        <v>991</v>
      </c>
      <c r="AU12" t="s">
        <v>1048</v>
      </c>
      <c r="AZ12" t="s">
        <v>1109</v>
      </c>
      <c r="BE12" t="s">
        <v>1152</v>
      </c>
      <c r="BF12" t="s">
        <v>1181</v>
      </c>
      <c r="BH12" t="s">
        <v>1198</v>
      </c>
      <c r="BI12" t="s">
        <v>1210</v>
      </c>
    </row>
    <row r="13" spans="1:63" x14ac:dyDescent="0.25">
      <c r="H13" t="s">
        <v>658</v>
      </c>
      <c r="N13" t="s">
        <v>719</v>
      </c>
      <c r="U13" t="s">
        <v>787</v>
      </c>
      <c r="AA13" t="s">
        <v>843</v>
      </c>
      <c r="AF13" t="s">
        <v>895</v>
      </c>
      <c r="AI13" t="s">
        <v>931</v>
      </c>
      <c r="AJ13" t="s">
        <v>945</v>
      </c>
      <c r="AL13" t="s">
        <v>969</v>
      </c>
      <c r="AN13" t="s">
        <v>992</v>
      </c>
      <c r="AU13" t="s">
        <v>1049</v>
      </c>
      <c r="BE13" t="s">
        <v>1153</v>
      </c>
      <c r="BH13" t="s">
        <v>1199</v>
      </c>
      <c r="BI13" t="s">
        <v>1211</v>
      </c>
    </row>
    <row r="14" spans="1:63" x14ac:dyDescent="0.25">
      <c r="H14" t="s">
        <v>659</v>
      </c>
      <c r="N14" t="s">
        <v>720</v>
      </c>
      <c r="U14" t="s">
        <v>788</v>
      </c>
      <c r="AA14" t="s">
        <v>844</v>
      </c>
      <c r="AF14" t="s">
        <v>896</v>
      </c>
      <c r="AI14" t="s">
        <v>932</v>
      </c>
      <c r="AJ14" t="s">
        <v>946</v>
      </c>
      <c r="AU14" t="s">
        <v>1050</v>
      </c>
      <c r="BE14" t="s">
        <v>1154</v>
      </c>
      <c r="BI14" t="s">
        <v>1212</v>
      </c>
    </row>
    <row r="15" spans="1:63" x14ac:dyDescent="0.25">
      <c r="H15" t="s">
        <v>660</v>
      </c>
      <c r="N15" t="s">
        <v>721</v>
      </c>
      <c r="U15" t="s">
        <v>789</v>
      </c>
      <c r="AA15" t="s">
        <v>845</v>
      </c>
      <c r="AF15" t="s">
        <v>897</v>
      </c>
      <c r="AI15" t="s">
        <v>933</v>
      </c>
      <c r="AU15" t="s">
        <v>1051</v>
      </c>
      <c r="BE15" t="s">
        <v>1155</v>
      </c>
      <c r="BI15" t="s">
        <v>1213</v>
      </c>
    </row>
    <row r="16" spans="1:63" x14ac:dyDescent="0.25">
      <c r="H16" t="s">
        <v>661</v>
      </c>
      <c r="N16" t="s">
        <v>722</v>
      </c>
      <c r="U16" t="s">
        <v>790</v>
      </c>
      <c r="AF16" t="s">
        <v>898</v>
      </c>
      <c r="AU16" t="s">
        <v>1052</v>
      </c>
      <c r="BE16" t="s">
        <v>1156</v>
      </c>
    </row>
    <row r="17" spans="8:57" x14ac:dyDescent="0.25">
      <c r="H17" t="s">
        <v>662</v>
      </c>
      <c r="N17" t="s">
        <v>723</v>
      </c>
      <c r="U17" t="s">
        <v>791</v>
      </c>
      <c r="AF17" t="s">
        <v>899</v>
      </c>
      <c r="AU17" t="s">
        <v>1053</v>
      </c>
      <c r="BE17" t="s">
        <v>1157</v>
      </c>
    </row>
    <row r="18" spans="8:57" x14ac:dyDescent="0.25">
      <c r="H18" t="s">
        <v>663</v>
      </c>
      <c r="U18" t="s">
        <v>792</v>
      </c>
      <c r="AF18" t="s">
        <v>900</v>
      </c>
      <c r="AU18" t="s">
        <v>1054</v>
      </c>
      <c r="BE18" t="s">
        <v>1158</v>
      </c>
    </row>
    <row r="19" spans="8:57" x14ac:dyDescent="0.25">
      <c r="H19" t="s">
        <v>664</v>
      </c>
      <c r="AF19" t="s">
        <v>901</v>
      </c>
      <c r="AU19" t="s">
        <v>1055</v>
      </c>
      <c r="BE19" t="s">
        <v>1159</v>
      </c>
    </row>
    <row r="20" spans="8:57" x14ac:dyDescent="0.25">
      <c r="H20" t="s">
        <v>665</v>
      </c>
      <c r="AF20" t="s">
        <v>902</v>
      </c>
      <c r="AU20" t="s">
        <v>1056</v>
      </c>
      <c r="BE20" t="s">
        <v>1160</v>
      </c>
    </row>
    <row r="21" spans="8:57" x14ac:dyDescent="0.25">
      <c r="H21" t="s">
        <v>666</v>
      </c>
      <c r="AF21" t="s">
        <v>903</v>
      </c>
      <c r="AU21" t="s">
        <v>1057</v>
      </c>
      <c r="BE21" t="s">
        <v>1161</v>
      </c>
    </row>
    <row r="22" spans="8:57" x14ac:dyDescent="0.25">
      <c r="H22" t="s">
        <v>667</v>
      </c>
      <c r="AU22" t="s">
        <v>1058</v>
      </c>
      <c r="BE22" t="s">
        <v>1162</v>
      </c>
    </row>
    <row r="23" spans="8:57" x14ac:dyDescent="0.25">
      <c r="AU23" t="s">
        <v>1059</v>
      </c>
      <c r="BE23" t="s">
        <v>1163</v>
      </c>
    </row>
    <row r="24" spans="8:57" x14ac:dyDescent="0.25">
      <c r="AU24" t="s">
        <v>1060</v>
      </c>
      <c r="BE24" t="s">
        <v>1164</v>
      </c>
    </row>
    <row r="25" spans="8:57" x14ac:dyDescent="0.25">
      <c r="AU25" t="s">
        <v>1061</v>
      </c>
      <c r="BE25" t="s">
        <v>1165</v>
      </c>
    </row>
    <row r="26" spans="8:57" x14ac:dyDescent="0.25">
      <c r="AU26" t="s">
        <v>1062</v>
      </c>
      <c r="BE26" t="s">
        <v>1166</v>
      </c>
    </row>
    <row r="27" spans="8:57" x14ac:dyDescent="0.25">
      <c r="AU27" t="s">
        <v>1063</v>
      </c>
      <c r="BE27" t="s">
        <v>1167</v>
      </c>
    </row>
    <row r="28" spans="8:57" x14ac:dyDescent="0.25">
      <c r="BE28" t="s">
        <v>1168</v>
      </c>
    </row>
    <row r="29" spans="8:57" x14ac:dyDescent="0.25">
      <c r="BE29" t="s">
        <v>1169</v>
      </c>
    </row>
    <row r="30" spans="8:57" x14ac:dyDescent="0.25">
      <c r="BE30" t="s">
        <v>1170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ZW39"/>
  <sheetViews>
    <sheetView workbookViewId="0"/>
  </sheetViews>
  <sheetFormatPr defaultRowHeight="15" x14ac:dyDescent="0.25"/>
  <sheetData>
    <row r="2" spans="1:699" x14ac:dyDescent="0.25">
      <c r="A2" t="s">
        <v>1231</v>
      </c>
      <c r="B2" t="s">
        <v>1243</v>
      </c>
      <c r="C2" t="s">
        <v>1252</v>
      </c>
      <c r="D2" t="s">
        <v>1263</v>
      </c>
      <c r="E2" t="s">
        <v>1278</v>
      </c>
      <c r="F2" t="s">
        <v>1296</v>
      </c>
      <c r="G2" t="s">
        <v>1317</v>
      </c>
      <c r="H2" t="s">
        <v>1333</v>
      </c>
      <c r="I2" t="s">
        <v>1342</v>
      </c>
      <c r="J2" t="s">
        <v>1364</v>
      </c>
      <c r="K2" t="s">
        <v>1371</v>
      </c>
      <c r="L2" t="s">
        <v>1380</v>
      </c>
      <c r="M2" t="s">
        <v>1395</v>
      </c>
      <c r="N2" t="s">
        <v>1409</v>
      </c>
      <c r="O2" t="s">
        <v>1437</v>
      </c>
      <c r="P2" t="s">
        <v>1442</v>
      </c>
      <c r="Q2" t="s">
        <v>1454</v>
      </c>
      <c r="R2" t="s">
        <v>1476</v>
      </c>
      <c r="S2" t="s">
        <v>1496</v>
      </c>
      <c r="T2" t="s">
        <v>1514</v>
      </c>
      <c r="U2" t="s">
        <v>1528</v>
      </c>
      <c r="V2" t="s">
        <v>1565</v>
      </c>
      <c r="W2" t="s">
        <v>1580</v>
      </c>
      <c r="X2" t="s">
        <v>1592</v>
      </c>
      <c r="Y2" t="s">
        <v>1608</v>
      </c>
      <c r="Z2" t="s">
        <v>1622</v>
      </c>
      <c r="AA2" t="s">
        <v>1648</v>
      </c>
      <c r="AB2" t="s">
        <v>1658</v>
      </c>
      <c r="AC2" t="s">
        <v>1667</v>
      </c>
      <c r="AD2" t="s">
        <v>1688</v>
      </c>
      <c r="AE2" t="s">
        <v>1692</v>
      </c>
      <c r="AF2" t="s">
        <v>1706</v>
      </c>
      <c r="AG2" t="s">
        <v>1716</v>
      </c>
      <c r="AH2" t="s">
        <v>1736</v>
      </c>
      <c r="AI2" t="s">
        <v>1749</v>
      </c>
      <c r="AJ2" t="s">
        <v>1769</v>
      </c>
      <c r="AK2" t="s">
        <v>1782</v>
      </c>
      <c r="AL2" t="s">
        <v>1798</v>
      </c>
      <c r="AM2" t="s">
        <v>1805</v>
      </c>
      <c r="AN2" t="s">
        <v>1823</v>
      </c>
      <c r="AO2" t="s">
        <v>1825</v>
      </c>
      <c r="AP2" t="s">
        <v>1842</v>
      </c>
      <c r="AQ2" t="s">
        <v>1858</v>
      </c>
      <c r="AR2" t="s">
        <v>1868</v>
      </c>
      <c r="AS2" t="s">
        <v>1877</v>
      </c>
      <c r="AT2" t="s">
        <v>1899</v>
      </c>
      <c r="AU2" t="s">
        <v>1916</v>
      </c>
      <c r="AV2" t="s">
        <v>1931</v>
      </c>
      <c r="AW2" t="s">
        <v>1963</v>
      </c>
      <c r="AX2" t="s">
        <v>1976</v>
      </c>
      <c r="AY2" t="s">
        <v>1989</v>
      </c>
      <c r="AZ2" t="s">
        <v>2000</v>
      </c>
      <c r="BA2" t="s">
        <v>2027</v>
      </c>
      <c r="BB2" t="s">
        <v>2044</v>
      </c>
      <c r="BC2" t="s">
        <v>2051</v>
      </c>
      <c r="BD2" t="s">
        <v>2070</v>
      </c>
      <c r="BE2" t="s">
        <v>2106</v>
      </c>
      <c r="BF2" t="s">
        <v>2124</v>
      </c>
      <c r="BG2" t="s">
        <v>2134</v>
      </c>
      <c r="BH2" t="s">
        <v>2149</v>
      </c>
      <c r="BI2" t="s">
        <v>2159</v>
      </c>
      <c r="BJ2" t="s">
        <v>2179</v>
      </c>
      <c r="BK2" t="s">
        <v>2199</v>
      </c>
      <c r="BL2" t="s">
        <v>2208</v>
      </c>
      <c r="BM2" t="s">
        <v>2215</v>
      </c>
      <c r="BN2" t="s">
        <v>2230</v>
      </c>
      <c r="BO2" t="s">
        <v>2249</v>
      </c>
      <c r="BP2" t="s">
        <v>2263</v>
      </c>
      <c r="BQ2" t="s">
        <v>2277</v>
      </c>
      <c r="BR2" t="s">
        <v>2300</v>
      </c>
      <c r="BS2" t="s">
        <v>2311</v>
      </c>
      <c r="BT2" t="s">
        <v>2335</v>
      </c>
      <c r="BU2" t="s">
        <v>2350</v>
      </c>
      <c r="BV2" t="s">
        <v>2370</v>
      </c>
      <c r="BW2" t="s">
        <v>2387</v>
      </c>
      <c r="BX2" t="s">
        <v>2393</v>
      </c>
      <c r="BY2" t="s">
        <v>2407</v>
      </c>
      <c r="BZ2" t="s">
        <v>2426</v>
      </c>
      <c r="CA2" t="s">
        <v>2433</v>
      </c>
      <c r="CB2" t="s">
        <v>2445</v>
      </c>
      <c r="CC2" t="s">
        <v>2467</v>
      </c>
      <c r="CD2" t="s">
        <v>2482</v>
      </c>
      <c r="CE2" t="s">
        <v>2495</v>
      </c>
      <c r="CF2" t="s">
        <v>2501</v>
      </c>
      <c r="CG2" t="s">
        <v>2522</v>
      </c>
      <c r="CH2" t="s">
        <v>2534</v>
      </c>
      <c r="CI2" t="s">
        <v>2542</v>
      </c>
      <c r="CJ2" t="s">
        <v>2552</v>
      </c>
      <c r="CK2" t="s">
        <v>2559</v>
      </c>
      <c r="CL2" t="s">
        <v>2561</v>
      </c>
      <c r="CM2" t="s">
        <v>2569</v>
      </c>
      <c r="CN2" t="s">
        <v>2583</v>
      </c>
      <c r="CO2" t="s">
        <v>2590</v>
      </c>
      <c r="CP2" t="s">
        <v>2608</v>
      </c>
      <c r="CQ2" t="s">
        <v>2614</v>
      </c>
      <c r="CR2" t="s">
        <v>2620</v>
      </c>
      <c r="CS2" t="s">
        <v>2627</v>
      </c>
      <c r="CT2" t="s">
        <v>2642</v>
      </c>
      <c r="CU2" t="s">
        <v>2653</v>
      </c>
      <c r="CV2" t="s">
        <v>2672</v>
      </c>
      <c r="CW2" t="s">
        <v>2689</v>
      </c>
      <c r="CX2" t="s">
        <v>2720</v>
      </c>
      <c r="CY2" t="s">
        <v>2731</v>
      </c>
      <c r="CZ2" t="s">
        <v>2741</v>
      </c>
      <c r="DA2" t="s">
        <v>2752</v>
      </c>
      <c r="DB2" t="s">
        <v>2784</v>
      </c>
      <c r="DC2" t="s">
        <v>2795</v>
      </c>
      <c r="DD2" t="s">
        <v>2804</v>
      </c>
      <c r="DE2" t="s">
        <v>2816</v>
      </c>
      <c r="DF2" t="s">
        <v>2838</v>
      </c>
      <c r="DG2" t="s">
        <v>2875</v>
      </c>
      <c r="DH2" t="s">
        <v>2888</v>
      </c>
      <c r="DI2" t="s">
        <v>2904</v>
      </c>
      <c r="DJ2" t="s">
        <v>2909</v>
      </c>
      <c r="DK2" t="s">
        <v>2931</v>
      </c>
      <c r="DL2" t="s">
        <v>2942</v>
      </c>
      <c r="DM2" t="s">
        <v>2950</v>
      </c>
      <c r="DN2" t="s">
        <v>2963</v>
      </c>
      <c r="DO2" t="s">
        <v>2976</v>
      </c>
      <c r="DP2" t="s">
        <v>2988</v>
      </c>
      <c r="DQ2" t="s">
        <v>3003</v>
      </c>
      <c r="DR2" t="s">
        <v>3012</v>
      </c>
      <c r="DS2" t="s">
        <v>3031</v>
      </c>
      <c r="DT2" t="s">
        <v>3048</v>
      </c>
      <c r="DU2" t="s">
        <v>3065</v>
      </c>
      <c r="DV2" t="s">
        <v>3071</v>
      </c>
      <c r="DW2" t="s">
        <v>3080</v>
      </c>
      <c r="DX2" t="s">
        <v>3095</v>
      </c>
      <c r="DY2" t="s">
        <v>3111</v>
      </c>
      <c r="DZ2" t="s">
        <v>3124</v>
      </c>
      <c r="EA2" t="s">
        <v>3143</v>
      </c>
      <c r="EB2" t="s">
        <v>3156</v>
      </c>
      <c r="EC2" t="s">
        <v>3175</v>
      </c>
      <c r="ED2" t="s">
        <v>3203</v>
      </c>
      <c r="EE2" t="s">
        <v>3218</v>
      </c>
      <c r="EF2" t="s">
        <v>3227</v>
      </c>
      <c r="EG2" t="s">
        <v>3249</v>
      </c>
      <c r="EH2" t="s">
        <v>3257</v>
      </c>
      <c r="EI2" t="s">
        <v>3277</v>
      </c>
      <c r="EJ2" t="s">
        <v>3288</v>
      </c>
      <c r="EK2" t="s">
        <v>3303</v>
      </c>
      <c r="EL2" t="s">
        <v>3319</v>
      </c>
      <c r="EM2" t="s">
        <v>3325</v>
      </c>
      <c r="EN2" t="s">
        <v>3334</v>
      </c>
      <c r="EO2" t="s">
        <v>3353</v>
      </c>
      <c r="EP2" t="s">
        <v>3361</v>
      </c>
      <c r="EQ2" t="s">
        <v>3368</v>
      </c>
      <c r="ER2" t="s">
        <v>3394</v>
      </c>
      <c r="ES2" t="s">
        <v>3414</v>
      </c>
      <c r="ET2" t="s">
        <v>3435</v>
      </c>
      <c r="EU2" t="s">
        <v>3437</v>
      </c>
      <c r="EV2" t="s">
        <v>3446</v>
      </c>
      <c r="EW2" t="s">
        <v>3457</v>
      </c>
      <c r="EX2" t="s">
        <v>3471</v>
      </c>
      <c r="EY2" t="s">
        <v>3478</v>
      </c>
      <c r="EZ2" t="s">
        <v>3486</v>
      </c>
      <c r="FA2" t="s">
        <v>3492</v>
      </c>
      <c r="FB2" t="s">
        <v>3498</v>
      </c>
      <c r="FC2" t="s">
        <v>3510</v>
      </c>
      <c r="FD2" t="s">
        <v>3520</v>
      </c>
      <c r="FE2" t="s">
        <v>3536</v>
      </c>
      <c r="FF2" t="s">
        <v>3546</v>
      </c>
      <c r="FG2" t="s">
        <v>3560</v>
      </c>
      <c r="FH2" t="s">
        <v>3570</v>
      </c>
      <c r="FI2" t="s">
        <v>3590</v>
      </c>
      <c r="FJ2" t="s">
        <v>3601</v>
      </c>
      <c r="FK2" t="s">
        <v>3613</v>
      </c>
      <c r="FL2" t="s">
        <v>3636</v>
      </c>
      <c r="FM2" t="s">
        <v>3642</v>
      </c>
      <c r="FN2" t="s">
        <v>3653</v>
      </c>
      <c r="FO2" t="s">
        <v>3664</v>
      </c>
      <c r="FP2" t="s">
        <v>3680</v>
      </c>
      <c r="FQ2" t="s">
        <v>3686</v>
      </c>
      <c r="FR2" t="s">
        <v>3706</v>
      </c>
      <c r="FS2" t="s">
        <v>3715</v>
      </c>
      <c r="FT2" t="s">
        <v>3727</v>
      </c>
      <c r="FU2" t="s">
        <v>3743</v>
      </c>
      <c r="FV2" t="s">
        <v>3760</v>
      </c>
      <c r="FW2" t="s">
        <v>3775</v>
      </c>
      <c r="FX2" t="s">
        <v>3783</v>
      </c>
      <c r="FY2" t="s">
        <v>3802</v>
      </c>
      <c r="FZ2" t="s">
        <v>3809</v>
      </c>
      <c r="GA2" t="s">
        <v>3823</v>
      </c>
      <c r="GB2" t="s">
        <v>3832</v>
      </c>
      <c r="GC2" t="s">
        <v>3841</v>
      </c>
      <c r="GD2" t="s">
        <v>3845</v>
      </c>
      <c r="GE2" t="s">
        <v>3853</v>
      </c>
      <c r="GF2" t="s">
        <v>3863</v>
      </c>
      <c r="GG2" t="s">
        <v>3882</v>
      </c>
      <c r="GH2" t="s">
        <v>3894</v>
      </c>
      <c r="GI2" t="s">
        <v>3903</v>
      </c>
      <c r="GJ2" t="s">
        <v>3910</v>
      </c>
      <c r="GK2" t="s">
        <v>3923</v>
      </c>
      <c r="GL2" t="s">
        <v>3941</v>
      </c>
      <c r="GM2" t="s">
        <v>3951</v>
      </c>
      <c r="GN2" t="s">
        <v>3961</v>
      </c>
      <c r="GO2" t="s">
        <v>3985</v>
      </c>
      <c r="GP2" t="s">
        <v>4004</v>
      </c>
      <c r="GQ2" t="s">
        <v>4042</v>
      </c>
      <c r="GR2" t="s">
        <v>4051</v>
      </c>
      <c r="GS2" t="s">
        <v>4061</v>
      </c>
      <c r="GT2" t="s">
        <v>4075</v>
      </c>
      <c r="GU2" t="s">
        <v>4098</v>
      </c>
      <c r="GV2" t="s">
        <v>4108</v>
      </c>
      <c r="GW2" t="s">
        <v>4141</v>
      </c>
      <c r="GX2" t="s">
        <v>4162</v>
      </c>
      <c r="GY2" t="s">
        <v>4179</v>
      </c>
      <c r="GZ2" t="s">
        <v>4191</v>
      </c>
      <c r="HA2" t="s">
        <v>4200</v>
      </c>
      <c r="HB2" t="s">
        <v>4213</v>
      </c>
      <c r="HC2" t="s">
        <v>4224</v>
      </c>
      <c r="HD2" t="s">
        <v>4238</v>
      </c>
      <c r="HE2" t="s">
        <v>4254</v>
      </c>
      <c r="HF2" t="s">
        <v>4283</v>
      </c>
      <c r="HG2" t="s">
        <v>4295</v>
      </c>
      <c r="HH2" t="s">
        <v>4326</v>
      </c>
      <c r="HI2" t="s">
        <v>4333</v>
      </c>
      <c r="HJ2" t="s">
        <v>4356</v>
      </c>
      <c r="HK2" t="s">
        <v>4376</v>
      </c>
      <c r="HL2" t="s">
        <v>4389</v>
      </c>
      <c r="HM2" t="s">
        <v>4404</v>
      </c>
      <c r="HN2" t="s">
        <v>4412</v>
      </c>
      <c r="HO2" t="s">
        <v>4419</v>
      </c>
      <c r="HP2" t="s">
        <v>4426</v>
      </c>
      <c r="HQ2" t="s">
        <v>4441</v>
      </c>
      <c r="HR2" t="s">
        <v>4457</v>
      </c>
      <c r="HS2" t="s">
        <v>4480</v>
      </c>
      <c r="HT2" t="s">
        <v>4489</v>
      </c>
      <c r="HU2" t="s">
        <v>4516</v>
      </c>
      <c r="HV2" t="s">
        <v>4526</v>
      </c>
      <c r="HW2" t="s">
        <v>4533</v>
      </c>
      <c r="HX2" t="s">
        <v>4543</v>
      </c>
      <c r="HY2" t="s">
        <v>4552</v>
      </c>
      <c r="HZ2" t="s">
        <v>4568</v>
      </c>
      <c r="IA2" t="s">
        <v>4576</v>
      </c>
      <c r="IB2" t="s">
        <v>4590</v>
      </c>
      <c r="IC2" t="s">
        <v>4599</v>
      </c>
      <c r="ID2" t="s">
        <v>4608</v>
      </c>
      <c r="IE2" t="s">
        <v>4613</v>
      </c>
      <c r="IF2" t="s">
        <v>4623</v>
      </c>
      <c r="IG2" t="s">
        <v>4639</v>
      </c>
      <c r="IH2" t="s">
        <v>4644</v>
      </c>
      <c r="II2" t="s">
        <v>4653</v>
      </c>
      <c r="IJ2" t="s">
        <v>4671</v>
      </c>
      <c r="IK2" t="s">
        <v>4695</v>
      </c>
      <c r="IL2" t="s">
        <v>4706</v>
      </c>
      <c r="IM2" t="s">
        <v>4712</v>
      </c>
      <c r="IN2" t="s">
        <v>4718</v>
      </c>
      <c r="IO2" t="s">
        <v>4737</v>
      </c>
      <c r="IP2" t="s">
        <v>4769</v>
      </c>
      <c r="IQ2" t="s">
        <v>4777</v>
      </c>
      <c r="IR2" t="s">
        <v>4794</v>
      </c>
      <c r="IS2" t="s">
        <v>4815</v>
      </c>
      <c r="IT2" t="s">
        <v>4826</v>
      </c>
      <c r="IU2" t="s">
        <v>4836</v>
      </c>
      <c r="IV2" t="s">
        <v>4847</v>
      </c>
      <c r="IW2" t="s">
        <v>4862</v>
      </c>
      <c r="IX2" t="s">
        <v>4873</v>
      </c>
      <c r="IY2" t="s">
        <v>4884</v>
      </c>
      <c r="IZ2" t="s">
        <v>4890</v>
      </c>
      <c r="JA2" t="s">
        <v>4896</v>
      </c>
      <c r="JB2" t="s">
        <v>4921</v>
      </c>
      <c r="JC2" t="s">
        <v>4931</v>
      </c>
      <c r="JD2" t="s">
        <v>4941</v>
      </c>
      <c r="JE2" t="s">
        <v>4951</v>
      </c>
      <c r="JF2" t="s">
        <v>4959</v>
      </c>
      <c r="JG2" t="s">
        <v>4977</v>
      </c>
      <c r="JH2" t="s">
        <v>4982</v>
      </c>
      <c r="JI2" t="s">
        <v>4994</v>
      </c>
      <c r="JJ2" t="s">
        <v>5013</v>
      </c>
      <c r="JK2" t="s">
        <v>5024</v>
      </c>
      <c r="JL2" t="s">
        <v>5046</v>
      </c>
      <c r="JM2" t="s">
        <v>5068</v>
      </c>
      <c r="JN2" t="s">
        <v>5079</v>
      </c>
      <c r="JO2" t="s">
        <v>5102</v>
      </c>
      <c r="JP2" t="s">
        <v>5117</v>
      </c>
      <c r="JQ2" t="s">
        <v>5134</v>
      </c>
      <c r="JR2" t="s">
        <v>5136</v>
      </c>
      <c r="JS2" t="s">
        <v>5156</v>
      </c>
      <c r="JT2" t="s">
        <v>5167</v>
      </c>
      <c r="JU2" t="s">
        <v>5174</v>
      </c>
      <c r="JV2" t="s">
        <v>5180</v>
      </c>
      <c r="JW2" t="s">
        <v>5187</v>
      </c>
      <c r="JX2" t="s">
        <v>5197</v>
      </c>
      <c r="JY2" t="s">
        <v>5211</v>
      </c>
      <c r="JZ2" t="s">
        <v>5229</v>
      </c>
      <c r="KA2" t="s">
        <v>5235</v>
      </c>
      <c r="KB2" t="s">
        <v>5245</v>
      </c>
      <c r="KC2" t="s">
        <v>5252</v>
      </c>
      <c r="KD2" t="s">
        <v>5264</v>
      </c>
      <c r="KE2" t="s">
        <v>5273</v>
      </c>
      <c r="KF2" t="s">
        <v>5280</v>
      </c>
      <c r="KG2" t="s">
        <v>5289</v>
      </c>
      <c r="KH2" t="s">
        <v>5297</v>
      </c>
      <c r="KI2" t="s">
        <v>5311</v>
      </c>
      <c r="KJ2" t="s">
        <v>5323</v>
      </c>
      <c r="KK2" t="s">
        <v>5330</v>
      </c>
      <c r="KL2" t="s">
        <v>5358</v>
      </c>
      <c r="KM2" t="s">
        <v>5372</v>
      </c>
      <c r="KN2" t="s">
        <v>5386</v>
      </c>
      <c r="KO2" t="s">
        <v>5406</v>
      </c>
      <c r="KP2" t="s">
        <v>5422</v>
      </c>
      <c r="KQ2" t="s">
        <v>5440</v>
      </c>
      <c r="KR2" t="s">
        <v>5457</v>
      </c>
      <c r="KS2" t="s">
        <v>5470</v>
      </c>
      <c r="KT2" t="s">
        <v>5483</v>
      </c>
      <c r="KU2" t="s">
        <v>5488</v>
      </c>
      <c r="KV2" t="s">
        <v>5500</v>
      </c>
      <c r="KW2" t="s">
        <v>5514</v>
      </c>
      <c r="KX2" t="s">
        <v>5521</v>
      </c>
      <c r="KY2" t="s">
        <v>5528</v>
      </c>
      <c r="KZ2" t="s">
        <v>5553</v>
      </c>
      <c r="LA2" t="s">
        <v>5564</v>
      </c>
      <c r="LB2" t="s">
        <v>5579</v>
      </c>
      <c r="LC2" t="s">
        <v>5592</v>
      </c>
      <c r="LD2" t="s">
        <v>5608</v>
      </c>
      <c r="LE2" t="s">
        <v>5617</v>
      </c>
      <c r="LF2" t="s">
        <v>5638</v>
      </c>
      <c r="LG2" t="s">
        <v>5667</v>
      </c>
      <c r="LH2" t="s">
        <v>5677</v>
      </c>
      <c r="LI2" t="s">
        <v>5685</v>
      </c>
      <c r="LJ2" t="s">
        <v>5697</v>
      </c>
      <c r="LK2" t="s">
        <v>5706</v>
      </c>
      <c r="LL2" t="s">
        <v>5718</v>
      </c>
      <c r="LM2" t="s">
        <v>5733</v>
      </c>
      <c r="LN2" t="s">
        <v>5741</v>
      </c>
      <c r="LO2" t="s">
        <v>5758</v>
      </c>
      <c r="LP2" t="s">
        <v>5771</v>
      </c>
      <c r="LQ2" t="s">
        <v>5796</v>
      </c>
      <c r="LR2" t="s">
        <v>5802</v>
      </c>
      <c r="LS2" t="s">
        <v>5810</v>
      </c>
      <c r="LT2" t="s">
        <v>5833</v>
      </c>
      <c r="LU2" t="s">
        <v>5843</v>
      </c>
      <c r="LV2" t="s">
        <v>5853</v>
      </c>
      <c r="LW2" t="s">
        <v>5866</v>
      </c>
      <c r="LX2" t="s">
        <v>5880</v>
      </c>
      <c r="LY2" t="s">
        <v>5893</v>
      </c>
      <c r="LZ2" t="s">
        <v>5903</v>
      </c>
      <c r="MA2" t="s">
        <v>5929</v>
      </c>
      <c r="MB2" t="s">
        <v>5942</v>
      </c>
      <c r="MC2" t="s">
        <v>5955</v>
      </c>
      <c r="MD2" t="s">
        <v>5970</v>
      </c>
      <c r="ME2" t="s">
        <v>5978</v>
      </c>
      <c r="MF2" t="s">
        <v>5987</v>
      </c>
      <c r="MG2" t="s">
        <v>5993</v>
      </c>
      <c r="MH2" t="s">
        <v>6006</v>
      </c>
      <c r="MI2" t="s">
        <v>6013</v>
      </c>
      <c r="MJ2" t="s">
        <v>6041</v>
      </c>
      <c r="MK2" t="s">
        <v>6049</v>
      </c>
      <c r="ML2" t="s">
        <v>6062</v>
      </c>
      <c r="MM2" t="s">
        <v>6071</v>
      </c>
      <c r="MN2" t="s">
        <v>6080</v>
      </c>
      <c r="MO2" t="s">
        <v>6090</v>
      </c>
      <c r="MP2" t="s">
        <v>6101</v>
      </c>
      <c r="MQ2" t="s">
        <v>6106</v>
      </c>
      <c r="MR2" t="s">
        <v>6113</v>
      </c>
      <c r="MS2" t="s">
        <v>6120</v>
      </c>
      <c r="MT2" t="s">
        <v>6133</v>
      </c>
      <c r="MU2" t="s">
        <v>6150</v>
      </c>
      <c r="MV2" t="s">
        <v>6158</v>
      </c>
      <c r="MW2" t="s">
        <v>6166</v>
      </c>
      <c r="MX2" t="s">
        <v>6180</v>
      </c>
      <c r="MY2" t="s">
        <v>6193</v>
      </c>
      <c r="MZ2" t="s">
        <v>6203</v>
      </c>
      <c r="NA2" t="s">
        <v>6219</v>
      </c>
      <c r="NB2" t="s">
        <v>6232</v>
      </c>
      <c r="NC2" t="s">
        <v>6241</v>
      </c>
      <c r="ND2" t="s">
        <v>6245</v>
      </c>
      <c r="NE2" t="s">
        <v>6262</v>
      </c>
      <c r="NF2" t="s">
        <v>6283</v>
      </c>
      <c r="NG2" t="s">
        <v>6293</v>
      </c>
      <c r="NH2" t="s">
        <v>6316</v>
      </c>
      <c r="NI2" t="s">
        <v>6329</v>
      </c>
      <c r="NJ2" t="s">
        <v>6346</v>
      </c>
      <c r="NK2" t="s">
        <v>6361</v>
      </c>
      <c r="NL2" t="s">
        <v>6381</v>
      </c>
      <c r="NM2" t="s">
        <v>6399</v>
      </c>
      <c r="NN2" t="s">
        <v>6422</v>
      </c>
      <c r="NO2" t="s">
        <v>6444</v>
      </c>
      <c r="NP2" t="s">
        <v>6460</v>
      </c>
      <c r="NQ2" t="s">
        <v>6484</v>
      </c>
      <c r="NR2" t="s">
        <v>6493</v>
      </c>
      <c r="NS2" t="s">
        <v>6510</v>
      </c>
      <c r="NT2" t="s">
        <v>6520</v>
      </c>
      <c r="NU2" t="s">
        <v>6530</v>
      </c>
      <c r="NV2" t="s">
        <v>6537</v>
      </c>
      <c r="NW2" t="s">
        <v>6553</v>
      </c>
      <c r="NX2" t="s">
        <v>6555</v>
      </c>
      <c r="NY2" t="s">
        <v>6572</v>
      </c>
      <c r="NZ2" t="s">
        <v>6578</v>
      </c>
      <c r="OA2" t="s">
        <v>6593</v>
      </c>
      <c r="OB2" t="s">
        <v>6604</v>
      </c>
      <c r="OC2" t="s">
        <v>6625</v>
      </c>
      <c r="OD2" t="s">
        <v>6639</v>
      </c>
      <c r="OE2" t="s">
        <v>6646</v>
      </c>
      <c r="OF2" t="s">
        <v>6657</v>
      </c>
      <c r="OG2" t="s">
        <v>6672</v>
      </c>
      <c r="OH2" t="s">
        <v>6694</v>
      </c>
      <c r="OI2" t="s">
        <v>6720</v>
      </c>
      <c r="OJ2" t="s">
        <v>6734</v>
      </c>
      <c r="OK2" t="s">
        <v>6751</v>
      </c>
      <c r="OL2" t="s">
        <v>6769</v>
      </c>
      <c r="OM2" t="s">
        <v>6783</v>
      </c>
      <c r="ON2" t="s">
        <v>6793</v>
      </c>
      <c r="OO2" t="s">
        <v>6800</v>
      </c>
      <c r="OP2" t="s">
        <v>6811</v>
      </c>
      <c r="OQ2" t="s">
        <v>6821</v>
      </c>
      <c r="OR2" t="s">
        <v>6835</v>
      </c>
      <c r="OS2" t="s">
        <v>6843</v>
      </c>
      <c r="OT2" t="s">
        <v>6852</v>
      </c>
      <c r="OU2" t="s">
        <v>6860</v>
      </c>
      <c r="OV2" t="s">
        <v>6878</v>
      </c>
      <c r="OW2" t="s">
        <v>6894</v>
      </c>
      <c r="OX2" t="s">
        <v>6913</v>
      </c>
      <c r="OY2" t="s">
        <v>6922</v>
      </c>
      <c r="OZ2" t="s">
        <v>6937</v>
      </c>
      <c r="PA2" t="s">
        <v>6943</v>
      </c>
      <c r="PB2" t="s">
        <v>6971</v>
      </c>
      <c r="PC2" t="s">
        <v>6976</v>
      </c>
      <c r="PD2" t="s">
        <v>6991</v>
      </c>
      <c r="PE2" t="s">
        <v>7003</v>
      </c>
      <c r="PF2" t="s">
        <v>7016</v>
      </c>
      <c r="PG2" t="s">
        <v>7031</v>
      </c>
      <c r="PH2" t="s">
        <v>7043</v>
      </c>
      <c r="PI2" t="s">
        <v>7055</v>
      </c>
      <c r="PJ2" t="s">
        <v>7066</v>
      </c>
      <c r="PK2" t="s">
        <v>7077</v>
      </c>
      <c r="PL2" t="s">
        <v>7083</v>
      </c>
      <c r="PM2" t="s">
        <v>7113</v>
      </c>
      <c r="PN2" t="s">
        <v>7120</v>
      </c>
      <c r="PO2" t="s">
        <v>7133</v>
      </c>
      <c r="PP2" t="s">
        <v>7145</v>
      </c>
      <c r="PQ2" t="s">
        <v>7160</v>
      </c>
      <c r="PR2" t="s">
        <v>7184</v>
      </c>
      <c r="PS2" t="s">
        <v>7200</v>
      </c>
      <c r="PT2" t="s">
        <v>7213</v>
      </c>
      <c r="PU2" t="s">
        <v>7237</v>
      </c>
      <c r="PV2" t="s">
        <v>7244</v>
      </c>
      <c r="PW2" t="s">
        <v>7259</v>
      </c>
      <c r="PX2" t="s">
        <v>7262</v>
      </c>
      <c r="PY2" t="s">
        <v>7278</v>
      </c>
      <c r="PZ2" t="s">
        <v>7292</v>
      </c>
      <c r="QA2" t="s">
        <v>7305</v>
      </c>
      <c r="QB2" t="s">
        <v>7314</v>
      </c>
      <c r="QC2" t="s">
        <v>7332</v>
      </c>
      <c r="QD2" t="s">
        <v>7343</v>
      </c>
      <c r="QE2" t="s">
        <v>7352</v>
      </c>
      <c r="QF2" t="s">
        <v>7371</v>
      </c>
      <c r="QG2" t="s">
        <v>7387</v>
      </c>
      <c r="QH2" t="s">
        <v>7399</v>
      </c>
      <c r="QI2" t="s">
        <v>7406</v>
      </c>
      <c r="QJ2" t="s">
        <v>7429</v>
      </c>
      <c r="QK2" t="s">
        <v>7435</v>
      </c>
      <c r="QL2" t="s">
        <v>7444</v>
      </c>
      <c r="QM2" t="s">
        <v>7467</v>
      </c>
      <c r="QN2" t="s">
        <v>7479</v>
      </c>
      <c r="QO2" t="s">
        <v>7510</v>
      </c>
      <c r="QP2" t="s">
        <v>7525</v>
      </c>
      <c r="QQ2" t="s">
        <v>7535</v>
      </c>
      <c r="QR2" t="s">
        <v>7555</v>
      </c>
      <c r="QS2" t="s">
        <v>7565</v>
      </c>
      <c r="QT2" t="s">
        <v>7601</v>
      </c>
      <c r="QU2" t="s">
        <v>7611</v>
      </c>
      <c r="QV2" t="s">
        <v>7620</v>
      </c>
      <c r="QW2" t="s">
        <v>7631</v>
      </c>
      <c r="QX2" t="s">
        <v>7648</v>
      </c>
      <c r="QY2" t="s">
        <v>7656</v>
      </c>
      <c r="QZ2" t="s">
        <v>7676</v>
      </c>
      <c r="RA2" t="s">
        <v>7691</v>
      </c>
      <c r="RB2" t="s">
        <v>7707</v>
      </c>
      <c r="RC2" t="s">
        <v>7722</v>
      </c>
      <c r="RD2" t="s">
        <v>7754</v>
      </c>
      <c r="RE2" t="s">
        <v>7763</v>
      </c>
      <c r="RF2" t="s">
        <v>7776</v>
      </c>
      <c r="RG2" t="s">
        <v>7792</v>
      </c>
      <c r="RH2" t="s">
        <v>7801</v>
      </c>
      <c r="RI2" t="s">
        <v>7809</v>
      </c>
      <c r="RJ2" t="s">
        <v>7819</v>
      </c>
      <c r="RK2" t="s">
        <v>7835</v>
      </c>
      <c r="RL2" t="s">
        <v>7843</v>
      </c>
      <c r="RM2" t="s">
        <v>7850</v>
      </c>
      <c r="RN2" t="s">
        <v>7866</v>
      </c>
      <c r="RO2" t="s">
        <v>7883</v>
      </c>
      <c r="RP2" t="s">
        <v>7889</v>
      </c>
      <c r="RQ2" t="s">
        <v>7903</v>
      </c>
      <c r="RR2" t="s">
        <v>7919</v>
      </c>
      <c r="RS2" t="s">
        <v>7928</v>
      </c>
      <c r="RT2" t="s">
        <v>7937</v>
      </c>
      <c r="RU2" t="s">
        <v>7945</v>
      </c>
      <c r="RV2" t="s">
        <v>7958</v>
      </c>
      <c r="RW2" t="s">
        <v>7982</v>
      </c>
      <c r="RX2" t="s">
        <v>7993</v>
      </c>
      <c r="RY2" t="s">
        <v>8003</v>
      </c>
      <c r="RZ2" t="s">
        <v>8014</v>
      </c>
      <c r="SA2" t="s">
        <v>8049</v>
      </c>
      <c r="SB2" t="s">
        <v>8054</v>
      </c>
      <c r="SC2" t="s">
        <v>8066</v>
      </c>
      <c r="SD2" t="s">
        <v>8079</v>
      </c>
      <c r="SE2" t="s">
        <v>8101</v>
      </c>
      <c r="SF2" t="s">
        <v>8110</v>
      </c>
      <c r="SG2" t="s">
        <v>8134</v>
      </c>
      <c r="SH2" t="s">
        <v>8140</v>
      </c>
      <c r="SI2" t="s">
        <v>8169</v>
      </c>
      <c r="SJ2" t="s">
        <v>8183</v>
      </c>
      <c r="SK2" t="s">
        <v>8204</v>
      </c>
      <c r="SL2" t="s">
        <v>8212</v>
      </c>
      <c r="SM2" t="s">
        <v>8222</v>
      </c>
      <c r="SN2" t="s">
        <v>8231</v>
      </c>
      <c r="SO2" t="s">
        <v>8238</v>
      </c>
      <c r="SP2" t="s">
        <v>8246</v>
      </c>
      <c r="SQ2" t="s">
        <v>8260</v>
      </c>
      <c r="SR2" t="s">
        <v>8267</v>
      </c>
      <c r="SS2" t="s">
        <v>8275</v>
      </c>
      <c r="ST2" t="s">
        <v>8289</v>
      </c>
      <c r="SU2" t="s">
        <v>8305</v>
      </c>
      <c r="SV2" t="s">
        <v>8331</v>
      </c>
      <c r="SW2" t="s">
        <v>8340</v>
      </c>
      <c r="SX2" t="s">
        <v>8353</v>
      </c>
      <c r="SY2" t="s">
        <v>8372</v>
      </c>
      <c r="SZ2" t="s">
        <v>8382</v>
      </c>
      <c r="TA2" t="s">
        <v>8397</v>
      </c>
      <c r="TB2" t="s">
        <v>8402</v>
      </c>
      <c r="TC2" t="s">
        <v>8413</v>
      </c>
      <c r="TD2" t="s">
        <v>8424</v>
      </c>
      <c r="TE2" t="s">
        <v>8453</v>
      </c>
      <c r="TF2" t="s">
        <v>8466</v>
      </c>
      <c r="TG2" t="s">
        <v>8469</v>
      </c>
      <c r="TH2" t="s">
        <v>8474</v>
      </c>
      <c r="TI2" t="s">
        <v>8487</v>
      </c>
      <c r="TJ2" t="s">
        <v>8497</v>
      </c>
      <c r="TK2" t="s">
        <v>8504</v>
      </c>
      <c r="TL2" t="s">
        <v>8514</v>
      </c>
      <c r="TM2" t="s">
        <v>8529</v>
      </c>
      <c r="TN2" t="s">
        <v>8541</v>
      </c>
      <c r="TO2" t="s">
        <v>8551</v>
      </c>
      <c r="TP2" t="s">
        <v>8569</v>
      </c>
      <c r="TQ2" t="s">
        <v>8581</v>
      </c>
      <c r="TR2" t="s">
        <v>8595</v>
      </c>
      <c r="TS2" t="s">
        <v>8631</v>
      </c>
      <c r="TT2" t="s">
        <v>8643</v>
      </c>
      <c r="TU2" t="s">
        <v>8658</v>
      </c>
      <c r="TV2" t="s">
        <v>8668</v>
      </c>
      <c r="TW2" t="s">
        <v>8688</v>
      </c>
      <c r="TX2" t="s">
        <v>8705</v>
      </c>
      <c r="TY2" t="s">
        <v>8715</v>
      </c>
      <c r="TZ2" t="s">
        <v>8727</v>
      </c>
      <c r="UA2" t="s">
        <v>8744</v>
      </c>
      <c r="UB2" t="s">
        <v>8752</v>
      </c>
      <c r="UC2" t="s">
        <v>8772</v>
      </c>
      <c r="UD2" t="s">
        <v>8792</v>
      </c>
      <c r="UE2" t="s">
        <v>8798</v>
      </c>
      <c r="UF2" t="s">
        <v>8807</v>
      </c>
      <c r="UG2" t="s">
        <v>8831</v>
      </c>
      <c r="UH2" t="s">
        <v>8847</v>
      </c>
      <c r="UI2" t="s">
        <v>8883</v>
      </c>
      <c r="UJ2" t="s">
        <v>8896</v>
      </c>
      <c r="UK2" t="s">
        <v>8929</v>
      </c>
      <c r="UL2" t="s">
        <v>8945</v>
      </c>
      <c r="UM2" t="s">
        <v>8957</v>
      </c>
      <c r="UN2" t="s">
        <v>8965</v>
      </c>
      <c r="UO2" t="s">
        <v>8978</v>
      </c>
      <c r="UP2" t="s">
        <v>8998</v>
      </c>
      <c r="UQ2" t="s">
        <v>9007</v>
      </c>
      <c r="UR2" t="s">
        <v>9023</v>
      </c>
      <c r="US2" t="s">
        <v>9048</v>
      </c>
      <c r="UT2" t="s">
        <v>9064</v>
      </c>
      <c r="UU2" t="s">
        <v>9080</v>
      </c>
      <c r="UV2" t="s">
        <v>9088</v>
      </c>
      <c r="UW2" t="s">
        <v>9118</v>
      </c>
      <c r="UX2" t="s">
        <v>9129</v>
      </c>
      <c r="UY2" t="s">
        <v>9145</v>
      </c>
      <c r="UZ2" t="s">
        <v>9168</v>
      </c>
      <c r="VA2" t="s">
        <v>9185</v>
      </c>
      <c r="VB2" t="s">
        <v>9192</v>
      </c>
      <c r="VC2" t="s">
        <v>9201</v>
      </c>
      <c r="VD2" t="s">
        <v>9213</v>
      </c>
      <c r="VE2" t="s">
        <v>9225</v>
      </c>
      <c r="VF2" t="s">
        <v>9246</v>
      </c>
      <c r="VG2" t="s">
        <v>9263</v>
      </c>
      <c r="VH2" t="s">
        <v>9274</v>
      </c>
      <c r="VI2" t="s">
        <v>9290</v>
      </c>
      <c r="VJ2" t="s">
        <v>9310</v>
      </c>
      <c r="VK2" t="s">
        <v>9326</v>
      </c>
      <c r="VL2" t="s">
        <v>9342</v>
      </c>
      <c r="VM2" t="s">
        <v>9353</v>
      </c>
      <c r="VN2" t="s">
        <v>9361</v>
      </c>
      <c r="VO2" t="s">
        <v>9373</v>
      </c>
      <c r="VP2" t="s">
        <v>9381</v>
      </c>
      <c r="VQ2" t="s">
        <v>9385</v>
      </c>
      <c r="VR2" t="s">
        <v>9399</v>
      </c>
      <c r="VS2" t="s">
        <v>9420</v>
      </c>
      <c r="VT2" t="s">
        <v>9436</v>
      </c>
      <c r="VU2" t="s">
        <v>9470</v>
      </c>
      <c r="VV2" t="s">
        <v>9477</v>
      </c>
      <c r="VW2" t="s">
        <v>9483</v>
      </c>
      <c r="VX2" t="s">
        <v>9490</v>
      </c>
      <c r="VY2" t="s">
        <v>9502</v>
      </c>
      <c r="VZ2" t="s">
        <v>9530</v>
      </c>
      <c r="WA2" t="s">
        <v>9539</v>
      </c>
      <c r="WB2" t="s">
        <v>9544</v>
      </c>
      <c r="WC2" t="s">
        <v>9552</v>
      </c>
      <c r="WD2" t="s">
        <v>9568</v>
      </c>
      <c r="WE2" t="s">
        <v>9601</v>
      </c>
      <c r="WF2" t="s">
        <v>9610</v>
      </c>
      <c r="WG2" t="s">
        <v>9625</v>
      </c>
      <c r="WH2" t="s">
        <v>9638</v>
      </c>
      <c r="WI2" t="s">
        <v>9651</v>
      </c>
      <c r="WJ2" t="s">
        <v>9663</v>
      </c>
      <c r="WK2" t="s">
        <v>9683</v>
      </c>
      <c r="WL2" t="s">
        <v>9693</v>
      </c>
      <c r="WM2" t="s">
        <v>9713</v>
      </c>
      <c r="WN2" t="s">
        <v>9726</v>
      </c>
      <c r="WO2" t="s">
        <v>9739</v>
      </c>
      <c r="WP2" t="s">
        <v>9746</v>
      </c>
      <c r="WQ2" t="s">
        <v>9754</v>
      </c>
      <c r="WR2" t="s">
        <v>9763</v>
      </c>
      <c r="WS2" t="s">
        <v>9791</v>
      </c>
      <c r="WT2" t="s">
        <v>9826</v>
      </c>
      <c r="WU2" t="s">
        <v>9833</v>
      </c>
      <c r="WV2" t="s">
        <v>9860</v>
      </c>
      <c r="WW2" t="s">
        <v>9877</v>
      </c>
      <c r="WX2" t="s">
        <v>9890</v>
      </c>
      <c r="WY2" t="s">
        <v>9909</v>
      </c>
      <c r="WZ2" t="s">
        <v>9925</v>
      </c>
      <c r="XA2" t="s">
        <v>9935</v>
      </c>
      <c r="XB2" t="s">
        <v>9957</v>
      </c>
      <c r="XC2" t="s">
        <v>9971</v>
      </c>
      <c r="XD2" t="s">
        <v>9991</v>
      </c>
      <c r="XE2" t="s">
        <v>10005</v>
      </c>
      <c r="XF2" t="s">
        <v>10021</v>
      </c>
      <c r="XG2" t="s">
        <v>10041</v>
      </c>
      <c r="XH2" t="s">
        <v>10057</v>
      </c>
      <c r="XI2" t="s">
        <v>10075</v>
      </c>
      <c r="XJ2" t="s">
        <v>10093</v>
      </c>
      <c r="XK2" t="s">
        <v>10103</v>
      </c>
      <c r="XL2" t="s">
        <v>10116</v>
      </c>
      <c r="XM2" t="s">
        <v>10133</v>
      </c>
      <c r="XN2" t="s">
        <v>10153</v>
      </c>
      <c r="XO2" t="s">
        <v>10162</v>
      </c>
      <c r="XP2" t="s">
        <v>10174</v>
      </c>
      <c r="XQ2" t="s">
        <v>10186</v>
      </c>
      <c r="XR2" t="s">
        <v>10196</v>
      </c>
      <c r="XS2" t="s">
        <v>10217</v>
      </c>
      <c r="XT2" t="s">
        <v>10228</v>
      </c>
      <c r="XU2" t="s">
        <v>10246</v>
      </c>
      <c r="XV2" t="s">
        <v>10252</v>
      </c>
      <c r="XW2" t="s">
        <v>10262</v>
      </c>
      <c r="XX2" t="s">
        <v>10276</v>
      </c>
      <c r="XY2" t="s">
        <v>10288</v>
      </c>
      <c r="XZ2" t="s">
        <v>10306</v>
      </c>
      <c r="YA2" t="s">
        <v>10319</v>
      </c>
      <c r="YB2" t="s">
        <v>10331</v>
      </c>
      <c r="YC2" t="s">
        <v>10351</v>
      </c>
      <c r="YD2" t="s">
        <v>10380</v>
      </c>
      <c r="YE2" t="s">
        <v>10400</v>
      </c>
      <c r="YF2" t="s">
        <v>10418</v>
      </c>
      <c r="YG2" t="s">
        <v>10426</v>
      </c>
      <c r="YH2" t="s">
        <v>10440</v>
      </c>
      <c r="YI2" t="s">
        <v>10452</v>
      </c>
      <c r="YJ2" t="s">
        <v>10465</v>
      </c>
      <c r="YK2" t="s">
        <v>10488</v>
      </c>
      <c r="YL2" t="s">
        <v>10498</v>
      </c>
      <c r="YM2" t="s">
        <v>10507</v>
      </c>
      <c r="YN2" t="s">
        <v>10521</v>
      </c>
      <c r="YO2" t="s">
        <v>10529</v>
      </c>
      <c r="YP2" t="s">
        <v>10543</v>
      </c>
      <c r="YQ2" t="s">
        <v>10558</v>
      </c>
      <c r="YR2" t="s">
        <v>10574</v>
      </c>
      <c r="YS2" t="s">
        <v>10594</v>
      </c>
      <c r="YT2" t="s">
        <v>10608</v>
      </c>
      <c r="YU2" t="s">
        <v>10632</v>
      </c>
      <c r="YV2" t="s">
        <v>10652</v>
      </c>
      <c r="YW2" t="s">
        <v>10665</v>
      </c>
      <c r="YX2" t="s">
        <v>10685</v>
      </c>
      <c r="YY2" t="s">
        <v>10701</v>
      </c>
      <c r="YZ2" t="s">
        <v>10722</v>
      </c>
      <c r="ZA2" t="s">
        <v>10732</v>
      </c>
      <c r="ZB2" t="s">
        <v>10748</v>
      </c>
      <c r="ZC2" t="s">
        <v>10761</v>
      </c>
      <c r="ZD2" t="s">
        <v>10778</v>
      </c>
      <c r="ZE2" t="s">
        <v>10798</v>
      </c>
      <c r="ZF2" t="s">
        <v>10810</v>
      </c>
      <c r="ZG2" t="s">
        <v>10822</v>
      </c>
      <c r="ZH2" t="s">
        <v>10833</v>
      </c>
      <c r="ZI2" t="s">
        <v>10844</v>
      </c>
      <c r="ZJ2" t="s">
        <v>10864</v>
      </c>
      <c r="ZK2" t="s">
        <v>10875</v>
      </c>
      <c r="ZL2" t="s">
        <v>10893</v>
      </c>
      <c r="ZM2" t="s">
        <v>10908</v>
      </c>
      <c r="ZN2" t="s">
        <v>10920</v>
      </c>
      <c r="ZO2" t="s">
        <v>10931</v>
      </c>
      <c r="ZP2" t="s">
        <v>10948</v>
      </c>
      <c r="ZQ2" t="s">
        <v>10966</v>
      </c>
      <c r="ZR2" t="s">
        <v>10978</v>
      </c>
      <c r="ZS2" t="s">
        <v>10987</v>
      </c>
      <c r="ZT2" t="s">
        <v>11004</v>
      </c>
      <c r="ZU2" t="s">
        <v>11023</v>
      </c>
      <c r="ZV2" t="s">
        <v>11040</v>
      </c>
      <c r="ZW2" t="s">
        <v>11053</v>
      </c>
    </row>
    <row r="3" spans="1:699" x14ac:dyDescent="0.25">
      <c r="A3" t="s">
        <v>1232</v>
      </c>
      <c r="B3" t="s">
        <v>1244</v>
      </c>
      <c r="C3" t="s">
        <v>1253</v>
      </c>
      <c r="D3" t="s">
        <v>1264</v>
      </c>
      <c r="E3" t="s">
        <v>1279</v>
      </c>
      <c r="F3" t="s">
        <v>1297</v>
      </c>
      <c r="G3" t="s">
        <v>1318</v>
      </c>
      <c r="H3" t="s">
        <v>1334</v>
      </c>
      <c r="I3" t="s">
        <v>1343</v>
      </c>
      <c r="J3" t="s">
        <v>1365</v>
      </c>
      <c r="K3" t="s">
        <v>1372</v>
      </c>
      <c r="L3" t="s">
        <v>1381</v>
      </c>
      <c r="M3" t="s">
        <v>1396</v>
      </c>
      <c r="N3" t="s">
        <v>1410</v>
      </c>
      <c r="O3" t="s">
        <v>1438</v>
      </c>
      <c r="P3" t="s">
        <v>1443</v>
      </c>
      <c r="Q3" t="s">
        <v>1455</v>
      </c>
      <c r="R3" t="s">
        <v>1477</v>
      </c>
      <c r="S3" t="s">
        <v>1497</v>
      </c>
      <c r="T3" t="s">
        <v>1515</v>
      </c>
      <c r="U3" t="s">
        <v>1529</v>
      </c>
      <c r="V3" t="s">
        <v>1566</v>
      </c>
      <c r="W3" t="s">
        <v>1581</v>
      </c>
      <c r="X3" t="s">
        <v>1593</v>
      </c>
      <c r="Y3" t="s">
        <v>1609</v>
      </c>
      <c r="Z3" t="s">
        <v>1623</v>
      </c>
      <c r="AA3" t="s">
        <v>1649</v>
      </c>
      <c r="AB3" t="s">
        <v>1659</v>
      </c>
      <c r="AC3" t="s">
        <v>1668</v>
      </c>
      <c r="AD3" t="s">
        <v>1689</v>
      </c>
      <c r="AE3" t="s">
        <v>1693</v>
      </c>
      <c r="AF3" t="s">
        <v>1707</v>
      </c>
      <c r="AG3" t="s">
        <v>1717</v>
      </c>
      <c r="AH3" t="s">
        <v>1737</v>
      </c>
      <c r="AI3" t="s">
        <v>1750</v>
      </c>
      <c r="AJ3" t="s">
        <v>1770</v>
      </c>
      <c r="AK3" t="s">
        <v>1783</v>
      </c>
      <c r="AL3" t="s">
        <v>1799</v>
      </c>
      <c r="AM3" t="s">
        <v>1806</v>
      </c>
      <c r="AN3" t="s">
        <v>1824</v>
      </c>
      <c r="AO3" t="s">
        <v>1826</v>
      </c>
      <c r="AP3" t="s">
        <v>1843</v>
      </c>
      <c r="AQ3" t="s">
        <v>1859</v>
      </c>
      <c r="AR3" t="s">
        <v>1869</v>
      </c>
      <c r="AS3" t="s">
        <v>1878</v>
      </c>
      <c r="AT3" t="s">
        <v>1900</v>
      </c>
      <c r="AU3" t="s">
        <v>1917</v>
      </c>
      <c r="AV3" t="s">
        <v>1932</v>
      </c>
      <c r="AW3" t="s">
        <v>1964</v>
      </c>
      <c r="AX3" t="s">
        <v>1977</v>
      </c>
      <c r="AY3" t="s">
        <v>1990</v>
      </c>
      <c r="AZ3" t="s">
        <v>2001</v>
      </c>
      <c r="BA3" t="s">
        <v>2028</v>
      </c>
      <c r="BB3" t="s">
        <v>2045</v>
      </c>
      <c r="BC3" t="s">
        <v>2052</v>
      </c>
      <c r="BD3" t="s">
        <v>2071</v>
      </c>
      <c r="BE3" t="s">
        <v>2107</v>
      </c>
      <c r="BF3" t="s">
        <v>2125</v>
      </c>
      <c r="BG3" t="s">
        <v>2135</v>
      </c>
      <c r="BH3" t="s">
        <v>2150</v>
      </c>
      <c r="BI3" t="s">
        <v>2160</v>
      </c>
      <c r="BJ3" t="s">
        <v>2180</v>
      </c>
      <c r="BK3" t="s">
        <v>2200</v>
      </c>
      <c r="BL3" t="s">
        <v>2209</v>
      </c>
      <c r="BM3" t="s">
        <v>2216</v>
      </c>
      <c r="BN3" t="s">
        <v>2231</v>
      </c>
      <c r="BO3" t="s">
        <v>2250</v>
      </c>
      <c r="BP3" t="s">
        <v>2264</v>
      </c>
      <c r="BQ3" t="s">
        <v>2278</v>
      </c>
      <c r="BR3" t="s">
        <v>2301</v>
      </c>
      <c r="BS3" t="s">
        <v>2312</v>
      </c>
      <c r="BT3" t="s">
        <v>2336</v>
      </c>
      <c r="BU3" t="s">
        <v>2351</v>
      </c>
      <c r="BV3" t="s">
        <v>2371</v>
      </c>
      <c r="BW3" t="s">
        <v>2388</v>
      </c>
      <c r="BX3" t="s">
        <v>2394</v>
      </c>
      <c r="BY3" t="s">
        <v>2408</v>
      </c>
      <c r="BZ3" t="s">
        <v>2427</v>
      </c>
      <c r="CA3" t="s">
        <v>2434</v>
      </c>
      <c r="CB3" t="s">
        <v>2446</v>
      </c>
      <c r="CC3" t="s">
        <v>2468</v>
      </c>
      <c r="CD3" t="s">
        <v>2483</v>
      </c>
      <c r="CE3" t="s">
        <v>2496</v>
      </c>
      <c r="CF3" t="s">
        <v>2502</v>
      </c>
      <c r="CG3" t="s">
        <v>2523</v>
      </c>
      <c r="CH3" t="s">
        <v>2535</v>
      </c>
      <c r="CI3" t="s">
        <v>2543</v>
      </c>
      <c r="CJ3" t="s">
        <v>2553</v>
      </c>
      <c r="CK3" t="s">
        <v>2560</v>
      </c>
      <c r="CL3" t="s">
        <v>2562</v>
      </c>
      <c r="CM3" t="s">
        <v>2570</v>
      </c>
      <c r="CN3" t="s">
        <v>2584</v>
      </c>
      <c r="CO3" t="s">
        <v>2591</v>
      </c>
      <c r="CP3" t="s">
        <v>2609</v>
      </c>
      <c r="CQ3" t="s">
        <v>2615</v>
      </c>
      <c r="CR3" t="s">
        <v>2621</v>
      </c>
      <c r="CS3" t="s">
        <v>2628</v>
      </c>
      <c r="CT3" t="s">
        <v>2643</v>
      </c>
      <c r="CU3" t="s">
        <v>2654</v>
      </c>
      <c r="CV3" t="s">
        <v>2673</v>
      </c>
      <c r="CW3" t="s">
        <v>2690</v>
      </c>
      <c r="CX3" t="s">
        <v>2721</v>
      </c>
      <c r="CY3" t="s">
        <v>2732</v>
      </c>
      <c r="CZ3" t="s">
        <v>2742</v>
      </c>
      <c r="DA3" t="s">
        <v>2753</v>
      </c>
      <c r="DB3" t="s">
        <v>2785</v>
      </c>
      <c r="DC3" t="s">
        <v>2796</v>
      </c>
      <c r="DD3" t="s">
        <v>2805</v>
      </c>
      <c r="DE3" t="s">
        <v>2817</v>
      </c>
      <c r="DF3" t="s">
        <v>2839</v>
      </c>
      <c r="DG3" t="s">
        <v>2876</v>
      </c>
      <c r="DH3" t="s">
        <v>2889</v>
      </c>
      <c r="DI3" t="s">
        <v>2905</v>
      </c>
      <c r="DJ3" t="s">
        <v>2910</v>
      </c>
      <c r="DK3" t="s">
        <v>2932</v>
      </c>
      <c r="DL3" t="s">
        <v>2943</v>
      </c>
      <c r="DM3" t="s">
        <v>2951</v>
      </c>
      <c r="DN3" t="s">
        <v>2964</v>
      </c>
      <c r="DO3" t="s">
        <v>2977</v>
      </c>
      <c r="DP3" t="s">
        <v>2989</v>
      </c>
      <c r="DQ3" t="s">
        <v>3004</v>
      </c>
      <c r="DR3" t="s">
        <v>3013</v>
      </c>
      <c r="DS3" t="s">
        <v>3032</v>
      </c>
      <c r="DT3" t="s">
        <v>3049</v>
      </c>
      <c r="DU3" t="s">
        <v>3066</v>
      </c>
      <c r="DV3" t="s">
        <v>3072</v>
      </c>
      <c r="DW3" t="s">
        <v>3081</v>
      </c>
      <c r="DX3" t="s">
        <v>3096</v>
      </c>
      <c r="DY3" t="s">
        <v>3112</v>
      </c>
      <c r="DZ3" t="s">
        <v>3125</v>
      </c>
      <c r="EA3" t="s">
        <v>3144</v>
      </c>
      <c r="EB3" t="s">
        <v>3157</v>
      </c>
      <c r="EC3" t="s">
        <v>3176</v>
      </c>
      <c r="ED3" t="s">
        <v>3204</v>
      </c>
      <c r="EE3" t="s">
        <v>3219</v>
      </c>
      <c r="EF3" t="s">
        <v>3228</v>
      </c>
      <c r="EG3" t="s">
        <v>3250</v>
      </c>
      <c r="EH3" t="s">
        <v>3258</v>
      </c>
      <c r="EI3" t="s">
        <v>3278</v>
      </c>
      <c r="EJ3" t="s">
        <v>3289</v>
      </c>
      <c r="EK3" t="s">
        <v>3304</v>
      </c>
      <c r="EL3" t="s">
        <v>3320</v>
      </c>
      <c r="EM3" t="s">
        <v>3326</v>
      </c>
      <c r="EN3" t="s">
        <v>3335</v>
      </c>
      <c r="EO3" t="s">
        <v>3354</v>
      </c>
      <c r="EP3" t="s">
        <v>3362</v>
      </c>
      <c r="EQ3" t="s">
        <v>3369</v>
      </c>
      <c r="ER3" t="s">
        <v>3395</v>
      </c>
      <c r="ES3" t="s">
        <v>3415</v>
      </c>
      <c r="ET3" t="s">
        <v>3436</v>
      </c>
      <c r="EU3" t="s">
        <v>3438</v>
      </c>
      <c r="EV3" t="s">
        <v>3447</v>
      </c>
      <c r="EW3" t="s">
        <v>3458</v>
      </c>
      <c r="EX3" t="s">
        <v>3472</v>
      </c>
      <c r="EY3" t="s">
        <v>3479</v>
      </c>
      <c r="EZ3" t="s">
        <v>3487</v>
      </c>
      <c r="FA3" t="s">
        <v>3493</v>
      </c>
      <c r="FB3" t="s">
        <v>3499</v>
      </c>
      <c r="FC3" t="s">
        <v>3511</v>
      </c>
      <c r="FD3" t="s">
        <v>3521</v>
      </c>
      <c r="FE3" t="s">
        <v>3537</v>
      </c>
      <c r="FF3" t="s">
        <v>3547</v>
      </c>
      <c r="FG3" t="s">
        <v>3561</v>
      </c>
      <c r="FH3" t="s">
        <v>3571</v>
      </c>
      <c r="FI3" t="s">
        <v>3591</v>
      </c>
      <c r="FJ3" t="s">
        <v>3602</v>
      </c>
      <c r="FK3" t="s">
        <v>3614</v>
      </c>
      <c r="FL3" t="s">
        <v>3637</v>
      </c>
      <c r="FM3" t="s">
        <v>3643</v>
      </c>
      <c r="FN3" t="s">
        <v>3654</v>
      </c>
      <c r="FO3" t="s">
        <v>3665</v>
      </c>
      <c r="FP3" t="s">
        <v>3681</v>
      </c>
      <c r="FQ3" t="s">
        <v>3687</v>
      </c>
      <c r="FR3" t="s">
        <v>3707</v>
      </c>
      <c r="FS3" t="s">
        <v>3716</v>
      </c>
      <c r="FT3" t="s">
        <v>3728</v>
      </c>
      <c r="FU3" t="s">
        <v>3744</v>
      </c>
      <c r="FV3" t="s">
        <v>3761</v>
      </c>
      <c r="FW3" t="s">
        <v>3776</v>
      </c>
      <c r="FX3" t="s">
        <v>3784</v>
      </c>
      <c r="FY3" t="s">
        <v>3803</v>
      </c>
      <c r="FZ3" t="s">
        <v>3810</v>
      </c>
      <c r="GA3" t="s">
        <v>3824</v>
      </c>
      <c r="GB3" t="s">
        <v>3833</v>
      </c>
      <c r="GC3" t="s">
        <v>3842</v>
      </c>
      <c r="GD3" t="s">
        <v>3846</v>
      </c>
      <c r="GE3" t="s">
        <v>3854</v>
      </c>
      <c r="GF3" t="s">
        <v>3864</v>
      </c>
      <c r="GG3" t="s">
        <v>3883</v>
      </c>
      <c r="GH3" t="s">
        <v>3895</v>
      </c>
      <c r="GI3" t="s">
        <v>3904</v>
      </c>
      <c r="GJ3" t="s">
        <v>3911</v>
      </c>
      <c r="GK3" t="s">
        <v>3924</v>
      </c>
      <c r="GL3" t="s">
        <v>3942</v>
      </c>
      <c r="GM3" t="s">
        <v>3952</v>
      </c>
      <c r="GN3" t="s">
        <v>3962</v>
      </c>
      <c r="GO3" t="s">
        <v>3986</v>
      </c>
      <c r="GP3" t="s">
        <v>4005</v>
      </c>
      <c r="GQ3" t="s">
        <v>4043</v>
      </c>
      <c r="GR3" t="s">
        <v>4052</v>
      </c>
      <c r="GS3" t="s">
        <v>4062</v>
      </c>
      <c r="GT3" t="s">
        <v>4076</v>
      </c>
      <c r="GU3" t="s">
        <v>4099</v>
      </c>
      <c r="GV3" t="s">
        <v>4109</v>
      </c>
      <c r="GW3" t="s">
        <v>4142</v>
      </c>
      <c r="GX3" t="s">
        <v>4163</v>
      </c>
      <c r="GY3" t="s">
        <v>4180</v>
      </c>
      <c r="GZ3" t="s">
        <v>4192</v>
      </c>
      <c r="HA3" t="s">
        <v>4201</v>
      </c>
      <c r="HB3" t="s">
        <v>4214</v>
      </c>
      <c r="HC3" t="s">
        <v>4225</v>
      </c>
      <c r="HD3" t="s">
        <v>4239</v>
      </c>
      <c r="HE3" t="s">
        <v>4255</v>
      </c>
      <c r="HF3" t="s">
        <v>4284</v>
      </c>
      <c r="HG3" t="s">
        <v>4296</v>
      </c>
      <c r="HH3" t="s">
        <v>4327</v>
      </c>
      <c r="HI3" t="s">
        <v>4334</v>
      </c>
      <c r="HJ3" t="s">
        <v>4357</v>
      </c>
      <c r="HK3" t="s">
        <v>4377</v>
      </c>
      <c r="HL3" t="s">
        <v>4390</v>
      </c>
      <c r="HM3" t="s">
        <v>4405</v>
      </c>
      <c r="HN3" t="s">
        <v>4413</v>
      </c>
      <c r="HO3" t="s">
        <v>4420</v>
      </c>
      <c r="HP3" t="s">
        <v>4427</v>
      </c>
      <c r="HQ3" t="s">
        <v>4442</v>
      </c>
      <c r="HR3" t="s">
        <v>4458</v>
      </c>
      <c r="HS3" t="s">
        <v>4481</v>
      </c>
      <c r="HT3" t="s">
        <v>4490</v>
      </c>
      <c r="HU3" t="s">
        <v>4517</v>
      </c>
      <c r="HV3" t="s">
        <v>4527</v>
      </c>
      <c r="HW3" t="s">
        <v>4534</v>
      </c>
      <c r="HX3" t="s">
        <v>4544</v>
      </c>
      <c r="HY3" t="s">
        <v>4553</v>
      </c>
      <c r="HZ3" t="s">
        <v>4569</v>
      </c>
      <c r="IA3" t="s">
        <v>4577</v>
      </c>
      <c r="IB3" t="s">
        <v>4591</v>
      </c>
      <c r="IC3" t="s">
        <v>4600</v>
      </c>
      <c r="ID3" t="s">
        <v>4609</v>
      </c>
      <c r="IE3" t="s">
        <v>4614</v>
      </c>
      <c r="IF3" t="s">
        <v>4624</v>
      </c>
      <c r="IG3" t="s">
        <v>4640</v>
      </c>
      <c r="IH3" t="s">
        <v>4645</v>
      </c>
      <c r="II3" t="s">
        <v>4654</v>
      </c>
      <c r="IJ3" t="s">
        <v>4672</v>
      </c>
      <c r="IK3" t="s">
        <v>4696</v>
      </c>
      <c r="IL3" t="s">
        <v>4707</v>
      </c>
      <c r="IM3" t="s">
        <v>4713</v>
      </c>
      <c r="IN3" t="s">
        <v>4719</v>
      </c>
      <c r="IO3" t="s">
        <v>4738</v>
      </c>
      <c r="IP3" t="s">
        <v>4770</v>
      </c>
      <c r="IQ3" t="s">
        <v>4778</v>
      </c>
      <c r="IR3" t="s">
        <v>4795</v>
      </c>
      <c r="IS3" t="s">
        <v>4816</v>
      </c>
      <c r="IT3" t="s">
        <v>4827</v>
      </c>
      <c r="IU3" t="s">
        <v>4837</v>
      </c>
      <c r="IV3" t="s">
        <v>4848</v>
      </c>
      <c r="IW3" t="s">
        <v>4863</v>
      </c>
      <c r="IX3" t="s">
        <v>4874</v>
      </c>
      <c r="IY3" t="s">
        <v>4885</v>
      </c>
      <c r="IZ3" t="s">
        <v>4891</v>
      </c>
      <c r="JA3" t="s">
        <v>4897</v>
      </c>
      <c r="JB3" t="s">
        <v>4922</v>
      </c>
      <c r="JC3" t="s">
        <v>4932</v>
      </c>
      <c r="JD3" t="s">
        <v>4942</v>
      </c>
      <c r="JE3" t="s">
        <v>4952</v>
      </c>
      <c r="JF3" t="s">
        <v>4960</v>
      </c>
      <c r="JG3" t="s">
        <v>4978</v>
      </c>
      <c r="JH3" t="s">
        <v>4983</v>
      </c>
      <c r="JI3" t="s">
        <v>4995</v>
      </c>
      <c r="JJ3" t="s">
        <v>5014</v>
      </c>
      <c r="JK3" t="s">
        <v>5025</v>
      </c>
      <c r="JL3" t="s">
        <v>5047</v>
      </c>
      <c r="JM3" t="s">
        <v>5069</v>
      </c>
      <c r="JN3" t="s">
        <v>5080</v>
      </c>
      <c r="JO3" t="s">
        <v>5103</v>
      </c>
      <c r="JP3" t="s">
        <v>5118</v>
      </c>
      <c r="JQ3" t="s">
        <v>5135</v>
      </c>
      <c r="JR3" t="s">
        <v>5137</v>
      </c>
      <c r="JS3" t="s">
        <v>5157</v>
      </c>
      <c r="JT3" t="s">
        <v>5168</v>
      </c>
      <c r="JU3" t="s">
        <v>5175</v>
      </c>
      <c r="JV3" t="s">
        <v>5181</v>
      </c>
      <c r="JW3" t="s">
        <v>5188</v>
      </c>
      <c r="JX3" t="s">
        <v>5198</v>
      </c>
      <c r="JY3" t="s">
        <v>5212</v>
      </c>
      <c r="JZ3" t="s">
        <v>5230</v>
      </c>
      <c r="KA3" t="s">
        <v>5236</v>
      </c>
      <c r="KB3" t="s">
        <v>5246</v>
      </c>
      <c r="KC3" t="s">
        <v>5253</v>
      </c>
      <c r="KD3" t="s">
        <v>5265</v>
      </c>
      <c r="KE3" t="s">
        <v>5274</v>
      </c>
      <c r="KF3" t="s">
        <v>5281</v>
      </c>
      <c r="KG3" t="s">
        <v>5290</v>
      </c>
      <c r="KH3" t="s">
        <v>5298</v>
      </c>
      <c r="KI3" t="s">
        <v>5312</v>
      </c>
      <c r="KJ3" t="s">
        <v>5324</v>
      </c>
      <c r="KK3" t="s">
        <v>5331</v>
      </c>
      <c r="KL3" t="s">
        <v>5359</v>
      </c>
      <c r="KM3" t="s">
        <v>5373</v>
      </c>
      <c r="KN3" t="s">
        <v>5387</v>
      </c>
      <c r="KO3" t="s">
        <v>5407</v>
      </c>
      <c r="KP3" t="s">
        <v>5423</v>
      </c>
      <c r="KQ3" t="s">
        <v>5441</v>
      </c>
      <c r="KR3" t="s">
        <v>5458</v>
      </c>
      <c r="KS3" t="s">
        <v>5471</v>
      </c>
      <c r="KT3" t="s">
        <v>5484</v>
      </c>
      <c r="KU3" t="s">
        <v>5489</v>
      </c>
      <c r="KV3" t="s">
        <v>5501</v>
      </c>
      <c r="KW3" t="s">
        <v>5515</v>
      </c>
      <c r="KX3" t="s">
        <v>5522</v>
      </c>
      <c r="KY3" t="s">
        <v>5529</v>
      </c>
      <c r="KZ3" t="s">
        <v>5554</v>
      </c>
      <c r="LA3" t="s">
        <v>5565</v>
      </c>
      <c r="LB3" t="s">
        <v>5580</v>
      </c>
      <c r="LC3" t="s">
        <v>5593</v>
      </c>
      <c r="LD3" t="s">
        <v>5609</v>
      </c>
      <c r="LE3" t="s">
        <v>5618</v>
      </c>
      <c r="LF3" t="s">
        <v>5639</v>
      </c>
      <c r="LG3" t="s">
        <v>5668</v>
      </c>
      <c r="LH3" t="s">
        <v>5678</v>
      </c>
      <c r="LI3" t="s">
        <v>5686</v>
      </c>
      <c r="LJ3" t="s">
        <v>5698</v>
      </c>
      <c r="LK3" t="s">
        <v>5707</v>
      </c>
      <c r="LL3" t="s">
        <v>5719</v>
      </c>
      <c r="LM3" t="s">
        <v>5734</v>
      </c>
      <c r="LN3" t="s">
        <v>5742</v>
      </c>
      <c r="LO3" t="s">
        <v>5759</v>
      </c>
      <c r="LP3" t="s">
        <v>5772</v>
      </c>
      <c r="LQ3" t="s">
        <v>5797</v>
      </c>
      <c r="LR3" t="s">
        <v>5803</v>
      </c>
      <c r="LS3" t="s">
        <v>5811</v>
      </c>
      <c r="LT3" t="s">
        <v>5834</v>
      </c>
      <c r="LU3" t="s">
        <v>5844</v>
      </c>
      <c r="LV3" t="s">
        <v>5854</v>
      </c>
      <c r="LW3" t="s">
        <v>5867</v>
      </c>
      <c r="LX3" t="s">
        <v>5881</v>
      </c>
      <c r="LY3" t="s">
        <v>5894</v>
      </c>
      <c r="LZ3" t="s">
        <v>5904</v>
      </c>
      <c r="MA3" t="s">
        <v>5930</v>
      </c>
      <c r="MB3" t="s">
        <v>5943</v>
      </c>
      <c r="MC3" t="s">
        <v>5956</v>
      </c>
      <c r="MD3" t="s">
        <v>5971</v>
      </c>
      <c r="ME3" t="s">
        <v>5979</v>
      </c>
      <c r="MF3" t="s">
        <v>5988</v>
      </c>
      <c r="MG3" t="s">
        <v>5994</v>
      </c>
      <c r="MH3" t="s">
        <v>6007</v>
      </c>
      <c r="MI3" t="s">
        <v>6014</v>
      </c>
      <c r="MJ3" t="s">
        <v>6042</v>
      </c>
      <c r="MK3" t="s">
        <v>6050</v>
      </c>
      <c r="ML3" t="s">
        <v>6063</v>
      </c>
      <c r="MM3" t="s">
        <v>6072</v>
      </c>
      <c r="MN3" t="s">
        <v>6081</v>
      </c>
      <c r="MO3" t="s">
        <v>6091</v>
      </c>
      <c r="MP3" t="s">
        <v>6102</v>
      </c>
      <c r="MQ3" t="s">
        <v>6107</v>
      </c>
      <c r="MR3" t="s">
        <v>6114</v>
      </c>
      <c r="MS3" t="s">
        <v>6121</v>
      </c>
      <c r="MT3" t="s">
        <v>6134</v>
      </c>
      <c r="MU3" t="s">
        <v>6151</v>
      </c>
      <c r="MV3" t="s">
        <v>6159</v>
      </c>
      <c r="MW3" t="s">
        <v>6167</v>
      </c>
      <c r="MX3" t="s">
        <v>6181</v>
      </c>
      <c r="MY3" t="s">
        <v>6194</v>
      </c>
      <c r="MZ3" t="s">
        <v>6204</v>
      </c>
      <c r="NA3" t="s">
        <v>6220</v>
      </c>
      <c r="NB3" t="s">
        <v>6233</v>
      </c>
      <c r="NC3" t="s">
        <v>6242</v>
      </c>
      <c r="ND3" t="s">
        <v>6246</v>
      </c>
      <c r="NE3" t="s">
        <v>6263</v>
      </c>
      <c r="NF3" t="s">
        <v>6284</v>
      </c>
      <c r="NG3" t="s">
        <v>6294</v>
      </c>
      <c r="NH3" t="s">
        <v>6317</v>
      </c>
      <c r="NI3" t="s">
        <v>6330</v>
      </c>
      <c r="NJ3" t="s">
        <v>6347</v>
      </c>
      <c r="NK3" t="s">
        <v>6362</v>
      </c>
      <c r="NL3" t="s">
        <v>6382</v>
      </c>
      <c r="NM3" t="s">
        <v>6400</v>
      </c>
      <c r="NN3" t="s">
        <v>6423</v>
      </c>
      <c r="NO3" t="s">
        <v>6445</v>
      </c>
      <c r="NP3" t="s">
        <v>6461</v>
      </c>
      <c r="NQ3" t="s">
        <v>6485</v>
      </c>
      <c r="NR3" t="s">
        <v>6494</v>
      </c>
      <c r="NS3" t="s">
        <v>6511</v>
      </c>
      <c r="NT3" t="s">
        <v>6521</v>
      </c>
      <c r="NU3" t="s">
        <v>6531</v>
      </c>
      <c r="NV3" t="s">
        <v>6538</v>
      </c>
      <c r="NW3" t="s">
        <v>6554</v>
      </c>
      <c r="NX3" t="s">
        <v>6556</v>
      </c>
      <c r="NY3" t="s">
        <v>6573</v>
      </c>
      <c r="NZ3" t="s">
        <v>6579</v>
      </c>
      <c r="OA3" t="s">
        <v>6594</v>
      </c>
      <c r="OB3" t="s">
        <v>6605</v>
      </c>
      <c r="OC3" t="s">
        <v>6626</v>
      </c>
      <c r="OD3" t="s">
        <v>6640</v>
      </c>
      <c r="OE3" t="s">
        <v>6647</v>
      </c>
      <c r="OF3" t="s">
        <v>6658</v>
      </c>
      <c r="OG3" t="s">
        <v>6673</v>
      </c>
      <c r="OH3" t="s">
        <v>6695</v>
      </c>
      <c r="OI3" t="s">
        <v>6721</v>
      </c>
      <c r="OJ3" t="s">
        <v>6735</v>
      </c>
      <c r="OK3" t="s">
        <v>6752</v>
      </c>
      <c r="OL3" t="s">
        <v>6770</v>
      </c>
      <c r="OM3" t="s">
        <v>6784</v>
      </c>
      <c r="ON3" t="s">
        <v>6794</v>
      </c>
      <c r="OO3" t="s">
        <v>6801</v>
      </c>
      <c r="OP3" t="s">
        <v>6812</v>
      </c>
      <c r="OQ3" t="s">
        <v>6822</v>
      </c>
      <c r="OR3" t="s">
        <v>6836</v>
      </c>
      <c r="OS3" t="s">
        <v>6844</v>
      </c>
      <c r="OT3" t="s">
        <v>6853</v>
      </c>
      <c r="OU3" t="s">
        <v>6861</v>
      </c>
      <c r="OV3" t="s">
        <v>6879</v>
      </c>
      <c r="OW3" t="s">
        <v>6895</v>
      </c>
      <c r="OX3" t="s">
        <v>6914</v>
      </c>
      <c r="OY3" t="s">
        <v>6923</v>
      </c>
      <c r="OZ3" t="s">
        <v>6938</v>
      </c>
      <c r="PA3" t="s">
        <v>6944</v>
      </c>
      <c r="PB3" t="s">
        <v>6972</v>
      </c>
      <c r="PC3" t="s">
        <v>6977</v>
      </c>
      <c r="PD3" t="s">
        <v>6992</v>
      </c>
      <c r="PE3" t="s">
        <v>7004</v>
      </c>
      <c r="PF3" t="s">
        <v>7017</v>
      </c>
      <c r="PG3" t="s">
        <v>7032</v>
      </c>
      <c r="PH3" t="s">
        <v>7044</v>
      </c>
      <c r="PI3" t="s">
        <v>7056</v>
      </c>
      <c r="PJ3" t="s">
        <v>7067</v>
      </c>
      <c r="PK3" t="s">
        <v>7078</v>
      </c>
      <c r="PL3" t="s">
        <v>7084</v>
      </c>
      <c r="PM3" t="s">
        <v>7114</v>
      </c>
      <c r="PN3" t="s">
        <v>7121</v>
      </c>
      <c r="PO3" t="s">
        <v>7134</v>
      </c>
      <c r="PP3" t="s">
        <v>7146</v>
      </c>
      <c r="PQ3" t="s">
        <v>7161</v>
      </c>
      <c r="PR3" t="s">
        <v>7185</v>
      </c>
      <c r="PS3" t="s">
        <v>7201</v>
      </c>
      <c r="PT3" t="s">
        <v>7214</v>
      </c>
      <c r="PU3" t="s">
        <v>7238</v>
      </c>
      <c r="PV3" t="s">
        <v>7245</v>
      </c>
      <c r="PW3" t="s">
        <v>7260</v>
      </c>
      <c r="PX3" t="s">
        <v>7263</v>
      </c>
      <c r="PY3" t="s">
        <v>7279</v>
      </c>
      <c r="PZ3" t="s">
        <v>7293</v>
      </c>
      <c r="QA3" t="s">
        <v>7306</v>
      </c>
      <c r="QB3" t="s">
        <v>7315</v>
      </c>
      <c r="QC3" t="s">
        <v>7333</v>
      </c>
      <c r="QD3" t="s">
        <v>7344</v>
      </c>
      <c r="QE3" t="s">
        <v>7353</v>
      </c>
      <c r="QF3" t="s">
        <v>7372</v>
      </c>
      <c r="QG3" t="s">
        <v>7388</v>
      </c>
      <c r="QH3" t="s">
        <v>7400</v>
      </c>
      <c r="QI3" t="s">
        <v>7407</v>
      </c>
      <c r="QJ3" t="s">
        <v>7430</v>
      </c>
      <c r="QK3" t="s">
        <v>7436</v>
      </c>
      <c r="QL3" t="s">
        <v>7445</v>
      </c>
      <c r="QM3" t="s">
        <v>7468</v>
      </c>
      <c r="QN3" t="s">
        <v>7480</v>
      </c>
      <c r="QO3" t="s">
        <v>7511</v>
      </c>
      <c r="QP3" t="s">
        <v>7526</v>
      </c>
      <c r="QQ3" t="s">
        <v>7536</v>
      </c>
      <c r="QR3" t="s">
        <v>7556</v>
      </c>
      <c r="QS3" t="s">
        <v>7566</v>
      </c>
      <c r="QT3" t="s">
        <v>7602</v>
      </c>
      <c r="QU3" t="s">
        <v>7612</v>
      </c>
      <c r="QV3" t="s">
        <v>7621</v>
      </c>
      <c r="QW3" t="s">
        <v>7632</v>
      </c>
      <c r="QX3" t="s">
        <v>7649</v>
      </c>
      <c r="QY3" t="s">
        <v>7657</v>
      </c>
      <c r="QZ3" t="s">
        <v>7677</v>
      </c>
      <c r="RA3" t="s">
        <v>7692</v>
      </c>
      <c r="RB3" t="s">
        <v>7708</v>
      </c>
      <c r="RC3" t="s">
        <v>7723</v>
      </c>
      <c r="RD3" t="s">
        <v>7755</v>
      </c>
      <c r="RE3" t="s">
        <v>7764</v>
      </c>
      <c r="RF3" t="s">
        <v>7777</v>
      </c>
      <c r="RG3" t="s">
        <v>7793</v>
      </c>
      <c r="RH3" t="s">
        <v>7802</v>
      </c>
      <c r="RI3" t="s">
        <v>7810</v>
      </c>
      <c r="RJ3" t="s">
        <v>7820</v>
      </c>
      <c r="RK3" t="s">
        <v>7836</v>
      </c>
      <c r="RL3" t="s">
        <v>7844</v>
      </c>
      <c r="RM3" t="s">
        <v>7851</v>
      </c>
      <c r="RN3" t="s">
        <v>7867</v>
      </c>
      <c r="RO3" t="s">
        <v>7884</v>
      </c>
      <c r="RP3" t="s">
        <v>7890</v>
      </c>
      <c r="RQ3" t="s">
        <v>7904</v>
      </c>
      <c r="RR3" t="s">
        <v>7920</v>
      </c>
      <c r="RS3" t="s">
        <v>7929</v>
      </c>
      <c r="RT3" t="s">
        <v>7938</v>
      </c>
      <c r="RU3" t="s">
        <v>7946</v>
      </c>
      <c r="RV3" t="s">
        <v>7959</v>
      </c>
      <c r="RW3" t="s">
        <v>7983</v>
      </c>
      <c r="RX3" t="s">
        <v>7994</v>
      </c>
      <c r="RY3" t="s">
        <v>8004</v>
      </c>
      <c r="RZ3" t="s">
        <v>8015</v>
      </c>
      <c r="SA3" t="s">
        <v>8050</v>
      </c>
      <c r="SB3" t="s">
        <v>8055</v>
      </c>
      <c r="SC3" t="s">
        <v>8067</v>
      </c>
      <c r="SD3" t="s">
        <v>8080</v>
      </c>
      <c r="SE3" t="s">
        <v>8102</v>
      </c>
      <c r="SF3" t="s">
        <v>8111</v>
      </c>
      <c r="SG3" t="s">
        <v>8135</v>
      </c>
      <c r="SH3" t="s">
        <v>8141</v>
      </c>
      <c r="SI3" t="s">
        <v>8170</v>
      </c>
      <c r="SJ3" t="s">
        <v>8184</v>
      </c>
      <c r="SK3" t="s">
        <v>8205</v>
      </c>
      <c r="SL3" t="s">
        <v>8213</v>
      </c>
      <c r="SM3" t="s">
        <v>8223</v>
      </c>
      <c r="SN3" t="s">
        <v>8232</v>
      </c>
      <c r="SO3" t="s">
        <v>8239</v>
      </c>
      <c r="SP3" t="s">
        <v>8247</v>
      </c>
      <c r="SQ3" t="s">
        <v>8261</v>
      </c>
      <c r="SR3" t="s">
        <v>8268</v>
      </c>
      <c r="SS3" t="s">
        <v>8276</v>
      </c>
      <c r="ST3" t="s">
        <v>8290</v>
      </c>
      <c r="SU3" t="s">
        <v>8306</v>
      </c>
      <c r="SV3" t="s">
        <v>8332</v>
      </c>
      <c r="SW3" t="s">
        <v>8341</v>
      </c>
      <c r="SX3" t="s">
        <v>8354</v>
      </c>
      <c r="SY3" t="s">
        <v>8373</v>
      </c>
      <c r="SZ3" t="s">
        <v>8383</v>
      </c>
      <c r="TA3" t="s">
        <v>8398</v>
      </c>
      <c r="TB3" t="s">
        <v>8403</v>
      </c>
      <c r="TC3" t="s">
        <v>8414</v>
      </c>
      <c r="TD3" t="s">
        <v>8425</v>
      </c>
      <c r="TE3" t="s">
        <v>8454</v>
      </c>
      <c r="TF3" t="s">
        <v>8467</v>
      </c>
      <c r="TG3" t="s">
        <v>8470</v>
      </c>
      <c r="TH3" t="s">
        <v>8475</v>
      </c>
      <c r="TI3" t="s">
        <v>8488</v>
      </c>
      <c r="TJ3" t="s">
        <v>8498</v>
      </c>
      <c r="TK3" t="s">
        <v>8505</v>
      </c>
      <c r="TL3" t="s">
        <v>8515</v>
      </c>
      <c r="TM3" t="s">
        <v>8530</v>
      </c>
      <c r="TN3" t="s">
        <v>8542</v>
      </c>
      <c r="TO3" t="s">
        <v>8552</v>
      </c>
      <c r="TP3" t="s">
        <v>8570</v>
      </c>
      <c r="TQ3" t="s">
        <v>8582</v>
      </c>
      <c r="TR3" t="s">
        <v>8596</v>
      </c>
      <c r="TS3" t="s">
        <v>8632</v>
      </c>
      <c r="TT3" t="s">
        <v>8644</v>
      </c>
      <c r="TU3" t="s">
        <v>8659</v>
      </c>
      <c r="TV3" t="s">
        <v>8669</v>
      </c>
      <c r="TW3" t="s">
        <v>8689</v>
      </c>
      <c r="TX3" t="s">
        <v>8706</v>
      </c>
      <c r="TY3" t="s">
        <v>8716</v>
      </c>
      <c r="TZ3" t="s">
        <v>8728</v>
      </c>
      <c r="UA3" t="s">
        <v>8745</v>
      </c>
      <c r="UB3" t="s">
        <v>8753</v>
      </c>
      <c r="UC3" t="s">
        <v>8773</v>
      </c>
      <c r="UD3" t="s">
        <v>8793</v>
      </c>
      <c r="UE3" t="s">
        <v>8799</v>
      </c>
      <c r="UF3" t="s">
        <v>8808</v>
      </c>
      <c r="UG3" t="s">
        <v>8832</v>
      </c>
      <c r="UH3" t="s">
        <v>8848</v>
      </c>
      <c r="UI3" t="s">
        <v>8884</v>
      </c>
      <c r="UJ3" t="s">
        <v>8897</v>
      </c>
      <c r="UK3" t="s">
        <v>8930</v>
      </c>
      <c r="UL3" t="s">
        <v>8946</v>
      </c>
      <c r="UM3" t="s">
        <v>8958</v>
      </c>
      <c r="UN3" t="s">
        <v>8966</v>
      </c>
      <c r="UO3" t="s">
        <v>8979</v>
      </c>
      <c r="UP3" t="s">
        <v>8999</v>
      </c>
      <c r="UQ3" t="s">
        <v>9008</v>
      </c>
      <c r="UR3" t="s">
        <v>9024</v>
      </c>
      <c r="US3" t="s">
        <v>9049</v>
      </c>
      <c r="UT3" t="s">
        <v>9065</v>
      </c>
      <c r="UU3" t="s">
        <v>9081</v>
      </c>
      <c r="UV3" t="s">
        <v>9089</v>
      </c>
      <c r="UW3" t="s">
        <v>9119</v>
      </c>
      <c r="UX3" t="s">
        <v>9130</v>
      </c>
      <c r="UY3" t="s">
        <v>9146</v>
      </c>
      <c r="UZ3" t="s">
        <v>9169</v>
      </c>
      <c r="VA3" t="s">
        <v>9186</v>
      </c>
      <c r="VB3" t="s">
        <v>9193</v>
      </c>
      <c r="VC3" t="s">
        <v>9202</v>
      </c>
      <c r="VD3" t="s">
        <v>9214</v>
      </c>
      <c r="VE3" t="s">
        <v>9226</v>
      </c>
      <c r="VF3" t="s">
        <v>9247</v>
      </c>
      <c r="VG3" t="s">
        <v>9264</v>
      </c>
      <c r="VH3" t="s">
        <v>9275</v>
      </c>
      <c r="VI3" t="s">
        <v>9291</v>
      </c>
      <c r="VJ3" t="s">
        <v>9311</v>
      </c>
      <c r="VK3" t="s">
        <v>9327</v>
      </c>
      <c r="VL3" t="s">
        <v>9343</v>
      </c>
      <c r="VM3" t="s">
        <v>9354</v>
      </c>
      <c r="VN3" t="s">
        <v>9362</v>
      </c>
      <c r="VO3" t="s">
        <v>9374</v>
      </c>
      <c r="VP3" t="s">
        <v>9382</v>
      </c>
      <c r="VQ3" t="s">
        <v>9386</v>
      </c>
      <c r="VR3" t="s">
        <v>9400</v>
      </c>
      <c r="VS3" t="s">
        <v>9421</v>
      </c>
      <c r="VT3" t="s">
        <v>9437</v>
      </c>
      <c r="VU3" t="s">
        <v>9471</v>
      </c>
      <c r="VV3" t="s">
        <v>9478</v>
      </c>
      <c r="VW3" t="s">
        <v>9484</v>
      </c>
      <c r="VX3" t="s">
        <v>9491</v>
      </c>
      <c r="VY3" t="s">
        <v>9503</v>
      </c>
      <c r="VZ3" t="s">
        <v>9531</v>
      </c>
      <c r="WA3" t="s">
        <v>9540</v>
      </c>
      <c r="WB3" t="s">
        <v>9545</v>
      </c>
      <c r="WC3" t="s">
        <v>9553</v>
      </c>
      <c r="WD3" t="s">
        <v>9569</v>
      </c>
      <c r="WE3" t="s">
        <v>9602</v>
      </c>
      <c r="WF3" t="s">
        <v>9611</v>
      </c>
      <c r="WG3" t="s">
        <v>9626</v>
      </c>
      <c r="WH3" t="s">
        <v>9639</v>
      </c>
      <c r="WI3" t="s">
        <v>9652</v>
      </c>
      <c r="WJ3" t="s">
        <v>9664</v>
      </c>
      <c r="WK3" t="s">
        <v>9684</v>
      </c>
      <c r="WL3" t="s">
        <v>9694</v>
      </c>
      <c r="WM3" t="s">
        <v>9714</v>
      </c>
      <c r="WN3" t="s">
        <v>9727</v>
      </c>
      <c r="WO3" t="s">
        <v>9740</v>
      </c>
      <c r="WP3" t="s">
        <v>9747</v>
      </c>
      <c r="WQ3" t="s">
        <v>9755</v>
      </c>
      <c r="WR3" t="s">
        <v>9764</v>
      </c>
      <c r="WS3" t="s">
        <v>9792</v>
      </c>
      <c r="WT3" t="s">
        <v>9827</v>
      </c>
      <c r="WU3" t="s">
        <v>9834</v>
      </c>
      <c r="WV3" t="s">
        <v>9861</v>
      </c>
      <c r="WW3" t="s">
        <v>9878</v>
      </c>
      <c r="WX3" t="s">
        <v>9891</v>
      </c>
      <c r="WY3" t="s">
        <v>9910</v>
      </c>
      <c r="WZ3" t="s">
        <v>9926</v>
      </c>
      <c r="XA3" t="s">
        <v>9936</v>
      </c>
      <c r="XB3" t="s">
        <v>9958</v>
      </c>
      <c r="XC3" t="s">
        <v>9972</v>
      </c>
      <c r="XD3" t="s">
        <v>9992</v>
      </c>
      <c r="XE3" t="s">
        <v>10006</v>
      </c>
      <c r="XF3" t="s">
        <v>10022</v>
      </c>
      <c r="XG3" t="s">
        <v>10042</v>
      </c>
      <c r="XH3" t="s">
        <v>10058</v>
      </c>
      <c r="XI3" t="s">
        <v>10076</v>
      </c>
      <c r="XJ3" t="s">
        <v>10094</v>
      </c>
      <c r="XK3" t="s">
        <v>10104</v>
      </c>
      <c r="XL3" t="s">
        <v>10117</v>
      </c>
      <c r="XM3" t="s">
        <v>10134</v>
      </c>
      <c r="XN3" t="s">
        <v>10154</v>
      </c>
      <c r="XO3" t="s">
        <v>10163</v>
      </c>
      <c r="XP3" t="s">
        <v>10175</v>
      </c>
      <c r="XQ3" t="s">
        <v>10187</v>
      </c>
      <c r="XR3" t="s">
        <v>10197</v>
      </c>
      <c r="XS3" t="s">
        <v>10218</v>
      </c>
      <c r="XT3" t="s">
        <v>10229</v>
      </c>
      <c r="XU3" t="s">
        <v>10247</v>
      </c>
      <c r="XV3" t="s">
        <v>10253</v>
      </c>
      <c r="XW3" t="s">
        <v>10263</v>
      </c>
      <c r="XX3" t="s">
        <v>10277</v>
      </c>
      <c r="XY3" t="s">
        <v>10289</v>
      </c>
      <c r="XZ3" t="s">
        <v>10307</v>
      </c>
      <c r="YA3" t="s">
        <v>10320</v>
      </c>
      <c r="YB3" t="s">
        <v>10332</v>
      </c>
      <c r="YC3" t="s">
        <v>10352</v>
      </c>
      <c r="YD3" t="s">
        <v>10381</v>
      </c>
      <c r="YE3" t="s">
        <v>10401</v>
      </c>
      <c r="YF3" t="s">
        <v>10419</v>
      </c>
      <c r="YG3" t="s">
        <v>10427</v>
      </c>
      <c r="YH3" t="s">
        <v>10441</v>
      </c>
      <c r="YI3" t="s">
        <v>10453</v>
      </c>
      <c r="YJ3" t="s">
        <v>10466</v>
      </c>
      <c r="YK3" t="s">
        <v>10489</v>
      </c>
      <c r="YL3" t="s">
        <v>10499</v>
      </c>
      <c r="YM3" t="s">
        <v>10508</v>
      </c>
      <c r="YN3" t="s">
        <v>10522</v>
      </c>
      <c r="YO3" t="s">
        <v>10530</v>
      </c>
      <c r="YP3" t="s">
        <v>10544</v>
      </c>
      <c r="YQ3" t="s">
        <v>10559</v>
      </c>
      <c r="YR3" t="s">
        <v>10575</v>
      </c>
      <c r="YS3" t="s">
        <v>10595</v>
      </c>
      <c r="YT3" t="s">
        <v>10609</v>
      </c>
      <c r="YU3" t="s">
        <v>10633</v>
      </c>
      <c r="YV3" t="s">
        <v>10653</v>
      </c>
      <c r="YW3" t="s">
        <v>10666</v>
      </c>
      <c r="YX3" t="s">
        <v>10686</v>
      </c>
      <c r="YY3" t="s">
        <v>10702</v>
      </c>
      <c r="YZ3" t="s">
        <v>10723</v>
      </c>
      <c r="ZA3" t="s">
        <v>10733</v>
      </c>
      <c r="ZB3" t="s">
        <v>10749</v>
      </c>
      <c r="ZC3" t="s">
        <v>10762</v>
      </c>
      <c r="ZD3" t="s">
        <v>10779</v>
      </c>
      <c r="ZE3" t="s">
        <v>10799</v>
      </c>
      <c r="ZF3" t="s">
        <v>10811</v>
      </c>
      <c r="ZG3" t="s">
        <v>10823</v>
      </c>
      <c r="ZH3" t="s">
        <v>10834</v>
      </c>
      <c r="ZI3" t="s">
        <v>10845</v>
      </c>
      <c r="ZJ3" t="s">
        <v>10865</v>
      </c>
      <c r="ZK3" t="s">
        <v>10876</v>
      </c>
      <c r="ZL3" t="s">
        <v>10894</v>
      </c>
      <c r="ZM3" t="s">
        <v>10909</v>
      </c>
      <c r="ZN3" t="s">
        <v>10921</v>
      </c>
      <c r="ZO3" t="s">
        <v>10932</v>
      </c>
      <c r="ZP3" t="s">
        <v>10949</v>
      </c>
      <c r="ZQ3" t="s">
        <v>10967</v>
      </c>
      <c r="ZR3" t="s">
        <v>10979</v>
      </c>
      <c r="ZS3" t="s">
        <v>10988</v>
      </c>
      <c r="ZT3" t="s">
        <v>11005</v>
      </c>
      <c r="ZU3" t="s">
        <v>11024</v>
      </c>
      <c r="ZV3" t="s">
        <v>11041</v>
      </c>
      <c r="ZW3" t="s">
        <v>11054</v>
      </c>
    </row>
    <row r="4" spans="1:699" x14ac:dyDescent="0.25">
      <c r="A4" t="s">
        <v>1233</v>
      </c>
      <c r="B4" t="s">
        <v>1245</v>
      </c>
      <c r="C4" t="s">
        <v>1254</v>
      </c>
      <c r="D4" t="s">
        <v>1265</v>
      </c>
      <c r="E4" t="s">
        <v>1280</v>
      </c>
      <c r="F4" t="s">
        <v>1298</v>
      </c>
      <c r="G4" t="s">
        <v>1319</v>
      </c>
      <c r="H4" t="s">
        <v>1335</v>
      </c>
      <c r="I4" t="s">
        <v>1344</v>
      </c>
      <c r="J4" t="s">
        <v>1366</v>
      </c>
      <c r="K4" t="s">
        <v>1373</v>
      </c>
      <c r="L4" t="s">
        <v>1382</v>
      </c>
      <c r="M4" t="s">
        <v>1397</v>
      </c>
      <c r="N4" t="s">
        <v>1411</v>
      </c>
      <c r="O4" t="s">
        <v>1439</v>
      </c>
      <c r="P4" t="s">
        <v>1444</v>
      </c>
      <c r="Q4" t="s">
        <v>1456</v>
      </c>
      <c r="R4" t="s">
        <v>1478</v>
      </c>
      <c r="S4" t="s">
        <v>1498</v>
      </c>
      <c r="T4" t="s">
        <v>1516</v>
      </c>
      <c r="U4" t="s">
        <v>1530</v>
      </c>
      <c r="V4" t="s">
        <v>1567</v>
      </c>
      <c r="W4" t="s">
        <v>1582</v>
      </c>
      <c r="X4" t="s">
        <v>1594</v>
      </c>
      <c r="Y4" t="s">
        <v>1610</v>
      </c>
      <c r="Z4" t="s">
        <v>1624</v>
      </c>
      <c r="AA4" t="s">
        <v>1650</v>
      </c>
      <c r="AB4" t="s">
        <v>1660</v>
      </c>
      <c r="AC4" t="s">
        <v>1669</v>
      </c>
      <c r="AD4" t="s">
        <v>1690</v>
      </c>
      <c r="AE4" t="s">
        <v>1694</v>
      </c>
      <c r="AF4" t="s">
        <v>1708</v>
      </c>
      <c r="AG4" t="s">
        <v>1718</v>
      </c>
      <c r="AH4" t="s">
        <v>1738</v>
      </c>
      <c r="AI4" t="s">
        <v>1751</v>
      </c>
      <c r="AJ4" t="s">
        <v>1771</v>
      </c>
      <c r="AK4" t="s">
        <v>1784</v>
      </c>
      <c r="AL4" t="s">
        <v>1800</v>
      </c>
      <c r="AM4" t="s">
        <v>1807</v>
      </c>
      <c r="AO4" t="s">
        <v>1827</v>
      </c>
      <c r="AP4" t="s">
        <v>1844</v>
      </c>
      <c r="AQ4" t="s">
        <v>1860</v>
      </c>
      <c r="AR4" t="s">
        <v>1870</v>
      </c>
      <c r="AS4" t="s">
        <v>1879</v>
      </c>
      <c r="AT4" t="s">
        <v>1901</v>
      </c>
      <c r="AU4" t="s">
        <v>1918</v>
      </c>
      <c r="AV4" t="s">
        <v>1933</v>
      </c>
      <c r="AW4" t="s">
        <v>1965</v>
      </c>
      <c r="AX4" t="s">
        <v>1978</v>
      </c>
      <c r="AY4" t="s">
        <v>1991</v>
      </c>
      <c r="AZ4" t="s">
        <v>2002</v>
      </c>
      <c r="BA4" t="s">
        <v>2029</v>
      </c>
      <c r="BB4" t="s">
        <v>2046</v>
      </c>
      <c r="BC4" t="s">
        <v>2053</v>
      </c>
      <c r="BD4" t="s">
        <v>2072</v>
      </c>
      <c r="BE4" t="s">
        <v>2108</v>
      </c>
      <c r="BF4" t="s">
        <v>2126</v>
      </c>
      <c r="BG4" t="s">
        <v>2136</v>
      </c>
      <c r="BH4" t="s">
        <v>2151</v>
      </c>
      <c r="BI4" t="s">
        <v>2161</v>
      </c>
      <c r="BJ4" t="s">
        <v>2181</v>
      </c>
      <c r="BK4" t="s">
        <v>2201</v>
      </c>
      <c r="BL4" t="s">
        <v>2210</v>
      </c>
      <c r="BM4" t="s">
        <v>2217</v>
      </c>
      <c r="BN4" t="s">
        <v>2232</v>
      </c>
      <c r="BO4" t="s">
        <v>2251</v>
      </c>
      <c r="BP4" t="s">
        <v>2265</v>
      </c>
      <c r="BQ4" t="s">
        <v>2279</v>
      </c>
      <c r="BR4" t="s">
        <v>2302</v>
      </c>
      <c r="BS4" t="s">
        <v>2313</v>
      </c>
      <c r="BT4" t="s">
        <v>2337</v>
      </c>
      <c r="BU4" t="s">
        <v>2352</v>
      </c>
      <c r="BV4" t="s">
        <v>2372</v>
      </c>
      <c r="BW4" t="s">
        <v>2389</v>
      </c>
      <c r="BX4" t="s">
        <v>2395</v>
      </c>
      <c r="BY4" t="s">
        <v>2409</v>
      </c>
      <c r="BZ4" t="s">
        <v>2428</v>
      </c>
      <c r="CA4" t="s">
        <v>2435</v>
      </c>
      <c r="CB4" t="s">
        <v>2447</v>
      </c>
      <c r="CC4" t="s">
        <v>2469</v>
      </c>
      <c r="CD4" t="s">
        <v>2484</v>
      </c>
      <c r="CE4" t="s">
        <v>2497</v>
      </c>
      <c r="CF4" t="s">
        <v>2503</v>
      </c>
      <c r="CG4" t="s">
        <v>2524</v>
      </c>
      <c r="CH4" t="s">
        <v>2536</v>
      </c>
      <c r="CI4" t="s">
        <v>2544</v>
      </c>
      <c r="CJ4" t="s">
        <v>2554</v>
      </c>
      <c r="CL4" t="s">
        <v>2563</v>
      </c>
      <c r="CM4" t="s">
        <v>2571</v>
      </c>
      <c r="CN4" t="s">
        <v>2585</v>
      </c>
      <c r="CO4" t="s">
        <v>2592</v>
      </c>
      <c r="CP4" t="s">
        <v>2610</v>
      </c>
      <c r="CQ4" t="s">
        <v>2616</v>
      </c>
      <c r="CR4" t="s">
        <v>2622</v>
      </c>
      <c r="CS4" t="s">
        <v>2629</v>
      </c>
      <c r="CT4" t="s">
        <v>2644</v>
      </c>
      <c r="CU4" t="s">
        <v>2655</v>
      </c>
      <c r="CV4" t="s">
        <v>2674</v>
      </c>
      <c r="CW4" t="s">
        <v>2691</v>
      </c>
      <c r="CX4" t="s">
        <v>2722</v>
      </c>
      <c r="CY4" t="s">
        <v>2733</v>
      </c>
      <c r="CZ4" t="s">
        <v>2743</v>
      </c>
      <c r="DA4" t="s">
        <v>2754</v>
      </c>
      <c r="DB4" t="s">
        <v>2786</v>
      </c>
      <c r="DC4" t="s">
        <v>2797</v>
      </c>
      <c r="DD4" t="s">
        <v>2806</v>
      </c>
      <c r="DE4" t="s">
        <v>2818</v>
      </c>
      <c r="DF4" t="s">
        <v>2840</v>
      </c>
      <c r="DG4" t="s">
        <v>2877</v>
      </c>
      <c r="DH4" t="s">
        <v>2890</v>
      </c>
      <c r="DI4" t="s">
        <v>2906</v>
      </c>
      <c r="DJ4" t="s">
        <v>2911</v>
      </c>
      <c r="DK4" t="s">
        <v>2933</v>
      </c>
      <c r="DL4" t="s">
        <v>2944</v>
      </c>
      <c r="DM4" t="s">
        <v>2952</v>
      </c>
      <c r="DN4" t="s">
        <v>2965</v>
      </c>
      <c r="DO4" t="s">
        <v>2978</v>
      </c>
      <c r="DP4" t="s">
        <v>2990</v>
      </c>
      <c r="DQ4" t="s">
        <v>3005</v>
      </c>
      <c r="DR4" t="s">
        <v>3014</v>
      </c>
      <c r="DS4" t="s">
        <v>3033</v>
      </c>
      <c r="DT4" t="s">
        <v>3050</v>
      </c>
      <c r="DU4" t="s">
        <v>3067</v>
      </c>
      <c r="DV4" t="s">
        <v>3073</v>
      </c>
      <c r="DW4" t="s">
        <v>3082</v>
      </c>
      <c r="DX4" t="s">
        <v>3097</v>
      </c>
      <c r="DY4" t="s">
        <v>3113</v>
      </c>
      <c r="DZ4" t="s">
        <v>3126</v>
      </c>
      <c r="EA4" t="s">
        <v>3145</v>
      </c>
      <c r="EB4" t="s">
        <v>3158</v>
      </c>
      <c r="EC4" t="s">
        <v>3177</v>
      </c>
      <c r="ED4" t="s">
        <v>3205</v>
      </c>
      <c r="EE4" t="s">
        <v>3220</v>
      </c>
      <c r="EF4" t="s">
        <v>3229</v>
      </c>
      <c r="EG4" t="s">
        <v>3251</v>
      </c>
      <c r="EH4" t="s">
        <v>3259</v>
      </c>
      <c r="EI4" t="s">
        <v>3279</v>
      </c>
      <c r="EJ4" t="s">
        <v>3290</v>
      </c>
      <c r="EK4" t="s">
        <v>3305</v>
      </c>
      <c r="EL4" t="s">
        <v>3321</v>
      </c>
      <c r="EM4" t="s">
        <v>3327</v>
      </c>
      <c r="EN4" t="s">
        <v>3336</v>
      </c>
      <c r="EO4" t="s">
        <v>3355</v>
      </c>
      <c r="EP4" t="s">
        <v>3363</v>
      </c>
      <c r="EQ4" t="s">
        <v>3370</v>
      </c>
      <c r="ER4" t="s">
        <v>3396</v>
      </c>
      <c r="ES4" t="s">
        <v>3416</v>
      </c>
      <c r="EU4" t="s">
        <v>3439</v>
      </c>
      <c r="EV4" t="s">
        <v>3448</v>
      </c>
      <c r="EW4" t="s">
        <v>3459</v>
      </c>
      <c r="EX4" t="s">
        <v>3473</v>
      </c>
      <c r="EY4" t="s">
        <v>3480</v>
      </c>
      <c r="EZ4" t="s">
        <v>3488</v>
      </c>
      <c r="FA4" t="s">
        <v>3494</v>
      </c>
      <c r="FB4" t="s">
        <v>3500</v>
      </c>
      <c r="FC4" t="s">
        <v>3512</v>
      </c>
      <c r="FD4" t="s">
        <v>3522</v>
      </c>
      <c r="FE4" t="s">
        <v>3538</v>
      </c>
      <c r="FF4" t="s">
        <v>3548</v>
      </c>
      <c r="FG4" t="s">
        <v>3562</v>
      </c>
      <c r="FH4" t="s">
        <v>3572</v>
      </c>
      <c r="FI4" t="s">
        <v>3592</v>
      </c>
      <c r="FJ4" t="s">
        <v>3603</v>
      </c>
      <c r="FK4" t="s">
        <v>3615</v>
      </c>
      <c r="FL4" t="s">
        <v>3638</v>
      </c>
      <c r="FM4" t="s">
        <v>3644</v>
      </c>
      <c r="FN4" t="s">
        <v>3655</v>
      </c>
      <c r="FO4" t="s">
        <v>3666</v>
      </c>
      <c r="FP4" t="s">
        <v>3682</v>
      </c>
      <c r="FQ4" t="s">
        <v>3688</v>
      </c>
      <c r="FR4" t="s">
        <v>3708</v>
      </c>
      <c r="FS4" t="s">
        <v>3717</v>
      </c>
      <c r="FT4" t="s">
        <v>3729</v>
      </c>
      <c r="FU4" t="s">
        <v>3745</v>
      </c>
      <c r="FV4" t="s">
        <v>3762</v>
      </c>
      <c r="FW4" t="s">
        <v>3777</v>
      </c>
      <c r="FX4" t="s">
        <v>3785</v>
      </c>
      <c r="FY4" t="s">
        <v>3804</v>
      </c>
      <c r="FZ4" t="s">
        <v>3811</v>
      </c>
      <c r="GA4" t="s">
        <v>3825</v>
      </c>
      <c r="GB4" t="s">
        <v>3834</v>
      </c>
      <c r="GC4" t="s">
        <v>3843</v>
      </c>
      <c r="GD4" t="s">
        <v>3847</v>
      </c>
      <c r="GE4" t="s">
        <v>3855</v>
      </c>
      <c r="GF4" t="s">
        <v>3865</v>
      </c>
      <c r="GG4" t="s">
        <v>3884</v>
      </c>
      <c r="GH4" t="s">
        <v>3896</v>
      </c>
      <c r="GI4" t="s">
        <v>3905</v>
      </c>
      <c r="GJ4" t="s">
        <v>3912</v>
      </c>
      <c r="GK4" t="s">
        <v>3925</v>
      </c>
      <c r="GL4" t="s">
        <v>3943</v>
      </c>
      <c r="GM4" t="s">
        <v>3953</v>
      </c>
      <c r="GN4" t="s">
        <v>3963</v>
      </c>
      <c r="GO4" t="s">
        <v>3987</v>
      </c>
      <c r="GP4" t="s">
        <v>4006</v>
      </c>
      <c r="GQ4" t="s">
        <v>4044</v>
      </c>
      <c r="GR4" t="s">
        <v>4053</v>
      </c>
      <c r="GS4" t="s">
        <v>4063</v>
      </c>
      <c r="GT4" t="s">
        <v>4077</v>
      </c>
      <c r="GU4" t="s">
        <v>4100</v>
      </c>
      <c r="GV4" t="s">
        <v>4110</v>
      </c>
      <c r="GW4" t="s">
        <v>4143</v>
      </c>
      <c r="GX4" t="s">
        <v>4164</v>
      </c>
      <c r="GY4" t="s">
        <v>4181</v>
      </c>
      <c r="GZ4" t="s">
        <v>4193</v>
      </c>
      <c r="HA4" t="s">
        <v>4202</v>
      </c>
      <c r="HB4" t="s">
        <v>4215</v>
      </c>
      <c r="HC4" t="s">
        <v>4226</v>
      </c>
      <c r="HD4" t="s">
        <v>4240</v>
      </c>
      <c r="HE4" t="s">
        <v>4256</v>
      </c>
      <c r="HF4" t="s">
        <v>4285</v>
      </c>
      <c r="HG4" t="s">
        <v>4297</v>
      </c>
      <c r="HH4" t="s">
        <v>4328</v>
      </c>
      <c r="HI4" t="s">
        <v>4335</v>
      </c>
      <c r="HJ4" t="s">
        <v>4358</v>
      </c>
      <c r="HK4" t="s">
        <v>4378</v>
      </c>
      <c r="HL4" t="s">
        <v>4391</v>
      </c>
      <c r="HM4" t="s">
        <v>4406</v>
      </c>
      <c r="HN4" t="s">
        <v>4414</v>
      </c>
      <c r="HO4" t="s">
        <v>4421</v>
      </c>
      <c r="HP4" t="s">
        <v>4428</v>
      </c>
      <c r="HQ4" t="s">
        <v>4443</v>
      </c>
      <c r="HR4" t="s">
        <v>4459</v>
      </c>
      <c r="HS4" t="s">
        <v>4482</v>
      </c>
      <c r="HT4" t="s">
        <v>4491</v>
      </c>
      <c r="HU4" t="s">
        <v>4518</v>
      </c>
      <c r="HV4" t="s">
        <v>4528</v>
      </c>
      <c r="HW4" t="s">
        <v>4535</v>
      </c>
      <c r="HX4" t="s">
        <v>4545</v>
      </c>
      <c r="HY4" t="s">
        <v>4554</v>
      </c>
      <c r="HZ4" t="s">
        <v>4570</v>
      </c>
      <c r="IA4" t="s">
        <v>4578</v>
      </c>
      <c r="IB4" t="s">
        <v>4592</v>
      </c>
      <c r="IC4" t="s">
        <v>4601</v>
      </c>
      <c r="ID4" t="s">
        <v>4610</v>
      </c>
      <c r="IE4" t="s">
        <v>4615</v>
      </c>
      <c r="IF4" t="s">
        <v>4625</v>
      </c>
      <c r="IG4" t="s">
        <v>4641</v>
      </c>
      <c r="IH4" t="s">
        <v>4646</v>
      </c>
      <c r="II4" t="s">
        <v>4655</v>
      </c>
      <c r="IJ4" t="s">
        <v>4673</v>
      </c>
      <c r="IK4" t="s">
        <v>4697</v>
      </c>
      <c r="IL4" t="s">
        <v>4708</v>
      </c>
      <c r="IM4" t="s">
        <v>4714</v>
      </c>
      <c r="IN4" t="s">
        <v>4720</v>
      </c>
      <c r="IO4" t="s">
        <v>4739</v>
      </c>
      <c r="IP4" t="s">
        <v>4771</v>
      </c>
      <c r="IQ4" t="s">
        <v>4779</v>
      </c>
      <c r="IR4" t="s">
        <v>4796</v>
      </c>
      <c r="IS4" t="s">
        <v>4817</v>
      </c>
      <c r="IT4" t="s">
        <v>4828</v>
      </c>
      <c r="IU4" t="s">
        <v>4838</v>
      </c>
      <c r="IV4" t="s">
        <v>4849</v>
      </c>
      <c r="IW4" t="s">
        <v>4864</v>
      </c>
      <c r="IX4" t="s">
        <v>4875</v>
      </c>
      <c r="IY4" t="s">
        <v>4886</v>
      </c>
      <c r="IZ4" t="s">
        <v>4892</v>
      </c>
      <c r="JA4" t="s">
        <v>4898</v>
      </c>
      <c r="JB4" t="s">
        <v>4923</v>
      </c>
      <c r="JC4" t="s">
        <v>4933</v>
      </c>
      <c r="JD4" t="s">
        <v>4943</v>
      </c>
      <c r="JE4" t="s">
        <v>4953</v>
      </c>
      <c r="JF4" t="s">
        <v>4961</v>
      </c>
      <c r="JG4" t="s">
        <v>4979</v>
      </c>
      <c r="JH4" t="s">
        <v>4984</v>
      </c>
      <c r="JI4" t="s">
        <v>4996</v>
      </c>
      <c r="JJ4" t="s">
        <v>5015</v>
      </c>
      <c r="JK4" t="s">
        <v>5026</v>
      </c>
      <c r="JL4" t="s">
        <v>5048</v>
      </c>
      <c r="JM4" t="s">
        <v>5070</v>
      </c>
      <c r="JN4" t="s">
        <v>5081</v>
      </c>
      <c r="JO4" t="s">
        <v>5104</v>
      </c>
      <c r="JP4" t="s">
        <v>5119</v>
      </c>
      <c r="JR4" t="s">
        <v>5138</v>
      </c>
      <c r="JS4" t="s">
        <v>5158</v>
      </c>
      <c r="JT4" t="s">
        <v>5169</v>
      </c>
      <c r="JU4" t="s">
        <v>5176</v>
      </c>
      <c r="JV4" t="s">
        <v>5182</v>
      </c>
      <c r="JW4" t="s">
        <v>5189</v>
      </c>
      <c r="JX4" t="s">
        <v>5199</v>
      </c>
      <c r="JY4" t="s">
        <v>5213</v>
      </c>
      <c r="JZ4" t="s">
        <v>5231</v>
      </c>
      <c r="KA4" t="s">
        <v>5237</v>
      </c>
      <c r="KB4" t="s">
        <v>5247</v>
      </c>
      <c r="KC4" t="s">
        <v>5254</v>
      </c>
      <c r="KD4" t="s">
        <v>5266</v>
      </c>
      <c r="KE4" t="s">
        <v>5275</v>
      </c>
      <c r="KF4" t="s">
        <v>5282</v>
      </c>
      <c r="KG4" t="s">
        <v>5291</v>
      </c>
      <c r="KH4" t="s">
        <v>5299</v>
      </c>
      <c r="KI4" t="s">
        <v>5313</v>
      </c>
      <c r="KJ4" t="s">
        <v>5325</v>
      </c>
      <c r="KK4" t="s">
        <v>5332</v>
      </c>
      <c r="KL4" t="s">
        <v>5360</v>
      </c>
      <c r="KM4" t="s">
        <v>5374</v>
      </c>
      <c r="KN4" t="s">
        <v>5388</v>
      </c>
      <c r="KO4" t="s">
        <v>5408</v>
      </c>
      <c r="KP4" t="s">
        <v>5424</v>
      </c>
      <c r="KQ4" t="s">
        <v>5442</v>
      </c>
      <c r="KR4" t="s">
        <v>5459</v>
      </c>
      <c r="KS4" t="s">
        <v>5472</v>
      </c>
      <c r="KT4" t="s">
        <v>5485</v>
      </c>
      <c r="KU4" t="s">
        <v>5490</v>
      </c>
      <c r="KV4" t="s">
        <v>5502</v>
      </c>
      <c r="KW4" t="s">
        <v>5516</v>
      </c>
      <c r="KX4" t="s">
        <v>5523</v>
      </c>
      <c r="KY4" t="s">
        <v>5530</v>
      </c>
      <c r="KZ4" t="s">
        <v>5555</v>
      </c>
      <c r="LA4" t="s">
        <v>5566</v>
      </c>
      <c r="LB4" t="s">
        <v>5581</v>
      </c>
      <c r="LC4" t="s">
        <v>5594</v>
      </c>
      <c r="LD4" t="s">
        <v>5610</v>
      </c>
      <c r="LE4" t="s">
        <v>5619</v>
      </c>
      <c r="LF4" t="s">
        <v>5640</v>
      </c>
      <c r="LG4" t="s">
        <v>5669</v>
      </c>
      <c r="LH4" t="s">
        <v>5679</v>
      </c>
      <c r="LI4" t="s">
        <v>5687</v>
      </c>
      <c r="LJ4" t="s">
        <v>5699</v>
      </c>
      <c r="LK4" t="s">
        <v>5708</v>
      </c>
      <c r="LL4" t="s">
        <v>5720</v>
      </c>
      <c r="LM4" t="s">
        <v>5735</v>
      </c>
      <c r="LN4" t="s">
        <v>5743</v>
      </c>
      <c r="LO4" t="s">
        <v>5760</v>
      </c>
      <c r="LP4" t="s">
        <v>5773</v>
      </c>
      <c r="LQ4" t="s">
        <v>5798</v>
      </c>
      <c r="LR4" t="s">
        <v>5804</v>
      </c>
      <c r="LS4" t="s">
        <v>5812</v>
      </c>
      <c r="LT4" t="s">
        <v>5835</v>
      </c>
      <c r="LU4" t="s">
        <v>5845</v>
      </c>
      <c r="LV4" t="s">
        <v>5855</v>
      </c>
      <c r="LW4" t="s">
        <v>5868</v>
      </c>
      <c r="LX4" t="s">
        <v>5882</v>
      </c>
      <c r="LY4" t="s">
        <v>5895</v>
      </c>
      <c r="LZ4" t="s">
        <v>5905</v>
      </c>
      <c r="MA4" t="s">
        <v>5931</v>
      </c>
      <c r="MB4" t="s">
        <v>5944</v>
      </c>
      <c r="MC4" t="s">
        <v>5957</v>
      </c>
      <c r="MD4" t="s">
        <v>5972</v>
      </c>
      <c r="ME4" t="s">
        <v>5980</v>
      </c>
      <c r="MF4" t="s">
        <v>5989</v>
      </c>
      <c r="MG4" t="s">
        <v>5995</v>
      </c>
      <c r="MH4" t="s">
        <v>6008</v>
      </c>
      <c r="MI4" t="s">
        <v>6015</v>
      </c>
      <c r="MJ4" t="s">
        <v>6043</v>
      </c>
      <c r="MK4" t="s">
        <v>6051</v>
      </c>
      <c r="ML4" t="s">
        <v>6064</v>
      </c>
      <c r="MM4" t="s">
        <v>6073</v>
      </c>
      <c r="MN4" t="s">
        <v>6082</v>
      </c>
      <c r="MO4" t="s">
        <v>6092</v>
      </c>
      <c r="MP4" t="s">
        <v>6103</v>
      </c>
      <c r="MQ4" t="s">
        <v>6108</v>
      </c>
      <c r="MR4" t="s">
        <v>6115</v>
      </c>
      <c r="MS4" t="s">
        <v>6122</v>
      </c>
      <c r="MT4" t="s">
        <v>6135</v>
      </c>
      <c r="MU4" t="s">
        <v>6152</v>
      </c>
      <c r="MV4" t="s">
        <v>6160</v>
      </c>
      <c r="MW4" t="s">
        <v>6168</v>
      </c>
      <c r="MX4" t="s">
        <v>6182</v>
      </c>
      <c r="MY4" t="s">
        <v>6195</v>
      </c>
      <c r="MZ4" t="s">
        <v>6205</v>
      </c>
      <c r="NA4" t="s">
        <v>6221</v>
      </c>
      <c r="NB4" t="s">
        <v>6234</v>
      </c>
      <c r="NC4" t="s">
        <v>6243</v>
      </c>
      <c r="ND4" t="s">
        <v>6247</v>
      </c>
      <c r="NE4" t="s">
        <v>6264</v>
      </c>
      <c r="NF4" t="s">
        <v>6285</v>
      </c>
      <c r="NG4" t="s">
        <v>6295</v>
      </c>
      <c r="NH4" t="s">
        <v>6318</v>
      </c>
      <c r="NI4" t="s">
        <v>6331</v>
      </c>
      <c r="NJ4" t="s">
        <v>6348</v>
      </c>
      <c r="NK4" t="s">
        <v>6363</v>
      </c>
      <c r="NL4" t="s">
        <v>6383</v>
      </c>
      <c r="NM4" t="s">
        <v>6401</v>
      </c>
      <c r="NN4" t="s">
        <v>6424</v>
      </c>
      <c r="NO4" t="s">
        <v>6446</v>
      </c>
      <c r="NP4" t="s">
        <v>6462</v>
      </c>
      <c r="NQ4" t="s">
        <v>6486</v>
      </c>
      <c r="NR4" t="s">
        <v>6495</v>
      </c>
      <c r="NS4" t="s">
        <v>6512</v>
      </c>
      <c r="NT4" t="s">
        <v>6522</v>
      </c>
      <c r="NU4" t="s">
        <v>6532</v>
      </c>
      <c r="NV4" t="s">
        <v>6539</v>
      </c>
      <c r="NX4" t="s">
        <v>6557</v>
      </c>
      <c r="NY4" t="s">
        <v>6574</v>
      </c>
      <c r="NZ4" t="s">
        <v>6580</v>
      </c>
      <c r="OA4" t="s">
        <v>6595</v>
      </c>
      <c r="OB4" t="s">
        <v>6606</v>
      </c>
      <c r="OC4" t="s">
        <v>6627</v>
      </c>
      <c r="OD4" t="s">
        <v>6641</v>
      </c>
      <c r="OE4" t="s">
        <v>6648</v>
      </c>
      <c r="OF4" t="s">
        <v>6659</v>
      </c>
      <c r="OG4" t="s">
        <v>6674</v>
      </c>
      <c r="OH4" t="s">
        <v>6696</v>
      </c>
      <c r="OI4" t="s">
        <v>6722</v>
      </c>
      <c r="OJ4" t="s">
        <v>6736</v>
      </c>
      <c r="OK4" t="s">
        <v>6753</v>
      </c>
      <c r="OL4" t="s">
        <v>6771</v>
      </c>
      <c r="OM4" t="s">
        <v>6785</v>
      </c>
      <c r="ON4" t="s">
        <v>6795</v>
      </c>
      <c r="OO4" t="s">
        <v>6802</v>
      </c>
      <c r="OP4" t="s">
        <v>6813</v>
      </c>
      <c r="OQ4" t="s">
        <v>6823</v>
      </c>
      <c r="OR4" t="s">
        <v>6837</v>
      </c>
      <c r="OS4" t="s">
        <v>6845</v>
      </c>
      <c r="OT4" t="s">
        <v>6854</v>
      </c>
      <c r="OU4" t="s">
        <v>6862</v>
      </c>
      <c r="OV4" t="s">
        <v>6880</v>
      </c>
      <c r="OW4" t="s">
        <v>6896</v>
      </c>
      <c r="OX4" t="s">
        <v>6915</v>
      </c>
      <c r="OY4" t="s">
        <v>6924</v>
      </c>
      <c r="OZ4" t="s">
        <v>6939</v>
      </c>
      <c r="PA4" t="s">
        <v>6945</v>
      </c>
      <c r="PB4" t="s">
        <v>6973</v>
      </c>
      <c r="PC4" t="s">
        <v>6978</v>
      </c>
      <c r="PD4" t="s">
        <v>6993</v>
      </c>
      <c r="PE4" t="s">
        <v>7005</v>
      </c>
      <c r="PF4" t="s">
        <v>7018</v>
      </c>
      <c r="PG4" t="s">
        <v>7033</v>
      </c>
      <c r="PH4" t="s">
        <v>7045</v>
      </c>
      <c r="PI4" t="s">
        <v>7057</v>
      </c>
      <c r="PJ4" t="s">
        <v>7068</v>
      </c>
      <c r="PK4" t="s">
        <v>7079</v>
      </c>
      <c r="PL4" t="s">
        <v>7085</v>
      </c>
      <c r="PM4" t="s">
        <v>7115</v>
      </c>
      <c r="PN4" t="s">
        <v>7122</v>
      </c>
      <c r="PO4" t="s">
        <v>7135</v>
      </c>
      <c r="PP4" t="s">
        <v>7147</v>
      </c>
      <c r="PQ4" t="s">
        <v>7162</v>
      </c>
      <c r="PR4" t="s">
        <v>7186</v>
      </c>
      <c r="PS4" t="s">
        <v>7202</v>
      </c>
      <c r="PT4" t="s">
        <v>7215</v>
      </c>
      <c r="PU4" t="s">
        <v>7239</v>
      </c>
      <c r="PV4" t="s">
        <v>7246</v>
      </c>
      <c r="PW4" t="s">
        <v>7261</v>
      </c>
      <c r="PX4" t="s">
        <v>7264</v>
      </c>
      <c r="PY4" t="s">
        <v>7280</v>
      </c>
      <c r="PZ4" t="s">
        <v>7294</v>
      </c>
      <c r="QA4" t="s">
        <v>7307</v>
      </c>
      <c r="QB4" t="s">
        <v>7316</v>
      </c>
      <c r="QC4" t="s">
        <v>7334</v>
      </c>
      <c r="QD4" t="s">
        <v>7345</v>
      </c>
      <c r="QE4" t="s">
        <v>7354</v>
      </c>
      <c r="QF4" t="s">
        <v>7373</v>
      </c>
      <c r="QG4" t="s">
        <v>7389</v>
      </c>
      <c r="QH4" t="s">
        <v>7401</v>
      </c>
      <c r="QI4" t="s">
        <v>7408</v>
      </c>
      <c r="QJ4" t="s">
        <v>7431</v>
      </c>
      <c r="QK4" t="s">
        <v>7437</v>
      </c>
      <c r="QL4" t="s">
        <v>7446</v>
      </c>
      <c r="QM4" t="s">
        <v>7469</v>
      </c>
      <c r="QN4" t="s">
        <v>7481</v>
      </c>
      <c r="QO4" t="s">
        <v>7512</v>
      </c>
      <c r="QP4" t="s">
        <v>7527</v>
      </c>
      <c r="QQ4" t="s">
        <v>7537</v>
      </c>
      <c r="QR4" t="s">
        <v>7557</v>
      </c>
      <c r="QS4" t="s">
        <v>7567</v>
      </c>
      <c r="QT4" t="s">
        <v>7603</v>
      </c>
      <c r="QU4" t="s">
        <v>7613</v>
      </c>
      <c r="QV4" t="s">
        <v>7622</v>
      </c>
      <c r="QW4" t="s">
        <v>7633</v>
      </c>
      <c r="QX4" t="s">
        <v>7650</v>
      </c>
      <c r="QY4" t="s">
        <v>7658</v>
      </c>
      <c r="QZ4" t="s">
        <v>7678</v>
      </c>
      <c r="RA4" t="s">
        <v>7693</v>
      </c>
      <c r="RB4" t="s">
        <v>7709</v>
      </c>
      <c r="RC4" t="s">
        <v>7724</v>
      </c>
      <c r="RD4" t="s">
        <v>7756</v>
      </c>
      <c r="RE4" t="s">
        <v>7765</v>
      </c>
      <c r="RF4" t="s">
        <v>7778</v>
      </c>
      <c r="RG4" t="s">
        <v>7794</v>
      </c>
      <c r="RH4" t="s">
        <v>7803</v>
      </c>
      <c r="RI4" t="s">
        <v>7811</v>
      </c>
      <c r="RJ4" t="s">
        <v>7821</v>
      </c>
      <c r="RK4" t="s">
        <v>7837</v>
      </c>
      <c r="RL4" t="s">
        <v>7845</v>
      </c>
      <c r="RM4" t="s">
        <v>7852</v>
      </c>
      <c r="RN4" t="s">
        <v>7868</v>
      </c>
      <c r="RO4" t="s">
        <v>7885</v>
      </c>
      <c r="RP4" t="s">
        <v>7891</v>
      </c>
      <c r="RQ4" t="s">
        <v>7905</v>
      </c>
      <c r="RR4" t="s">
        <v>7921</v>
      </c>
      <c r="RS4" t="s">
        <v>7930</v>
      </c>
      <c r="RT4" t="s">
        <v>7939</v>
      </c>
      <c r="RU4" t="s">
        <v>7947</v>
      </c>
      <c r="RV4" t="s">
        <v>7960</v>
      </c>
      <c r="RW4" t="s">
        <v>7984</v>
      </c>
      <c r="RX4" t="s">
        <v>7995</v>
      </c>
      <c r="RY4" t="s">
        <v>8005</v>
      </c>
      <c r="RZ4" t="s">
        <v>8016</v>
      </c>
      <c r="SA4" t="s">
        <v>8051</v>
      </c>
      <c r="SB4" t="s">
        <v>8056</v>
      </c>
      <c r="SC4" t="s">
        <v>8068</v>
      </c>
      <c r="SD4" t="s">
        <v>8081</v>
      </c>
      <c r="SE4" t="s">
        <v>8103</v>
      </c>
      <c r="SF4" t="s">
        <v>8112</v>
      </c>
      <c r="SG4" t="s">
        <v>8136</v>
      </c>
      <c r="SH4" t="s">
        <v>8142</v>
      </c>
      <c r="SI4" t="s">
        <v>8171</v>
      </c>
      <c r="SJ4" t="s">
        <v>8185</v>
      </c>
      <c r="SK4" t="s">
        <v>8206</v>
      </c>
      <c r="SL4" t="s">
        <v>8214</v>
      </c>
      <c r="SM4" t="s">
        <v>8224</v>
      </c>
      <c r="SN4" t="s">
        <v>8233</v>
      </c>
      <c r="SO4" t="s">
        <v>8240</v>
      </c>
      <c r="SP4" t="s">
        <v>8248</v>
      </c>
      <c r="SQ4" t="s">
        <v>8262</v>
      </c>
      <c r="SR4" t="s">
        <v>8269</v>
      </c>
      <c r="SS4" t="s">
        <v>8277</v>
      </c>
      <c r="ST4" t="s">
        <v>8291</v>
      </c>
      <c r="SU4" t="s">
        <v>8307</v>
      </c>
      <c r="SV4" t="s">
        <v>8333</v>
      </c>
      <c r="SW4" t="s">
        <v>8342</v>
      </c>
      <c r="SX4" t="s">
        <v>8355</v>
      </c>
      <c r="SY4" t="s">
        <v>8374</v>
      </c>
      <c r="SZ4" t="s">
        <v>8384</v>
      </c>
      <c r="TA4" t="s">
        <v>8399</v>
      </c>
      <c r="TB4" t="s">
        <v>8404</v>
      </c>
      <c r="TC4" t="s">
        <v>8415</v>
      </c>
      <c r="TD4" t="s">
        <v>8426</v>
      </c>
      <c r="TE4" t="s">
        <v>8455</v>
      </c>
      <c r="TF4" t="s">
        <v>8468</v>
      </c>
      <c r="TG4" t="s">
        <v>8471</v>
      </c>
      <c r="TH4" t="s">
        <v>8476</v>
      </c>
      <c r="TI4" t="s">
        <v>8489</v>
      </c>
      <c r="TJ4" t="s">
        <v>8499</v>
      </c>
      <c r="TK4" t="s">
        <v>8506</v>
      </c>
      <c r="TL4" t="s">
        <v>8516</v>
      </c>
      <c r="TM4" t="s">
        <v>8531</v>
      </c>
      <c r="TN4" t="s">
        <v>8543</v>
      </c>
      <c r="TO4" t="s">
        <v>8553</v>
      </c>
      <c r="TP4" t="s">
        <v>8571</v>
      </c>
      <c r="TQ4" t="s">
        <v>8583</v>
      </c>
      <c r="TR4" t="s">
        <v>8597</v>
      </c>
      <c r="TS4" t="s">
        <v>8633</v>
      </c>
      <c r="TT4" t="s">
        <v>8645</v>
      </c>
      <c r="TU4" t="s">
        <v>8660</v>
      </c>
      <c r="TV4" t="s">
        <v>8670</v>
      </c>
      <c r="TW4" t="s">
        <v>8690</v>
      </c>
      <c r="TX4" t="s">
        <v>8707</v>
      </c>
      <c r="TY4" t="s">
        <v>8717</v>
      </c>
      <c r="TZ4" t="s">
        <v>8729</v>
      </c>
      <c r="UA4" t="s">
        <v>8746</v>
      </c>
      <c r="UB4" t="s">
        <v>8754</v>
      </c>
      <c r="UC4" t="s">
        <v>8774</v>
      </c>
      <c r="UD4" t="s">
        <v>8794</v>
      </c>
      <c r="UE4" t="s">
        <v>8800</v>
      </c>
      <c r="UF4" t="s">
        <v>8809</v>
      </c>
      <c r="UG4" t="s">
        <v>8833</v>
      </c>
      <c r="UH4" t="s">
        <v>8849</v>
      </c>
      <c r="UI4" t="s">
        <v>8885</v>
      </c>
      <c r="UJ4" t="s">
        <v>8898</v>
      </c>
      <c r="UK4" t="s">
        <v>8931</v>
      </c>
      <c r="UL4" t="s">
        <v>8947</v>
      </c>
      <c r="UM4" t="s">
        <v>8959</v>
      </c>
      <c r="UN4" t="s">
        <v>8967</v>
      </c>
      <c r="UO4" t="s">
        <v>8980</v>
      </c>
      <c r="UP4" t="s">
        <v>9000</v>
      </c>
      <c r="UQ4" t="s">
        <v>9009</v>
      </c>
      <c r="UR4" t="s">
        <v>9025</v>
      </c>
      <c r="US4" t="s">
        <v>9050</v>
      </c>
      <c r="UT4" t="s">
        <v>9066</v>
      </c>
      <c r="UU4" t="s">
        <v>9082</v>
      </c>
      <c r="UV4" t="s">
        <v>9090</v>
      </c>
      <c r="UW4" t="s">
        <v>9120</v>
      </c>
      <c r="UX4" t="s">
        <v>9131</v>
      </c>
      <c r="UY4" t="s">
        <v>9147</v>
      </c>
      <c r="UZ4" t="s">
        <v>9170</v>
      </c>
      <c r="VA4" t="s">
        <v>9187</v>
      </c>
      <c r="VB4" t="s">
        <v>9194</v>
      </c>
      <c r="VC4" t="s">
        <v>9203</v>
      </c>
      <c r="VD4" t="s">
        <v>9215</v>
      </c>
      <c r="VE4" t="s">
        <v>9227</v>
      </c>
      <c r="VF4" t="s">
        <v>9248</v>
      </c>
      <c r="VG4" t="s">
        <v>9265</v>
      </c>
      <c r="VH4" t="s">
        <v>9276</v>
      </c>
      <c r="VI4" t="s">
        <v>9292</v>
      </c>
      <c r="VJ4" t="s">
        <v>9312</v>
      </c>
      <c r="VK4" t="s">
        <v>9328</v>
      </c>
      <c r="VL4" t="s">
        <v>9344</v>
      </c>
      <c r="VM4" t="s">
        <v>9355</v>
      </c>
      <c r="VN4" t="s">
        <v>9363</v>
      </c>
      <c r="VO4" t="s">
        <v>9375</v>
      </c>
      <c r="VP4" t="s">
        <v>9383</v>
      </c>
      <c r="VQ4" t="s">
        <v>9387</v>
      </c>
      <c r="VR4" t="s">
        <v>9401</v>
      </c>
      <c r="VS4" t="s">
        <v>9422</v>
      </c>
      <c r="VT4" t="s">
        <v>9438</v>
      </c>
      <c r="VU4" t="s">
        <v>9472</v>
      </c>
      <c r="VV4" t="s">
        <v>9479</v>
      </c>
      <c r="VW4" t="s">
        <v>9485</v>
      </c>
      <c r="VX4" t="s">
        <v>9492</v>
      </c>
      <c r="VY4" t="s">
        <v>9504</v>
      </c>
      <c r="VZ4" t="s">
        <v>9532</v>
      </c>
      <c r="WA4" t="s">
        <v>9541</v>
      </c>
      <c r="WB4" t="s">
        <v>9546</v>
      </c>
      <c r="WC4" t="s">
        <v>9554</v>
      </c>
      <c r="WD4" t="s">
        <v>9570</v>
      </c>
      <c r="WE4" t="s">
        <v>9603</v>
      </c>
      <c r="WF4" t="s">
        <v>9612</v>
      </c>
      <c r="WG4" t="s">
        <v>9627</v>
      </c>
      <c r="WH4" t="s">
        <v>9640</v>
      </c>
      <c r="WI4" t="s">
        <v>9653</v>
      </c>
      <c r="WJ4" t="s">
        <v>9665</v>
      </c>
      <c r="WK4" t="s">
        <v>9685</v>
      </c>
      <c r="WL4" t="s">
        <v>9695</v>
      </c>
      <c r="WM4" t="s">
        <v>9715</v>
      </c>
      <c r="WN4" t="s">
        <v>9728</v>
      </c>
      <c r="WO4" t="s">
        <v>9741</v>
      </c>
      <c r="WP4" t="s">
        <v>9748</v>
      </c>
      <c r="WQ4" t="s">
        <v>9756</v>
      </c>
      <c r="WR4" t="s">
        <v>9765</v>
      </c>
      <c r="WS4" t="s">
        <v>9793</v>
      </c>
      <c r="WT4" t="s">
        <v>9828</v>
      </c>
      <c r="WU4" t="s">
        <v>9835</v>
      </c>
      <c r="WV4" t="s">
        <v>9862</v>
      </c>
      <c r="WW4" t="s">
        <v>9879</v>
      </c>
      <c r="WX4" t="s">
        <v>9892</v>
      </c>
      <c r="WY4" t="s">
        <v>9911</v>
      </c>
      <c r="WZ4" t="s">
        <v>9927</v>
      </c>
      <c r="XA4" t="s">
        <v>9937</v>
      </c>
      <c r="XB4" t="s">
        <v>9959</v>
      </c>
      <c r="XC4" t="s">
        <v>9973</v>
      </c>
      <c r="XD4" t="s">
        <v>9993</v>
      </c>
      <c r="XE4" t="s">
        <v>10007</v>
      </c>
      <c r="XF4" t="s">
        <v>10023</v>
      </c>
      <c r="XG4" t="s">
        <v>10043</v>
      </c>
      <c r="XH4" t="s">
        <v>10059</v>
      </c>
      <c r="XI4" t="s">
        <v>10077</v>
      </c>
      <c r="XJ4" t="s">
        <v>10095</v>
      </c>
      <c r="XK4" t="s">
        <v>10105</v>
      </c>
      <c r="XL4" t="s">
        <v>10118</v>
      </c>
      <c r="XM4" t="s">
        <v>10135</v>
      </c>
      <c r="XN4" t="s">
        <v>10155</v>
      </c>
      <c r="XO4" t="s">
        <v>10164</v>
      </c>
      <c r="XP4" t="s">
        <v>10176</v>
      </c>
      <c r="XQ4" t="s">
        <v>10188</v>
      </c>
      <c r="XR4" t="s">
        <v>10198</v>
      </c>
      <c r="XS4" t="s">
        <v>10219</v>
      </c>
      <c r="XT4" t="s">
        <v>10230</v>
      </c>
      <c r="XU4" t="s">
        <v>10248</v>
      </c>
      <c r="XV4" t="s">
        <v>10254</v>
      </c>
      <c r="XW4" t="s">
        <v>10264</v>
      </c>
      <c r="XX4" t="s">
        <v>10278</v>
      </c>
      <c r="XY4" t="s">
        <v>10290</v>
      </c>
      <c r="XZ4" t="s">
        <v>10308</v>
      </c>
      <c r="YA4" t="s">
        <v>10321</v>
      </c>
      <c r="YB4" t="s">
        <v>10333</v>
      </c>
      <c r="YC4" t="s">
        <v>10353</v>
      </c>
      <c r="YD4" t="s">
        <v>10382</v>
      </c>
      <c r="YE4" t="s">
        <v>10402</v>
      </c>
      <c r="YF4" t="s">
        <v>10420</v>
      </c>
      <c r="YG4" t="s">
        <v>10428</v>
      </c>
      <c r="YH4" t="s">
        <v>10442</v>
      </c>
      <c r="YI4" t="s">
        <v>10454</v>
      </c>
      <c r="YJ4" t="s">
        <v>10467</v>
      </c>
      <c r="YK4" t="s">
        <v>10490</v>
      </c>
      <c r="YL4" t="s">
        <v>10500</v>
      </c>
      <c r="YM4" t="s">
        <v>10509</v>
      </c>
      <c r="YN4" t="s">
        <v>10523</v>
      </c>
      <c r="YO4" t="s">
        <v>10531</v>
      </c>
      <c r="YP4" t="s">
        <v>10545</v>
      </c>
      <c r="YQ4" t="s">
        <v>10560</v>
      </c>
      <c r="YR4" t="s">
        <v>10576</v>
      </c>
      <c r="YS4" t="s">
        <v>10596</v>
      </c>
      <c r="YT4" t="s">
        <v>10610</v>
      </c>
      <c r="YU4" t="s">
        <v>10634</v>
      </c>
      <c r="YV4" t="s">
        <v>10654</v>
      </c>
      <c r="YW4" t="s">
        <v>10667</v>
      </c>
      <c r="YX4" t="s">
        <v>10687</v>
      </c>
      <c r="YY4" t="s">
        <v>10703</v>
      </c>
      <c r="YZ4" t="s">
        <v>10724</v>
      </c>
      <c r="ZA4" t="s">
        <v>10734</v>
      </c>
      <c r="ZB4" t="s">
        <v>10750</v>
      </c>
      <c r="ZC4" t="s">
        <v>10763</v>
      </c>
      <c r="ZD4" t="s">
        <v>10780</v>
      </c>
      <c r="ZE4" t="s">
        <v>10800</v>
      </c>
      <c r="ZF4" t="s">
        <v>10812</v>
      </c>
      <c r="ZG4" t="s">
        <v>10824</v>
      </c>
      <c r="ZH4" t="s">
        <v>10835</v>
      </c>
      <c r="ZI4" t="s">
        <v>10846</v>
      </c>
      <c r="ZJ4" t="s">
        <v>10866</v>
      </c>
      <c r="ZK4" t="s">
        <v>10877</v>
      </c>
      <c r="ZL4" t="s">
        <v>10895</v>
      </c>
      <c r="ZM4" t="s">
        <v>10910</v>
      </c>
      <c r="ZN4" t="s">
        <v>10922</v>
      </c>
      <c r="ZO4" t="s">
        <v>10933</v>
      </c>
      <c r="ZP4" t="s">
        <v>10950</v>
      </c>
      <c r="ZQ4" t="s">
        <v>10968</v>
      </c>
      <c r="ZR4" t="s">
        <v>10980</v>
      </c>
      <c r="ZS4" t="s">
        <v>10989</v>
      </c>
      <c r="ZT4" t="s">
        <v>11006</v>
      </c>
      <c r="ZU4" t="s">
        <v>11025</v>
      </c>
      <c r="ZV4" t="s">
        <v>11042</v>
      </c>
      <c r="ZW4" t="s">
        <v>11055</v>
      </c>
    </row>
    <row r="5" spans="1:699" x14ac:dyDescent="0.25">
      <c r="A5" t="s">
        <v>1234</v>
      </c>
      <c r="B5" t="s">
        <v>1246</v>
      </c>
      <c r="C5" t="s">
        <v>1255</v>
      </c>
      <c r="D5" t="s">
        <v>1266</v>
      </c>
      <c r="E5" t="s">
        <v>1281</v>
      </c>
      <c r="F5" t="s">
        <v>1299</v>
      </c>
      <c r="G5" t="s">
        <v>1320</v>
      </c>
      <c r="H5" t="s">
        <v>1336</v>
      </c>
      <c r="I5" t="s">
        <v>1345</v>
      </c>
      <c r="J5" t="s">
        <v>1367</v>
      </c>
      <c r="K5" t="s">
        <v>1374</v>
      </c>
      <c r="L5" t="s">
        <v>1383</v>
      </c>
      <c r="M5" t="s">
        <v>1398</v>
      </c>
      <c r="N5" t="s">
        <v>1412</v>
      </c>
      <c r="O5" t="s">
        <v>1440</v>
      </c>
      <c r="P5" t="s">
        <v>1445</v>
      </c>
      <c r="Q5" t="s">
        <v>1457</v>
      </c>
      <c r="R5" t="s">
        <v>1479</v>
      </c>
      <c r="S5" t="s">
        <v>1499</v>
      </c>
      <c r="T5" t="s">
        <v>1517</v>
      </c>
      <c r="U5" t="s">
        <v>1531</v>
      </c>
      <c r="V5" t="s">
        <v>1568</v>
      </c>
      <c r="W5" t="s">
        <v>1583</v>
      </c>
      <c r="X5" t="s">
        <v>1595</v>
      </c>
      <c r="Y5" t="s">
        <v>1611</v>
      </c>
      <c r="Z5" t="s">
        <v>1625</v>
      </c>
      <c r="AA5" t="s">
        <v>1651</v>
      </c>
      <c r="AB5" t="s">
        <v>1661</v>
      </c>
      <c r="AC5" t="s">
        <v>1670</v>
      </c>
      <c r="AD5" t="s">
        <v>1691</v>
      </c>
      <c r="AE5" t="s">
        <v>1695</v>
      </c>
      <c r="AF5" t="s">
        <v>1709</v>
      </c>
      <c r="AG5" t="s">
        <v>1719</v>
      </c>
      <c r="AH5" t="s">
        <v>1739</v>
      </c>
      <c r="AI5" t="s">
        <v>1752</v>
      </c>
      <c r="AJ5" t="s">
        <v>1772</v>
      </c>
      <c r="AK5" t="s">
        <v>1785</v>
      </c>
      <c r="AL5" t="s">
        <v>1801</v>
      </c>
      <c r="AM5" t="s">
        <v>1808</v>
      </c>
      <c r="AO5" t="s">
        <v>1828</v>
      </c>
      <c r="AP5" t="s">
        <v>1845</v>
      </c>
      <c r="AQ5" t="s">
        <v>1861</v>
      </c>
      <c r="AR5" t="s">
        <v>1871</v>
      </c>
      <c r="AS5" t="s">
        <v>1880</v>
      </c>
      <c r="AT5" t="s">
        <v>1902</v>
      </c>
      <c r="AU5" t="s">
        <v>1919</v>
      </c>
      <c r="AV5" t="s">
        <v>1934</v>
      </c>
      <c r="AW5" t="s">
        <v>1966</v>
      </c>
      <c r="AX5" t="s">
        <v>1979</v>
      </c>
      <c r="AY5" t="s">
        <v>1992</v>
      </c>
      <c r="AZ5" t="s">
        <v>2003</v>
      </c>
      <c r="BA5" t="s">
        <v>2030</v>
      </c>
      <c r="BB5" t="s">
        <v>2047</v>
      </c>
      <c r="BC5" t="s">
        <v>2054</v>
      </c>
      <c r="BD5" t="s">
        <v>2073</v>
      </c>
      <c r="BE5" t="s">
        <v>2109</v>
      </c>
      <c r="BF5" t="s">
        <v>2127</v>
      </c>
      <c r="BG5" t="s">
        <v>2137</v>
      </c>
      <c r="BH5" t="s">
        <v>2152</v>
      </c>
      <c r="BI5" t="s">
        <v>2162</v>
      </c>
      <c r="BJ5" t="s">
        <v>2182</v>
      </c>
      <c r="BK5" t="s">
        <v>2202</v>
      </c>
      <c r="BL5" t="s">
        <v>2211</v>
      </c>
      <c r="BM5" t="s">
        <v>2218</v>
      </c>
      <c r="BN5" t="s">
        <v>2233</v>
      </c>
      <c r="BO5" t="s">
        <v>2252</v>
      </c>
      <c r="BP5" t="s">
        <v>2266</v>
      </c>
      <c r="BQ5" t="s">
        <v>2280</v>
      </c>
      <c r="BR5" t="s">
        <v>2303</v>
      </c>
      <c r="BS5" t="s">
        <v>2314</v>
      </c>
      <c r="BT5" t="s">
        <v>2338</v>
      </c>
      <c r="BU5" t="s">
        <v>2353</v>
      </c>
      <c r="BV5" t="s">
        <v>2373</v>
      </c>
      <c r="BW5" t="s">
        <v>2390</v>
      </c>
      <c r="BX5" t="s">
        <v>2396</v>
      </c>
      <c r="BY5" t="s">
        <v>2410</v>
      </c>
      <c r="BZ5" t="s">
        <v>2429</v>
      </c>
      <c r="CA5" t="s">
        <v>2436</v>
      </c>
      <c r="CB5" t="s">
        <v>2448</v>
      </c>
      <c r="CC5" t="s">
        <v>2470</v>
      </c>
      <c r="CD5" t="s">
        <v>2485</v>
      </c>
      <c r="CE5" t="s">
        <v>2498</v>
      </c>
      <c r="CF5" t="s">
        <v>2504</v>
      </c>
      <c r="CG5" t="s">
        <v>2525</v>
      </c>
      <c r="CH5" t="s">
        <v>2537</v>
      </c>
      <c r="CI5" t="s">
        <v>2545</v>
      </c>
      <c r="CJ5" t="s">
        <v>2555</v>
      </c>
      <c r="CL5" t="s">
        <v>2564</v>
      </c>
      <c r="CM5" t="s">
        <v>2572</v>
      </c>
      <c r="CN5" t="s">
        <v>2586</v>
      </c>
      <c r="CO5" t="s">
        <v>2593</v>
      </c>
      <c r="CP5" t="s">
        <v>2611</v>
      </c>
      <c r="CQ5" t="s">
        <v>2617</v>
      </c>
      <c r="CR5" t="s">
        <v>2623</v>
      </c>
      <c r="CS5" t="s">
        <v>2630</v>
      </c>
      <c r="CT5" t="s">
        <v>2645</v>
      </c>
      <c r="CU5" t="s">
        <v>2656</v>
      </c>
      <c r="CV5" t="s">
        <v>2675</v>
      </c>
      <c r="CW5" t="s">
        <v>2692</v>
      </c>
      <c r="CX5" t="s">
        <v>2723</v>
      </c>
      <c r="CY5" t="s">
        <v>2734</v>
      </c>
      <c r="CZ5" t="s">
        <v>2744</v>
      </c>
      <c r="DA5" t="s">
        <v>2755</v>
      </c>
      <c r="DB5" t="s">
        <v>2787</v>
      </c>
      <c r="DC5" t="s">
        <v>2798</v>
      </c>
      <c r="DD5" t="s">
        <v>2807</v>
      </c>
      <c r="DE5" t="s">
        <v>2819</v>
      </c>
      <c r="DF5" t="s">
        <v>2841</v>
      </c>
      <c r="DG5" t="s">
        <v>2878</v>
      </c>
      <c r="DH5" t="s">
        <v>2891</v>
      </c>
      <c r="DI5" t="s">
        <v>2907</v>
      </c>
      <c r="DJ5" t="s">
        <v>2912</v>
      </c>
      <c r="DK5" t="s">
        <v>2934</v>
      </c>
      <c r="DL5" t="s">
        <v>2945</v>
      </c>
      <c r="DM5" t="s">
        <v>2953</v>
      </c>
      <c r="DN5" t="s">
        <v>2966</v>
      </c>
      <c r="DO5" t="s">
        <v>2979</v>
      </c>
      <c r="DP5" t="s">
        <v>2991</v>
      </c>
      <c r="DQ5" t="s">
        <v>3006</v>
      </c>
      <c r="DR5" t="s">
        <v>3015</v>
      </c>
      <c r="DS5" t="s">
        <v>3034</v>
      </c>
      <c r="DT5" t="s">
        <v>3051</v>
      </c>
      <c r="DU5" t="s">
        <v>3068</v>
      </c>
      <c r="DV5" t="s">
        <v>3074</v>
      </c>
      <c r="DW5" t="s">
        <v>3083</v>
      </c>
      <c r="DX5" t="s">
        <v>3098</v>
      </c>
      <c r="DY5" t="s">
        <v>3114</v>
      </c>
      <c r="DZ5" t="s">
        <v>3127</v>
      </c>
      <c r="EA5" t="s">
        <v>3146</v>
      </c>
      <c r="EB5" t="s">
        <v>3159</v>
      </c>
      <c r="EC5" t="s">
        <v>3178</v>
      </c>
      <c r="ED5" t="s">
        <v>3206</v>
      </c>
      <c r="EE5" t="s">
        <v>3221</v>
      </c>
      <c r="EF5" t="s">
        <v>3230</v>
      </c>
      <c r="EG5" t="s">
        <v>3252</v>
      </c>
      <c r="EH5" t="s">
        <v>3260</v>
      </c>
      <c r="EI5" t="s">
        <v>3280</v>
      </c>
      <c r="EJ5" t="s">
        <v>3291</v>
      </c>
      <c r="EK5" t="s">
        <v>3306</v>
      </c>
      <c r="EL5" t="s">
        <v>3322</v>
      </c>
      <c r="EM5" t="s">
        <v>3328</v>
      </c>
      <c r="EN5" t="s">
        <v>3337</v>
      </c>
      <c r="EO5" t="s">
        <v>3356</v>
      </c>
      <c r="EP5" t="s">
        <v>3364</v>
      </c>
      <c r="EQ5" t="s">
        <v>3371</v>
      </c>
      <c r="ER5" t="s">
        <v>3397</v>
      </c>
      <c r="ES5" t="s">
        <v>3417</v>
      </c>
      <c r="EU5" t="s">
        <v>3440</v>
      </c>
      <c r="EV5" t="s">
        <v>3449</v>
      </c>
      <c r="EW5" t="s">
        <v>3460</v>
      </c>
      <c r="EX5" t="s">
        <v>3474</v>
      </c>
      <c r="EY5" t="s">
        <v>3481</v>
      </c>
      <c r="EZ5" t="s">
        <v>3489</v>
      </c>
      <c r="FA5" t="s">
        <v>3495</v>
      </c>
      <c r="FB5" t="s">
        <v>3501</v>
      </c>
      <c r="FC5" t="s">
        <v>3513</v>
      </c>
      <c r="FD5" t="s">
        <v>3523</v>
      </c>
      <c r="FE5" t="s">
        <v>3539</v>
      </c>
      <c r="FF5" t="s">
        <v>3549</v>
      </c>
      <c r="FG5" t="s">
        <v>3563</v>
      </c>
      <c r="FH5" t="s">
        <v>3573</v>
      </c>
      <c r="FI5" t="s">
        <v>3593</v>
      </c>
      <c r="FJ5" t="s">
        <v>3604</v>
      </c>
      <c r="FK5" t="s">
        <v>3616</v>
      </c>
      <c r="FL5" t="s">
        <v>3639</v>
      </c>
      <c r="FM5" t="s">
        <v>3645</v>
      </c>
      <c r="FN5" t="s">
        <v>3656</v>
      </c>
      <c r="FO5" t="s">
        <v>3667</v>
      </c>
      <c r="FP5" t="s">
        <v>3683</v>
      </c>
      <c r="FQ5" t="s">
        <v>3689</v>
      </c>
      <c r="FR5" t="s">
        <v>3709</v>
      </c>
      <c r="FS5" t="s">
        <v>3718</v>
      </c>
      <c r="FT5" t="s">
        <v>3730</v>
      </c>
      <c r="FU5" t="s">
        <v>3746</v>
      </c>
      <c r="FV5" t="s">
        <v>3763</v>
      </c>
      <c r="FW5" t="s">
        <v>3778</v>
      </c>
      <c r="FX5" t="s">
        <v>3786</v>
      </c>
      <c r="FY5" t="s">
        <v>3805</v>
      </c>
      <c r="FZ5" t="s">
        <v>3812</v>
      </c>
      <c r="GA5" t="s">
        <v>3826</v>
      </c>
      <c r="GB5" t="s">
        <v>3835</v>
      </c>
      <c r="GC5" t="s">
        <v>3844</v>
      </c>
      <c r="GD5" t="s">
        <v>3848</v>
      </c>
      <c r="GE5" t="s">
        <v>3856</v>
      </c>
      <c r="GF5" t="s">
        <v>3866</v>
      </c>
      <c r="GG5" t="s">
        <v>3885</v>
      </c>
      <c r="GH5" t="s">
        <v>3897</v>
      </c>
      <c r="GI5" t="s">
        <v>3906</v>
      </c>
      <c r="GJ5" t="s">
        <v>3913</v>
      </c>
      <c r="GK5" t="s">
        <v>3926</v>
      </c>
      <c r="GL5" t="s">
        <v>3944</v>
      </c>
      <c r="GM5" t="s">
        <v>3954</v>
      </c>
      <c r="GN5" t="s">
        <v>3964</v>
      </c>
      <c r="GO5" t="s">
        <v>3988</v>
      </c>
      <c r="GP5" t="s">
        <v>4007</v>
      </c>
      <c r="GQ5" t="s">
        <v>4045</v>
      </c>
      <c r="GR5" t="s">
        <v>4054</v>
      </c>
      <c r="GS5" t="s">
        <v>4064</v>
      </c>
      <c r="GT5" t="s">
        <v>4078</v>
      </c>
      <c r="GU5" t="s">
        <v>4101</v>
      </c>
      <c r="GV5" t="s">
        <v>4111</v>
      </c>
      <c r="GW5" t="s">
        <v>4144</v>
      </c>
      <c r="GX5" t="s">
        <v>4165</v>
      </c>
      <c r="GY5" t="s">
        <v>4182</v>
      </c>
      <c r="GZ5" t="s">
        <v>4194</v>
      </c>
      <c r="HA5" t="s">
        <v>4203</v>
      </c>
      <c r="HB5" t="s">
        <v>4216</v>
      </c>
      <c r="HC5" t="s">
        <v>4227</v>
      </c>
      <c r="HD5" t="s">
        <v>4241</v>
      </c>
      <c r="HE5" t="s">
        <v>4257</v>
      </c>
      <c r="HF5" t="s">
        <v>4286</v>
      </c>
      <c r="HG5" t="s">
        <v>4298</v>
      </c>
      <c r="HH5" t="s">
        <v>4329</v>
      </c>
      <c r="HI5" t="s">
        <v>4336</v>
      </c>
      <c r="HJ5" t="s">
        <v>4359</v>
      </c>
      <c r="HK5" t="s">
        <v>4379</v>
      </c>
      <c r="HL5" t="s">
        <v>4392</v>
      </c>
      <c r="HM5" t="s">
        <v>4407</v>
      </c>
      <c r="HN5" t="s">
        <v>4415</v>
      </c>
      <c r="HO5" t="s">
        <v>4422</v>
      </c>
      <c r="HP5" t="s">
        <v>4429</v>
      </c>
      <c r="HQ5" t="s">
        <v>4444</v>
      </c>
      <c r="HR5" t="s">
        <v>4460</v>
      </c>
      <c r="HS5" t="s">
        <v>4483</v>
      </c>
      <c r="HT5" t="s">
        <v>4492</v>
      </c>
      <c r="HU5" t="s">
        <v>4519</v>
      </c>
      <c r="HV5" t="s">
        <v>4529</v>
      </c>
      <c r="HW5" t="s">
        <v>4536</v>
      </c>
      <c r="HX5" t="s">
        <v>4546</v>
      </c>
      <c r="HY5" t="s">
        <v>4555</v>
      </c>
      <c r="HZ5" t="s">
        <v>4571</v>
      </c>
      <c r="IA5" t="s">
        <v>4579</v>
      </c>
      <c r="IB5" t="s">
        <v>4593</v>
      </c>
      <c r="IC5" t="s">
        <v>4602</v>
      </c>
      <c r="ID5" t="s">
        <v>4611</v>
      </c>
      <c r="IE5" t="s">
        <v>4616</v>
      </c>
      <c r="IF5" t="s">
        <v>4626</v>
      </c>
      <c r="IG5" t="s">
        <v>4642</v>
      </c>
      <c r="IH5" t="s">
        <v>4647</v>
      </c>
      <c r="II5" t="s">
        <v>4656</v>
      </c>
      <c r="IJ5" t="s">
        <v>4674</v>
      </c>
      <c r="IK5" t="s">
        <v>4698</v>
      </c>
      <c r="IL5" t="s">
        <v>4709</v>
      </c>
      <c r="IM5" t="s">
        <v>4715</v>
      </c>
      <c r="IN5" t="s">
        <v>4721</v>
      </c>
      <c r="IO5" t="s">
        <v>4740</v>
      </c>
      <c r="IP5" t="s">
        <v>4772</v>
      </c>
      <c r="IQ5" t="s">
        <v>4780</v>
      </c>
      <c r="IR5" t="s">
        <v>4797</v>
      </c>
      <c r="IS5" t="s">
        <v>4818</v>
      </c>
      <c r="IT5" t="s">
        <v>4829</v>
      </c>
      <c r="IU5" t="s">
        <v>4839</v>
      </c>
      <c r="IV5" t="s">
        <v>4850</v>
      </c>
      <c r="IW5" t="s">
        <v>4865</v>
      </c>
      <c r="IX5" t="s">
        <v>4876</v>
      </c>
      <c r="IY5" t="s">
        <v>4887</v>
      </c>
      <c r="IZ5" t="s">
        <v>4893</v>
      </c>
      <c r="JA5" t="s">
        <v>4899</v>
      </c>
      <c r="JB5" t="s">
        <v>4924</v>
      </c>
      <c r="JC5" t="s">
        <v>4934</v>
      </c>
      <c r="JD5" t="s">
        <v>4944</v>
      </c>
      <c r="JE5" t="s">
        <v>4954</v>
      </c>
      <c r="JF5" t="s">
        <v>4962</v>
      </c>
      <c r="JG5" t="s">
        <v>4980</v>
      </c>
      <c r="JH5" t="s">
        <v>4985</v>
      </c>
      <c r="JI5" t="s">
        <v>4997</v>
      </c>
      <c r="JJ5" t="s">
        <v>5016</v>
      </c>
      <c r="JK5" t="s">
        <v>5027</v>
      </c>
      <c r="JL5" t="s">
        <v>5049</v>
      </c>
      <c r="JM5" t="s">
        <v>5071</v>
      </c>
      <c r="JN5" t="s">
        <v>5082</v>
      </c>
      <c r="JO5" t="s">
        <v>5105</v>
      </c>
      <c r="JP5" t="s">
        <v>5120</v>
      </c>
      <c r="JR5" t="s">
        <v>5139</v>
      </c>
      <c r="JS5" t="s">
        <v>5159</v>
      </c>
      <c r="JT5" t="s">
        <v>5170</v>
      </c>
      <c r="JU5" t="s">
        <v>5177</v>
      </c>
      <c r="JV5" t="s">
        <v>5183</v>
      </c>
      <c r="JW5" t="s">
        <v>5190</v>
      </c>
      <c r="JX5" t="s">
        <v>5200</v>
      </c>
      <c r="JY5" t="s">
        <v>5214</v>
      </c>
      <c r="JZ5" t="s">
        <v>5232</v>
      </c>
      <c r="KA5" t="s">
        <v>5238</v>
      </c>
      <c r="KB5" t="s">
        <v>5248</v>
      </c>
      <c r="KC5" t="s">
        <v>5255</v>
      </c>
      <c r="KD5" t="s">
        <v>5267</v>
      </c>
      <c r="KE5" t="s">
        <v>5276</v>
      </c>
      <c r="KF5" t="s">
        <v>5283</v>
      </c>
      <c r="KG5" t="s">
        <v>5292</v>
      </c>
      <c r="KH5" t="s">
        <v>5300</v>
      </c>
      <c r="KI5" t="s">
        <v>5314</v>
      </c>
      <c r="KJ5" t="s">
        <v>5326</v>
      </c>
      <c r="KK5" t="s">
        <v>5333</v>
      </c>
      <c r="KL5" t="s">
        <v>5361</v>
      </c>
      <c r="KM5" t="s">
        <v>5375</v>
      </c>
      <c r="KN5" t="s">
        <v>5389</v>
      </c>
      <c r="KO5" t="s">
        <v>5409</v>
      </c>
      <c r="KP5" t="s">
        <v>5425</v>
      </c>
      <c r="KQ5" t="s">
        <v>5443</v>
      </c>
      <c r="KR5" t="s">
        <v>5460</v>
      </c>
      <c r="KS5" t="s">
        <v>5473</v>
      </c>
      <c r="KT5" t="s">
        <v>5486</v>
      </c>
      <c r="KU5" t="s">
        <v>5491</v>
      </c>
      <c r="KV5" t="s">
        <v>5503</v>
      </c>
      <c r="KW5" t="s">
        <v>5517</v>
      </c>
      <c r="KX5" t="s">
        <v>5524</v>
      </c>
      <c r="KY5" t="s">
        <v>5531</v>
      </c>
      <c r="KZ5" t="s">
        <v>5556</v>
      </c>
      <c r="LA5" t="s">
        <v>5567</v>
      </c>
      <c r="LB5" t="s">
        <v>5582</v>
      </c>
      <c r="LC5" t="s">
        <v>5595</v>
      </c>
      <c r="LD5" t="s">
        <v>5611</v>
      </c>
      <c r="LE5" t="s">
        <v>5620</v>
      </c>
      <c r="LF5" t="s">
        <v>5641</v>
      </c>
      <c r="LG5" t="s">
        <v>5670</v>
      </c>
      <c r="LH5" t="s">
        <v>5680</v>
      </c>
      <c r="LI5" t="s">
        <v>5688</v>
      </c>
      <c r="LJ5" t="s">
        <v>5700</v>
      </c>
      <c r="LK5" t="s">
        <v>5709</v>
      </c>
      <c r="LL5" t="s">
        <v>5721</v>
      </c>
      <c r="LM5" t="s">
        <v>5736</v>
      </c>
      <c r="LN5" t="s">
        <v>5744</v>
      </c>
      <c r="LO5" t="s">
        <v>5761</v>
      </c>
      <c r="LP5" t="s">
        <v>5774</v>
      </c>
      <c r="LQ5" t="s">
        <v>5799</v>
      </c>
      <c r="LR5" t="s">
        <v>5805</v>
      </c>
      <c r="LS5" t="s">
        <v>5813</v>
      </c>
      <c r="LT5" t="s">
        <v>5836</v>
      </c>
      <c r="LU5" t="s">
        <v>5846</v>
      </c>
      <c r="LV5" t="s">
        <v>5856</v>
      </c>
      <c r="LW5" t="s">
        <v>5869</v>
      </c>
      <c r="LX5" t="s">
        <v>5883</v>
      </c>
      <c r="LY5" t="s">
        <v>5896</v>
      </c>
      <c r="LZ5" t="s">
        <v>5906</v>
      </c>
      <c r="MA5" t="s">
        <v>5932</v>
      </c>
      <c r="MB5" t="s">
        <v>5945</v>
      </c>
      <c r="MC5" t="s">
        <v>5958</v>
      </c>
      <c r="MD5" t="s">
        <v>5973</v>
      </c>
      <c r="ME5" t="s">
        <v>5981</v>
      </c>
      <c r="MF5" t="s">
        <v>5990</v>
      </c>
      <c r="MG5" t="s">
        <v>5996</v>
      </c>
      <c r="MH5" t="s">
        <v>6009</v>
      </c>
      <c r="MI5" t="s">
        <v>6016</v>
      </c>
      <c r="MJ5" t="s">
        <v>6044</v>
      </c>
      <c r="MK5" t="s">
        <v>6052</v>
      </c>
      <c r="ML5" t="s">
        <v>6065</v>
      </c>
      <c r="MM5" t="s">
        <v>6074</v>
      </c>
      <c r="MN5" t="s">
        <v>6083</v>
      </c>
      <c r="MO5" t="s">
        <v>6093</v>
      </c>
      <c r="MP5" t="s">
        <v>6104</v>
      </c>
      <c r="MQ5" t="s">
        <v>6109</v>
      </c>
      <c r="MR5" t="s">
        <v>6116</v>
      </c>
      <c r="MS5" t="s">
        <v>6123</v>
      </c>
      <c r="MT5" t="s">
        <v>6136</v>
      </c>
      <c r="MU5" t="s">
        <v>6153</v>
      </c>
      <c r="MV5" t="s">
        <v>6161</v>
      </c>
      <c r="MW5" t="s">
        <v>6169</v>
      </c>
      <c r="MX5" t="s">
        <v>6183</v>
      </c>
      <c r="MY5" t="s">
        <v>6196</v>
      </c>
      <c r="MZ5" t="s">
        <v>6206</v>
      </c>
      <c r="NA5" t="s">
        <v>6222</v>
      </c>
      <c r="NB5" t="s">
        <v>6235</v>
      </c>
      <c r="NC5" t="s">
        <v>6244</v>
      </c>
      <c r="ND5" t="s">
        <v>6248</v>
      </c>
      <c r="NE5" t="s">
        <v>6265</v>
      </c>
      <c r="NF5" t="s">
        <v>6286</v>
      </c>
      <c r="NG5" t="s">
        <v>6296</v>
      </c>
      <c r="NH5" t="s">
        <v>6319</v>
      </c>
      <c r="NI5" t="s">
        <v>6332</v>
      </c>
      <c r="NJ5" t="s">
        <v>6349</v>
      </c>
      <c r="NK5" t="s">
        <v>6364</v>
      </c>
      <c r="NL5" t="s">
        <v>6384</v>
      </c>
      <c r="NM5" t="s">
        <v>6402</v>
      </c>
      <c r="NN5" t="s">
        <v>6425</v>
      </c>
      <c r="NO5" t="s">
        <v>6447</v>
      </c>
      <c r="NP5" t="s">
        <v>6463</v>
      </c>
      <c r="NQ5" t="s">
        <v>6487</v>
      </c>
      <c r="NR5" t="s">
        <v>6496</v>
      </c>
      <c r="NS5" t="s">
        <v>6513</v>
      </c>
      <c r="NT5" t="s">
        <v>6523</v>
      </c>
      <c r="NU5" t="s">
        <v>6533</v>
      </c>
      <c r="NV5" t="s">
        <v>6540</v>
      </c>
      <c r="NX5" t="s">
        <v>6558</v>
      </c>
      <c r="NY5" t="s">
        <v>6575</v>
      </c>
      <c r="NZ5" t="s">
        <v>6581</v>
      </c>
      <c r="OA5" t="s">
        <v>6596</v>
      </c>
      <c r="OB5" t="s">
        <v>6607</v>
      </c>
      <c r="OC5" t="s">
        <v>6628</v>
      </c>
      <c r="OD5" t="s">
        <v>6642</v>
      </c>
      <c r="OE5" t="s">
        <v>6649</v>
      </c>
      <c r="OF5" t="s">
        <v>6660</v>
      </c>
      <c r="OG5" t="s">
        <v>6675</v>
      </c>
      <c r="OH5" t="s">
        <v>6697</v>
      </c>
      <c r="OI5" t="s">
        <v>6723</v>
      </c>
      <c r="OJ5" t="s">
        <v>6737</v>
      </c>
      <c r="OK5" t="s">
        <v>6754</v>
      </c>
      <c r="OL5" t="s">
        <v>6772</v>
      </c>
      <c r="OM5" t="s">
        <v>6786</v>
      </c>
      <c r="ON5" t="s">
        <v>6796</v>
      </c>
      <c r="OO5" t="s">
        <v>6803</v>
      </c>
      <c r="OP5" t="s">
        <v>6814</v>
      </c>
      <c r="OQ5" t="s">
        <v>6824</v>
      </c>
      <c r="OR5" t="s">
        <v>6838</v>
      </c>
      <c r="OS5" t="s">
        <v>6846</v>
      </c>
      <c r="OT5" t="s">
        <v>6855</v>
      </c>
      <c r="OU5" t="s">
        <v>6863</v>
      </c>
      <c r="OV5" t="s">
        <v>6881</v>
      </c>
      <c r="OW5" t="s">
        <v>6897</v>
      </c>
      <c r="OX5" t="s">
        <v>6916</v>
      </c>
      <c r="OY5" t="s">
        <v>6925</v>
      </c>
      <c r="OZ5" t="s">
        <v>6940</v>
      </c>
      <c r="PA5" t="s">
        <v>6946</v>
      </c>
      <c r="PB5" t="s">
        <v>6974</v>
      </c>
      <c r="PC5" t="s">
        <v>6979</v>
      </c>
      <c r="PD5" t="s">
        <v>6994</v>
      </c>
      <c r="PE5" t="s">
        <v>7006</v>
      </c>
      <c r="PF5" t="s">
        <v>7019</v>
      </c>
      <c r="PG5" t="s">
        <v>7034</v>
      </c>
      <c r="PH5" t="s">
        <v>7046</v>
      </c>
      <c r="PI5" t="s">
        <v>7058</v>
      </c>
      <c r="PJ5" t="s">
        <v>7069</v>
      </c>
      <c r="PK5" t="s">
        <v>7080</v>
      </c>
      <c r="PL5" t="s">
        <v>7086</v>
      </c>
      <c r="PM5" t="s">
        <v>7116</v>
      </c>
      <c r="PN5" t="s">
        <v>7123</v>
      </c>
      <c r="PO5" t="s">
        <v>7136</v>
      </c>
      <c r="PP5" t="s">
        <v>7148</v>
      </c>
      <c r="PQ5" t="s">
        <v>7163</v>
      </c>
      <c r="PR5" t="s">
        <v>7187</v>
      </c>
      <c r="PS5" t="s">
        <v>7203</v>
      </c>
      <c r="PT5" t="s">
        <v>7216</v>
      </c>
      <c r="PU5" t="s">
        <v>7240</v>
      </c>
      <c r="PV5" t="s">
        <v>7247</v>
      </c>
      <c r="PX5" t="s">
        <v>7265</v>
      </c>
      <c r="PY5" t="s">
        <v>7281</v>
      </c>
      <c r="PZ5" t="s">
        <v>7295</v>
      </c>
      <c r="QA5" t="s">
        <v>7308</v>
      </c>
      <c r="QB5" t="s">
        <v>7317</v>
      </c>
      <c r="QC5" t="s">
        <v>7335</v>
      </c>
      <c r="QD5" t="s">
        <v>7346</v>
      </c>
      <c r="QE5" t="s">
        <v>7355</v>
      </c>
      <c r="QF5" t="s">
        <v>7374</v>
      </c>
      <c r="QG5" t="s">
        <v>7390</v>
      </c>
      <c r="QH5" t="s">
        <v>7402</v>
      </c>
      <c r="QI5" t="s">
        <v>7409</v>
      </c>
      <c r="QJ5" t="s">
        <v>7432</v>
      </c>
      <c r="QK5" t="s">
        <v>7438</v>
      </c>
      <c r="QL5" t="s">
        <v>7447</v>
      </c>
      <c r="QM5" t="s">
        <v>7470</v>
      </c>
      <c r="QN5" t="s">
        <v>7482</v>
      </c>
      <c r="QO5" t="s">
        <v>7513</v>
      </c>
      <c r="QP5" t="s">
        <v>7528</v>
      </c>
      <c r="QQ5" t="s">
        <v>7538</v>
      </c>
      <c r="QR5" t="s">
        <v>7558</v>
      </c>
      <c r="QS5" t="s">
        <v>7568</v>
      </c>
      <c r="QT5" t="s">
        <v>7604</v>
      </c>
      <c r="QU5" t="s">
        <v>7614</v>
      </c>
      <c r="QV5" t="s">
        <v>7623</v>
      </c>
      <c r="QW5" t="s">
        <v>7634</v>
      </c>
      <c r="QX5" t="s">
        <v>7651</v>
      </c>
      <c r="QY5" t="s">
        <v>7659</v>
      </c>
      <c r="QZ5" t="s">
        <v>7679</v>
      </c>
      <c r="RA5" t="s">
        <v>7694</v>
      </c>
      <c r="RB5" t="s">
        <v>7710</v>
      </c>
      <c r="RC5" t="s">
        <v>7725</v>
      </c>
      <c r="RD5" t="s">
        <v>7757</v>
      </c>
      <c r="RE5" t="s">
        <v>7766</v>
      </c>
      <c r="RF5" t="s">
        <v>7779</v>
      </c>
      <c r="RG5" t="s">
        <v>7795</v>
      </c>
      <c r="RH5" t="s">
        <v>7804</v>
      </c>
      <c r="RI5" t="s">
        <v>7812</v>
      </c>
      <c r="RJ5" t="s">
        <v>7822</v>
      </c>
      <c r="RK5" t="s">
        <v>7838</v>
      </c>
      <c r="RL5" t="s">
        <v>7846</v>
      </c>
      <c r="RM5" t="s">
        <v>7853</v>
      </c>
      <c r="RN5" t="s">
        <v>7869</v>
      </c>
      <c r="RO5" t="s">
        <v>7886</v>
      </c>
      <c r="RP5" t="s">
        <v>7892</v>
      </c>
      <c r="RQ5" t="s">
        <v>7906</v>
      </c>
      <c r="RR5" t="s">
        <v>7922</v>
      </c>
      <c r="RS5" t="s">
        <v>7931</v>
      </c>
      <c r="RT5" t="s">
        <v>7940</v>
      </c>
      <c r="RU5" t="s">
        <v>7948</v>
      </c>
      <c r="RV5" t="s">
        <v>7961</v>
      </c>
      <c r="RW5" t="s">
        <v>7985</v>
      </c>
      <c r="RX5" t="s">
        <v>7996</v>
      </c>
      <c r="RY5" t="s">
        <v>8006</v>
      </c>
      <c r="RZ5" t="s">
        <v>8017</v>
      </c>
      <c r="SA5" t="s">
        <v>8052</v>
      </c>
      <c r="SB5" t="s">
        <v>8057</v>
      </c>
      <c r="SC5" t="s">
        <v>8069</v>
      </c>
      <c r="SD5" t="s">
        <v>8082</v>
      </c>
      <c r="SE5" t="s">
        <v>8104</v>
      </c>
      <c r="SF5" t="s">
        <v>8113</v>
      </c>
      <c r="SG5" t="s">
        <v>8137</v>
      </c>
      <c r="SH5" t="s">
        <v>8143</v>
      </c>
      <c r="SI5" t="s">
        <v>8172</v>
      </c>
      <c r="SJ5" t="s">
        <v>8186</v>
      </c>
      <c r="SK5" t="s">
        <v>8207</v>
      </c>
      <c r="SL5" t="s">
        <v>8215</v>
      </c>
      <c r="SM5" t="s">
        <v>8225</v>
      </c>
      <c r="SN5" t="s">
        <v>8234</v>
      </c>
      <c r="SO5" t="s">
        <v>8241</v>
      </c>
      <c r="SP5" t="s">
        <v>8249</v>
      </c>
      <c r="SQ5" t="s">
        <v>8263</v>
      </c>
      <c r="SR5" t="s">
        <v>8270</v>
      </c>
      <c r="SS5" t="s">
        <v>8278</v>
      </c>
      <c r="ST5" t="s">
        <v>8292</v>
      </c>
      <c r="SU5" t="s">
        <v>8308</v>
      </c>
      <c r="SV5" t="s">
        <v>8334</v>
      </c>
      <c r="SW5" t="s">
        <v>8343</v>
      </c>
      <c r="SX5" t="s">
        <v>8356</v>
      </c>
      <c r="SY5" t="s">
        <v>8375</v>
      </c>
      <c r="SZ5" t="s">
        <v>8385</v>
      </c>
      <c r="TA5" t="s">
        <v>8400</v>
      </c>
      <c r="TB5" t="s">
        <v>8405</v>
      </c>
      <c r="TC5" t="s">
        <v>8416</v>
      </c>
      <c r="TD5" t="s">
        <v>8427</v>
      </c>
      <c r="TE5" t="s">
        <v>8456</v>
      </c>
      <c r="TG5" t="s">
        <v>8472</v>
      </c>
      <c r="TH5" t="s">
        <v>8477</v>
      </c>
      <c r="TI5" t="s">
        <v>8490</v>
      </c>
      <c r="TJ5" t="s">
        <v>8500</v>
      </c>
      <c r="TK5" t="s">
        <v>8507</v>
      </c>
      <c r="TL5" t="s">
        <v>8517</v>
      </c>
      <c r="TM5" t="s">
        <v>8532</v>
      </c>
      <c r="TN5" t="s">
        <v>8544</v>
      </c>
      <c r="TO5" t="s">
        <v>8554</v>
      </c>
      <c r="TP5" t="s">
        <v>8572</v>
      </c>
      <c r="TQ5" t="s">
        <v>8584</v>
      </c>
      <c r="TR5" t="s">
        <v>8598</v>
      </c>
      <c r="TS5" t="s">
        <v>8634</v>
      </c>
      <c r="TT5" t="s">
        <v>8646</v>
      </c>
      <c r="TU5" t="s">
        <v>8661</v>
      </c>
      <c r="TV5" t="s">
        <v>8671</v>
      </c>
      <c r="TW5" t="s">
        <v>8691</v>
      </c>
      <c r="TX5" t="s">
        <v>8708</v>
      </c>
      <c r="TY5" t="s">
        <v>8718</v>
      </c>
      <c r="TZ5" t="s">
        <v>8730</v>
      </c>
      <c r="UA5" t="s">
        <v>8747</v>
      </c>
      <c r="UB5" t="s">
        <v>8755</v>
      </c>
      <c r="UC5" t="s">
        <v>8775</v>
      </c>
      <c r="UD5" t="s">
        <v>8795</v>
      </c>
      <c r="UE5" t="s">
        <v>8801</v>
      </c>
      <c r="UF5" t="s">
        <v>8810</v>
      </c>
      <c r="UG5" t="s">
        <v>8834</v>
      </c>
      <c r="UH5" t="s">
        <v>8850</v>
      </c>
      <c r="UI5" t="s">
        <v>8886</v>
      </c>
      <c r="UJ5" t="s">
        <v>8899</v>
      </c>
      <c r="UK5" t="s">
        <v>8932</v>
      </c>
      <c r="UL5" t="s">
        <v>8948</v>
      </c>
      <c r="UM5" t="s">
        <v>8960</v>
      </c>
      <c r="UN5" t="s">
        <v>8968</v>
      </c>
      <c r="UO5" t="s">
        <v>8981</v>
      </c>
      <c r="UP5" t="s">
        <v>9001</v>
      </c>
      <c r="UQ5" t="s">
        <v>9010</v>
      </c>
      <c r="UR5" t="s">
        <v>9026</v>
      </c>
      <c r="US5" t="s">
        <v>9051</v>
      </c>
      <c r="UT5" t="s">
        <v>9067</v>
      </c>
      <c r="UU5" t="s">
        <v>9083</v>
      </c>
      <c r="UV5" t="s">
        <v>9091</v>
      </c>
      <c r="UW5" t="s">
        <v>9121</v>
      </c>
      <c r="UX5" t="s">
        <v>9132</v>
      </c>
      <c r="UY5" t="s">
        <v>9148</v>
      </c>
      <c r="UZ5" t="s">
        <v>9171</v>
      </c>
      <c r="VA5" t="s">
        <v>9188</v>
      </c>
      <c r="VB5" t="s">
        <v>9195</v>
      </c>
      <c r="VC5" t="s">
        <v>9204</v>
      </c>
      <c r="VD5" t="s">
        <v>9216</v>
      </c>
      <c r="VE5" t="s">
        <v>9228</v>
      </c>
      <c r="VF5" t="s">
        <v>9249</v>
      </c>
      <c r="VG5" t="s">
        <v>9266</v>
      </c>
      <c r="VH5" t="s">
        <v>9277</v>
      </c>
      <c r="VI5" t="s">
        <v>9293</v>
      </c>
      <c r="VJ5" t="s">
        <v>9313</v>
      </c>
      <c r="VK5" t="s">
        <v>9329</v>
      </c>
      <c r="VL5" t="s">
        <v>9345</v>
      </c>
      <c r="VM5" t="s">
        <v>9356</v>
      </c>
      <c r="VN5" t="s">
        <v>9364</v>
      </c>
      <c r="VO5" t="s">
        <v>9376</v>
      </c>
      <c r="VP5" t="s">
        <v>9384</v>
      </c>
      <c r="VQ5" t="s">
        <v>9388</v>
      </c>
      <c r="VR5" t="s">
        <v>9402</v>
      </c>
      <c r="VS5" t="s">
        <v>9423</v>
      </c>
      <c r="VT5" t="s">
        <v>9439</v>
      </c>
      <c r="VU5" t="s">
        <v>9473</v>
      </c>
      <c r="VV5" t="s">
        <v>9480</v>
      </c>
      <c r="VW5" t="s">
        <v>9486</v>
      </c>
      <c r="VX5" t="s">
        <v>9493</v>
      </c>
      <c r="VY5" t="s">
        <v>9505</v>
      </c>
      <c r="VZ5" t="s">
        <v>9533</v>
      </c>
      <c r="WA5" t="s">
        <v>9542</v>
      </c>
      <c r="WB5" t="s">
        <v>9547</v>
      </c>
      <c r="WC5" t="s">
        <v>9555</v>
      </c>
      <c r="WD5" t="s">
        <v>9571</v>
      </c>
      <c r="WE5" t="s">
        <v>9604</v>
      </c>
      <c r="WF5" t="s">
        <v>9613</v>
      </c>
      <c r="WG5" t="s">
        <v>9628</v>
      </c>
      <c r="WH5" t="s">
        <v>9641</v>
      </c>
      <c r="WI5" t="s">
        <v>9654</v>
      </c>
      <c r="WJ5" t="s">
        <v>9666</v>
      </c>
      <c r="WK5" t="s">
        <v>9686</v>
      </c>
      <c r="WL5" t="s">
        <v>9696</v>
      </c>
      <c r="WM5" t="s">
        <v>9716</v>
      </c>
      <c r="WN5" t="s">
        <v>9729</v>
      </c>
      <c r="WO5" t="s">
        <v>9742</v>
      </c>
      <c r="WP5" t="s">
        <v>9749</v>
      </c>
      <c r="WQ5" t="s">
        <v>9757</v>
      </c>
      <c r="WR5" t="s">
        <v>9766</v>
      </c>
      <c r="WS5" t="s">
        <v>9794</v>
      </c>
      <c r="WT5" t="s">
        <v>9829</v>
      </c>
      <c r="WU5" t="s">
        <v>9836</v>
      </c>
      <c r="WV5" t="s">
        <v>9863</v>
      </c>
      <c r="WW5" t="s">
        <v>9880</v>
      </c>
      <c r="WX5" t="s">
        <v>9893</v>
      </c>
      <c r="WY5" t="s">
        <v>9912</v>
      </c>
      <c r="WZ5" t="s">
        <v>9928</v>
      </c>
      <c r="XA5" t="s">
        <v>9938</v>
      </c>
      <c r="XB5" t="s">
        <v>9960</v>
      </c>
      <c r="XC5" t="s">
        <v>9974</v>
      </c>
      <c r="XD5" t="s">
        <v>9994</v>
      </c>
      <c r="XE5" t="s">
        <v>10008</v>
      </c>
      <c r="XF5" t="s">
        <v>10024</v>
      </c>
      <c r="XG5" t="s">
        <v>10044</v>
      </c>
      <c r="XH5" t="s">
        <v>10060</v>
      </c>
      <c r="XI5" t="s">
        <v>10078</v>
      </c>
      <c r="XJ5" t="s">
        <v>10096</v>
      </c>
      <c r="XK5" t="s">
        <v>10106</v>
      </c>
      <c r="XL5" t="s">
        <v>10119</v>
      </c>
      <c r="XM5" t="s">
        <v>10136</v>
      </c>
      <c r="XN5" t="s">
        <v>10156</v>
      </c>
      <c r="XO5" t="s">
        <v>10165</v>
      </c>
      <c r="XP5" t="s">
        <v>10177</v>
      </c>
      <c r="XQ5" t="s">
        <v>10189</v>
      </c>
      <c r="XR5" t="s">
        <v>10199</v>
      </c>
      <c r="XS5" t="s">
        <v>10220</v>
      </c>
      <c r="XT5" t="s">
        <v>10231</v>
      </c>
      <c r="XU5" t="s">
        <v>10249</v>
      </c>
      <c r="XV5" t="s">
        <v>10255</v>
      </c>
      <c r="XW5" t="s">
        <v>10265</v>
      </c>
      <c r="XX5" t="s">
        <v>10279</v>
      </c>
      <c r="XY5" t="s">
        <v>10291</v>
      </c>
      <c r="XZ5" t="s">
        <v>10309</v>
      </c>
      <c r="YA5" t="s">
        <v>10322</v>
      </c>
      <c r="YB5" t="s">
        <v>10334</v>
      </c>
      <c r="YC5" t="s">
        <v>10354</v>
      </c>
      <c r="YD5" t="s">
        <v>10383</v>
      </c>
      <c r="YE5" t="s">
        <v>10403</v>
      </c>
      <c r="YF5" t="s">
        <v>10421</v>
      </c>
      <c r="YG5" t="s">
        <v>10429</v>
      </c>
      <c r="YH5" t="s">
        <v>10443</v>
      </c>
      <c r="YI5" t="s">
        <v>10455</v>
      </c>
      <c r="YJ5" t="s">
        <v>10468</v>
      </c>
      <c r="YK5" t="s">
        <v>10491</v>
      </c>
      <c r="YL5" t="s">
        <v>10501</v>
      </c>
      <c r="YM5" t="s">
        <v>10510</v>
      </c>
      <c r="YN5" t="s">
        <v>10524</v>
      </c>
      <c r="YO5" t="s">
        <v>10532</v>
      </c>
      <c r="YP5" t="s">
        <v>10546</v>
      </c>
      <c r="YQ5" t="s">
        <v>10561</v>
      </c>
      <c r="YR5" t="s">
        <v>10577</v>
      </c>
      <c r="YS5" t="s">
        <v>10597</v>
      </c>
      <c r="YT5" t="s">
        <v>10611</v>
      </c>
      <c r="YU5" t="s">
        <v>10635</v>
      </c>
      <c r="YV5" t="s">
        <v>10655</v>
      </c>
      <c r="YW5" t="s">
        <v>10668</v>
      </c>
      <c r="YX5" t="s">
        <v>10688</v>
      </c>
      <c r="YY5" t="s">
        <v>10704</v>
      </c>
      <c r="YZ5" t="s">
        <v>10725</v>
      </c>
      <c r="ZA5" t="s">
        <v>10735</v>
      </c>
      <c r="ZB5" t="s">
        <v>10751</v>
      </c>
      <c r="ZC5" t="s">
        <v>10764</v>
      </c>
      <c r="ZD5" t="s">
        <v>10781</v>
      </c>
      <c r="ZE5" t="s">
        <v>10801</v>
      </c>
      <c r="ZF5" t="s">
        <v>10813</v>
      </c>
      <c r="ZG5" t="s">
        <v>10825</v>
      </c>
      <c r="ZH5" t="s">
        <v>10836</v>
      </c>
      <c r="ZI5" t="s">
        <v>10847</v>
      </c>
      <c r="ZJ5" t="s">
        <v>10867</v>
      </c>
      <c r="ZK5" t="s">
        <v>10878</v>
      </c>
      <c r="ZL5" t="s">
        <v>10896</v>
      </c>
      <c r="ZM5" t="s">
        <v>10911</v>
      </c>
      <c r="ZN5" t="s">
        <v>10923</v>
      </c>
      <c r="ZO5" t="s">
        <v>10934</v>
      </c>
      <c r="ZP5" t="s">
        <v>10951</v>
      </c>
      <c r="ZQ5" t="s">
        <v>10969</v>
      </c>
      <c r="ZR5" t="s">
        <v>10981</v>
      </c>
      <c r="ZS5" t="s">
        <v>10990</v>
      </c>
      <c r="ZT5" t="s">
        <v>11007</v>
      </c>
      <c r="ZU5" t="s">
        <v>11026</v>
      </c>
      <c r="ZV5" t="s">
        <v>11043</v>
      </c>
      <c r="ZW5" t="s">
        <v>11056</v>
      </c>
    </row>
    <row r="6" spans="1:699" x14ac:dyDescent="0.25">
      <c r="A6" t="s">
        <v>1235</v>
      </c>
      <c r="B6" t="s">
        <v>1247</v>
      </c>
      <c r="C6" t="s">
        <v>1256</v>
      </c>
      <c r="D6" t="s">
        <v>1267</v>
      </c>
      <c r="E6" t="s">
        <v>1282</v>
      </c>
      <c r="F6" t="s">
        <v>1300</v>
      </c>
      <c r="G6" t="s">
        <v>1321</v>
      </c>
      <c r="H6" t="s">
        <v>1337</v>
      </c>
      <c r="I6" t="s">
        <v>1346</v>
      </c>
      <c r="J6" t="s">
        <v>1368</v>
      </c>
      <c r="K6" t="s">
        <v>1375</v>
      </c>
      <c r="L6" t="s">
        <v>1384</v>
      </c>
      <c r="M6" t="s">
        <v>1399</v>
      </c>
      <c r="N6" t="s">
        <v>1413</v>
      </c>
      <c r="O6" t="s">
        <v>1441</v>
      </c>
      <c r="P6" t="s">
        <v>1446</v>
      </c>
      <c r="Q6" t="s">
        <v>1458</v>
      </c>
      <c r="R6" t="s">
        <v>1480</v>
      </c>
      <c r="S6" t="s">
        <v>1500</v>
      </c>
      <c r="T6" t="s">
        <v>1518</v>
      </c>
      <c r="U6" t="s">
        <v>1532</v>
      </c>
      <c r="V6" t="s">
        <v>1569</v>
      </c>
      <c r="W6" t="s">
        <v>1584</v>
      </c>
      <c r="X6" t="s">
        <v>1596</v>
      </c>
      <c r="Y6" t="s">
        <v>1612</v>
      </c>
      <c r="Z6" t="s">
        <v>1626</v>
      </c>
      <c r="AA6" t="s">
        <v>1652</v>
      </c>
      <c r="AB6" t="s">
        <v>1662</v>
      </c>
      <c r="AC6" t="s">
        <v>1671</v>
      </c>
      <c r="AE6" t="s">
        <v>1696</v>
      </c>
      <c r="AF6" t="s">
        <v>1710</v>
      </c>
      <c r="AG6" t="s">
        <v>1720</v>
      </c>
      <c r="AH6" t="s">
        <v>1740</v>
      </c>
      <c r="AI6" t="s">
        <v>1753</v>
      </c>
      <c r="AJ6" t="s">
        <v>1773</v>
      </c>
      <c r="AK6" t="s">
        <v>1786</v>
      </c>
      <c r="AL6" t="s">
        <v>1802</v>
      </c>
      <c r="AM6" t="s">
        <v>1809</v>
      </c>
      <c r="AO6" t="s">
        <v>1829</v>
      </c>
      <c r="AP6" t="s">
        <v>1846</v>
      </c>
      <c r="AQ6" t="s">
        <v>1862</v>
      </c>
      <c r="AR6" t="s">
        <v>1872</v>
      </c>
      <c r="AS6" t="s">
        <v>1881</v>
      </c>
      <c r="AT6" t="s">
        <v>1903</v>
      </c>
      <c r="AU6" t="s">
        <v>1920</v>
      </c>
      <c r="AV6" t="s">
        <v>1935</v>
      </c>
      <c r="AW6" t="s">
        <v>1967</v>
      </c>
      <c r="AX6" t="s">
        <v>1980</v>
      </c>
      <c r="AY6" t="s">
        <v>1993</v>
      </c>
      <c r="AZ6" t="s">
        <v>2004</v>
      </c>
      <c r="BA6" t="s">
        <v>2031</v>
      </c>
      <c r="BB6" t="s">
        <v>2048</v>
      </c>
      <c r="BC6" t="s">
        <v>2055</v>
      </c>
      <c r="BD6" t="s">
        <v>2074</v>
      </c>
      <c r="BE6" t="s">
        <v>2110</v>
      </c>
      <c r="BF6" t="s">
        <v>2128</v>
      </c>
      <c r="BG6" t="s">
        <v>2138</v>
      </c>
      <c r="BH6" t="s">
        <v>2153</v>
      </c>
      <c r="BI6" t="s">
        <v>2163</v>
      </c>
      <c r="BJ6" t="s">
        <v>2183</v>
      </c>
      <c r="BK6" t="s">
        <v>2203</v>
      </c>
      <c r="BL6" t="s">
        <v>2212</v>
      </c>
      <c r="BM6" t="s">
        <v>2219</v>
      </c>
      <c r="BN6" t="s">
        <v>2234</v>
      </c>
      <c r="BO6" t="s">
        <v>2253</v>
      </c>
      <c r="BP6" t="s">
        <v>2267</v>
      </c>
      <c r="BQ6" t="s">
        <v>2281</v>
      </c>
      <c r="BR6" t="s">
        <v>2304</v>
      </c>
      <c r="BS6" t="s">
        <v>2315</v>
      </c>
      <c r="BT6" t="s">
        <v>2339</v>
      </c>
      <c r="BU6" t="s">
        <v>2354</v>
      </c>
      <c r="BV6" t="s">
        <v>2374</v>
      </c>
      <c r="BW6" t="s">
        <v>2391</v>
      </c>
      <c r="BX6" t="s">
        <v>2397</v>
      </c>
      <c r="BY6" t="s">
        <v>2411</v>
      </c>
      <c r="BZ6" t="s">
        <v>2430</v>
      </c>
      <c r="CA6" t="s">
        <v>2437</v>
      </c>
      <c r="CB6" t="s">
        <v>2449</v>
      </c>
      <c r="CC6" t="s">
        <v>2471</v>
      </c>
      <c r="CD6" t="s">
        <v>2486</v>
      </c>
      <c r="CE6" t="s">
        <v>2499</v>
      </c>
      <c r="CF6" t="s">
        <v>2505</v>
      </c>
      <c r="CG6" t="s">
        <v>2526</v>
      </c>
      <c r="CH6" t="s">
        <v>2538</v>
      </c>
      <c r="CI6" t="s">
        <v>2546</v>
      </c>
      <c r="CJ6" t="s">
        <v>2556</v>
      </c>
      <c r="CL6" t="s">
        <v>2565</v>
      </c>
      <c r="CM6" t="s">
        <v>2573</v>
      </c>
      <c r="CN6" t="s">
        <v>2587</v>
      </c>
      <c r="CO6" t="s">
        <v>2594</v>
      </c>
      <c r="CP6" t="s">
        <v>2612</v>
      </c>
      <c r="CQ6" t="s">
        <v>2618</v>
      </c>
      <c r="CR6" t="s">
        <v>2624</v>
      </c>
      <c r="CS6" t="s">
        <v>2631</v>
      </c>
      <c r="CT6" t="s">
        <v>2646</v>
      </c>
      <c r="CU6" t="s">
        <v>2657</v>
      </c>
      <c r="CV6" t="s">
        <v>2676</v>
      </c>
      <c r="CW6" t="s">
        <v>2693</v>
      </c>
      <c r="CX6" t="s">
        <v>2724</v>
      </c>
      <c r="CY6" t="s">
        <v>2735</v>
      </c>
      <c r="CZ6" t="s">
        <v>2745</v>
      </c>
      <c r="DA6" t="s">
        <v>2756</v>
      </c>
      <c r="DB6" t="s">
        <v>2788</v>
      </c>
      <c r="DC6" t="s">
        <v>2799</v>
      </c>
      <c r="DD6" t="s">
        <v>2808</v>
      </c>
      <c r="DE6" t="s">
        <v>2820</v>
      </c>
      <c r="DF6" t="s">
        <v>2842</v>
      </c>
      <c r="DG6" t="s">
        <v>2879</v>
      </c>
      <c r="DH6" t="s">
        <v>2892</v>
      </c>
      <c r="DI6" t="s">
        <v>2908</v>
      </c>
      <c r="DJ6" t="s">
        <v>2913</v>
      </c>
      <c r="DK6" t="s">
        <v>2935</v>
      </c>
      <c r="DL6" t="s">
        <v>2946</v>
      </c>
      <c r="DM6" t="s">
        <v>2954</v>
      </c>
      <c r="DN6" t="s">
        <v>2967</v>
      </c>
      <c r="DO6" t="s">
        <v>2980</v>
      </c>
      <c r="DP6" t="s">
        <v>2992</v>
      </c>
      <c r="DQ6" t="s">
        <v>3007</v>
      </c>
      <c r="DR6" t="s">
        <v>3016</v>
      </c>
      <c r="DS6" t="s">
        <v>3035</v>
      </c>
      <c r="DT6" t="s">
        <v>3052</v>
      </c>
      <c r="DU6" t="s">
        <v>3069</v>
      </c>
      <c r="DV6" t="s">
        <v>3075</v>
      </c>
      <c r="DW6" t="s">
        <v>3084</v>
      </c>
      <c r="DX6" t="s">
        <v>3099</v>
      </c>
      <c r="DY6" t="s">
        <v>3115</v>
      </c>
      <c r="DZ6" t="s">
        <v>3128</v>
      </c>
      <c r="EA6" t="s">
        <v>3147</v>
      </c>
      <c r="EB6" t="s">
        <v>3160</v>
      </c>
      <c r="EC6" t="s">
        <v>3179</v>
      </c>
      <c r="ED6" t="s">
        <v>3207</v>
      </c>
      <c r="EE6" t="s">
        <v>3222</v>
      </c>
      <c r="EF6" t="s">
        <v>3231</v>
      </c>
      <c r="EG6" t="s">
        <v>3253</v>
      </c>
      <c r="EH6" t="s">
        <v>3261</v>
      </c>
      <c r="EI6" t="s">
        <v>3281</v>
      </c>
      <c r="EJ6" t="s">
        <v>3292</v>
      </c>
      <c r="EK6" t="s">
        <v>3307</v>
      </c>
      <c r="EL6" t="s">
        <v>3323</v>
      </c>
      <c r="EM6" t="s">
        <v>3329</v>
      </c>
      <c r="EN6" t="s">
        <v>3338</v>
      </c>
      <c r="EO6" t="s">
        <v>3357</v>
      </c>
      <c r="EP6" t="s">
        <v>3365</v>
      </c>
      <c r="EQ6" t="s">
        <v>3372</v>
      </c>
      <c r="ER6" t="s">
        <v>3398</v>
      </c>
      <c r="ES6" t="s">
        <v>3418</v>
      </c>
      <c r="EU6" t="s">
        <v>3441</v>
      </c>
      <c r="EV6" t="s">
        <v>3450</v>
      </c>
      <c r="EW6" t="s">
        <v>3461</v>
      </c>
      <c r="EX6" t="s">
        <v>3475</v>
      </c>
      <c r="EY6" t="s">
        <v>3482</v>
      </c>
      <c r="EZ6" t="s">
        <v>3490</v>
      </c>
      <c r="FA6" t="s">
        <v>3496</v>
      </c>
      <c r="FB6" t="s">
        <v>3502</v>
      </c>
      <c r="FC6" t="s">
        <v>3514</v>
      </c>
      <c r="FD6" t="s">
        <v>3524</v>
      </c>
      <c r="FE6" t="s">
        <v>3540</v>
      </c>
      <c r="FF6" t="s">
        <v>3550</v>
      </c>
      <c r="FG6" t="s">
        <v>3564</v>
      </c>
      <c r="FH6" t="s">
        <v>3574</v>
      </c>
      <c r="FI6" t="s">
        <v>3594</v>
      </c>
      <c r="FJ6" t="s">
        <v>3605</v>
      </c>
      <c r="FK6" t="s">
        <v>3617</v>
      </c>
      <c r="FL6" t="s">
        <v>3640</v>
      </c>
      <c r="FM6" t="s">
        <v>3646</v>
      </c>
      <c r="FN6" t="s">
        <v>3657</v>
      </c>
      <c r="FO6" t="s">
        <v>3668</v>
      </c>
      <c r="FP6" t="s">
        <v>3684</v>
      </c>
      <c r="FQ6" t="s">
        <v>3690</v>
      </c>
      <c r="FR6" t="s">
        <v>3710</v>
      </c>
      <c r="FS6" t="s">
        <v>3719</v>
      </c>
      <c r="FT6" t="s">
        <v>3731</v>
      </c>
      <c r="FU6" t="s">
        <v>3747</v>
      </c>
      <c r="FV6" t="s">
        <v>3764</v>
      </c>
      <c r="FW6" t="s">
        <v>3779</v>
      </c>
      <c r="FX6" t="s">
        <v>3787</v>
      </c>
      <c r="FY6" t="s">
        <v>3806</v>
      </c>
      <c r="FZ6" t="s">
        <v>3813</v>
      </c>
      <c r="GA6" t="s">
        <v>3827</v>
      </c>
      <c r="GB6" t="s">
        <v>3836</v>
      </c>
      <c r="GD6" t="s">
        <v>3849</v>
      </c>
      <c r="GE6" t="s">
        <v>3857</v>
      </c>
      <c r="GF6" t="s">
        <v>3867</v>
      </c>
      <c r="GG6" t="s">
        <v>3886</v>
      </c>
      <c r="GH6" t="s">
        <v>3898</v>
      </c>
      <c r="GI6" t="s">
        <v>3907</v>
      </c>
      <c r="GJ6" t="s">
        <v>3914</v>
      </c>
      <c r="GK6" t="s">
        <v>3927</v>
      </c>
      <c r="GL6" t="s">
        <v>3945</v>
      </c>
      <c r="GM6" t="s">
        <v>3955</v>
      </c>
      <c r="GN6" t="s">
        <v>3965</v>
      </c>
      <c r="GO6" t="s">
        <v>3989</v>
      </c>
      <c r="GP6" t="s">
        <v>4008</v>
      </c>
      <c r="GQ6" t="s">
        <v>4046</v>
      </c>
      <c r="GR6" t="s">
        <v>4055</v>
      </c>
      <c r="GS6" t="s">
        <v>4065</v>
      </c>
      <c r="GT6" t="s">
        <v>4079</v>
      </c>
      <c r="GU6" t="s">
        <v>4102</v>
      </c>
      <c r="GV6" t="s">
        <v>4112</v>
      </c>
      <c r="GW6" t="s">
        <v>4145</v>
      </c>
      <c r="GX6" t="s">
        <v>4166</v>
      </c>
      <c r="GY6" t="s">
        <v>4183</v>
      </c>
      <c r="GZ6" t="s">
        <v>4195</v>
      </c>
      <c r="HA6" t="s">
        <v>4204</v>
      </c>
      <c r="HB6" t="s">
        <v>4217</v>
      </c>
      <c r="HC6" t="s">
        <v>4228</v>
      </c>
      <c r="HD6" t="s">
        <v>4242</v>
      </c>
      <c r="HE6" t="s">
        <v>4258</v>
      </c>
      <c r="HF6" t="s">
        <v>4287</v>
      </c>
      <c r="HG6" t="s">
        <v>4299</v>
      </c>
      <c r="HH6" t="s">
        <v>4330</v>
      </c>
      <c r="HI6" t="s">
        <v>4337</v>
      </c>
      <c r="HJ6" t="s">
        <v>4360</v>
      </c>
      <c r="HK6" t="s">
        <v>4380</v>
      </c>
      <c r="HL6" t="s">
        <v>4393</v>
      </c>
      <c r="HM6" t="s">
        <v>4408</v>
      </c>
      <c r="HN6" t="s">
        <v>4416</v>
      </c>
      <c r="HO6" t="s">
        <v>4423</v>
      </c>
      <c r="HP6" t="s">
        <v>4430</v>
      </c>
      <c r="HQ6" t="s">
        <v>4445</v>
      </c>
      <c r="HR6" t="s">
        <v>4461</v>
      </c>
      <c r="HS6" t="s">
        <v>4484</v>
      </c>
      <c r="HT6" t="s">
        <v>4493</v>
      </c>
      <c r="HU6" t="s">
        <v>4520</v>
      </c>
      <c r="HV6" t="s">
        <v>4530</v>
      </c>
      <c r="HW6" t="s">
        <v>4537</v>
      </c>
      <c r="HX6" t="s">
        <v>4547</v>
      </c>
      <c r="HY6" t="s">
        <v>4556</v>
      </c>
      <c r="HZ6" t="s">
        <v>4572</v>
      </c>
      <c r="IA6" t="s">
        <v>4580</v>
      </c>
      <c r="IB6" t="s">
        <v>4594</v>
      </c>
      <c r="IC6" t="s">
        <v>4603</v>
      </c>
      <c r="ID6" t="s">
        <v>4612</v>
      </c>
      <c r="IE6" t="s">
        <v>4617</v>
      </c>
      <c r="IF6" t="s">
        <v>4627</v>
      </c>
      <c r="IG6" t="s">
        <v>4643</v>
      </c>
      <c r="IH6" t="s">
        <v>4648</v>
      </c>
      <c r="II6" t="s">
        <v>4657</v>
      </c>
      <c r="IJ6" t="s">
        <v>4675</v>
      </c>
      <c r="IK6" t="s">
        <v>4699</v>
      </c>
      <c r="IL6" t="s">
        <v>4710</v>
      </c>
      <c r="IM6" t="s">
        <v>4716</v>
      </c>
      <c r="IN6" t="s">
        <v>4722</v>
      </c>
      <c r="IO6" t="s">
        <v>4741</v>
      </c>
      <c r="IP6" t="s">
        <v>4773</v>
      </c>
      <c r="IQ6" t="s">
        <v>4781</v>
      </c>
      <c r="IR6" t="s">
        <v>4798</v>
      </c>
      <c r="IS6" t="s">
        <v>4819</v>
      </c>
      <c r="IT6" t="s">
        <v>4830</v>
      </c>
      <c r="IU6" t="s">
        <v>4840</v>
      </c>
      <c r="IV6" t="s">
        <v>4851</v>
      </c>
      <c r="IW6" t="s">
        <v>4866</v>
      </c>
      <c r="IX6" t="s">
        <v>4877</v>
      </c>
      <c r="IY6" t="s">
        <v>4888</v>
      </c>
      <c r="IZ6" t="s">
        <v>4894</v>
      </c>
      <c r="JA6" t="s">
        <v>4900</v>
      </c>
      <c r="JB6" t="s">
        <v>4925</v>
      </c>
      <c r="JC6" t="s">
        <v>4935</v>
      </c>
      <c r="JD6" t="s">
        <v>4945</v>
      </c>
      <c r="JE6" t="s">
        <v>4955</v>
      </c>
      <c r="JF6" t="s">
        <v>4963</v>
      </c>
      <c r="JG6" t="s">
        <v>4981</v>
      </c>
      <c r="JH6" t="s">
        <v>4986</v>
      </c>
      <c r="JI6" t="s">
        <v>4998</v>
      </c>
      <c r="JJ6" t="s">
        <v>5017</v>
      </c>
      <c r="JK6" t="s">
        <v>5028</v>
      </c>
      <c r="JL6" t="s">
        <v>5050</v>
      </c>
      <c r="JM6" t="s">
        <v>5072</v>
      </c>
      <c r="JN6" t="s">
        <v>5083</v>
      </c>
      <c r="JO6" t="s">
        <v>5106</v>
      </c>
      <c r="JP6" t="s">
        <v>5121</v>
      </c>
      <c r="JR6" t="s">
        <v>5140</v>
      </c>
      <c r="JS6" t="s">
        <v>5160</v>
      </c>
      <c r="JT6" t="s">
        <v>5171</v>
      </c>
      <c r="JU6" t="s">
        <v>5178</v>
      </c>
      <c r="JV6" t="s">
        <v>5184</v>
      </c>
      <c r="JW6" t="s">
        <v>5191</v>
      </c>
      <c r="JX6" t="s">
        <v>5201</v>
      </c>
      <c r="JY6" t="s">
        <v>5215</v>
      </c>
      <c r="JZ6" t="s">
        <v>5233</v>
      </c>
      <c r="KA6" t="s">
        <v>5239</v>
      </c>
      <c r="KB6" t="s">
        <v>5249</v>
      </c>
      <c r="KC6" t="s">
        <v>5256</v>
      </c>
      <c r="KD6" t="s">
        <v>5268</v>
      </c>
      <c r="KE6" t="s">
        <v>5277</v>
      </c>
      <c r="KF6" t="s">
        <v>5284</v>
      </c>
      <c r="KG6" t="s">
        <v>5293</v>
      </c>
      <c r="KH6" t="s">
        <v>5301</v>
      </c>
      <c r="KI6" t="s">
        <v>5315</v>
      </c>
      <c r="KJ6" t="s">
        <v>5327</v>
      </c>
      <c r="KK6" t="s">
        <v>5334</v>
      </c>
      <c r="KL6" t="s">
        <v>5362</v>
      </c>
      <c r="KM6" t="s">
        <v>5376</v>
      </c>
      <c r="KN6" t="s">
        <v>5390</v>
      </c>
      <c r="KO6" t="s">
        <v>5410</v>
      </c>
      <c r="KP6" t="s">
        <v>5426</v>
      </c>
      <c r="KQ6" t="s">
        <v>5444</v>
      </c>
      <c r="KR6" t="s">
        <v>5461</v>
      </c>
      <c r="KS6" t="s">
        <v>5474</v>
      </c>
      <c r="KT6" t="s">
        <v>5487</v>
      </c>
      <c r="KU6" t="s">
        <v>5492</v>
      </c>
      <c r="KV6" t="s">
        <v>5504</v>
      </c>
      <c r="KW6" t="s">
        <v>5518</v>
      </c>
      <c r="KX6" t="s">
        <v>5525</v>
      </c>
      <c r="KY6" t="s">
        <v>5532</v>
      </c>
      <c r="KZ6" t="s">
        <v>5557</v>
      </c>
      <c r="LA6" t="s">
        <v>5568</v>
      </c>
      <c r="LB6" t="s">
        <v>5583</v>
      </c>
      <c r="LC6" t="s">
        <v>5596</v>
      </c>
      <c r="LD6" t="s">
        <v>5612</v>
      </c>
      <c r="LE6" t="s">
        <v>5621</v>
      </c>
      <c r="LF6" t="s">
        <v>5642</v>
      </c>
      <c r="LG6" t="s">
        <v>5671</v>
      </c>
      <c r="LH6" t="s">
        <v>5681</v>
      </c>
      <c r="LI6" t="s">
        <v>5689</v>
      </c>
      <c r="LJ6" t="s">
        <v>5701</v>
      </c>
      <c r="LK6" t="s">
        <v>5710</v>
      </c>
      <c r="LL6" t="s">
        <v>5722</v>
      </c>
      <c r="LM6" t="s">
        <v>5737</v>
      </c>
      <c r="LN6" t="s">
        <v>5745</v>
      </c>
      <c r="LO6" t="s">
        <v>5762</v>
      </c>
      <c r="LP6" t="s">
        <v>5775</v>
      </c>
      <c r="LQ6" t="s">
        <v>5800</v>
      </c>
      <c r="LR6" t="s">
        <v>5806</v>
      </c>
      <c r="LS6" t="s">
        <v>5814</v>
      </c>
      <c r="LT6" t="s">
        <v>5837</v>
      </c>
      <c r="LU6" t="s">
        <v>5847</v>
      </c>
      <c r="LV6" t="s">
        <v>5857</v>
      </c>
      <c r="LW6" t="s">
        <v>5870</v>
      </c>
      <c r="LX6" t="s">
        <v>5884</v>
      </c>
      <c r="LY6" t="s">
        <v>5897</v>
      </c>
      <c r="LZ6" t="s">
        <v>5907</v>
      </c>
      <c r="MA6" t="s">
        <v>5933</v>
      </c>
      <c r="MB6" t="s">
        <v>5946</v>
      </c>
      <c r="MC6" t="s">
        <v>5959</v>
      </c>
      <c r="MD6" t="s">
        <v>5974</v>
      </c>
      <c r="ME6" t="s">
        <v>5982</v>
      </c>
      <c r="MF6" t="s">
        <v>5991</v>
      </c>
      <c r="MG6" t="s">
        <v>5997</v>
      </c>
      <c r="MH6" t="s">
        <v>6010</v>
      </c>
      <c r="MI6" t="s">
        <v>6017</v>
      </c>
      <c r="MJ6" t="s">
        <v>6045</v>
      </c>
      <c r="MK6" t="s">
        <v>6053</v>
      </c>
      <c r="ML6" t="s">
        <v>6066</v>
      </c>
      <c r="MM6" t="s">
        <v>6075</v>
      </c>
      <c r="MN6" t="s">
        <v>6084</v>
      </c>
      <c r="MO6" t="s">
        <v>6094</v>
      </c>
      <c r="MP6" t="s">
        <v>6105</v>
      </c>
      <c r="MQ6" t="s">
        <v>6110</v>
      </c>
      <c r="MR6" t="s">
        <v>6117</v>
      </c>
      <c r="MS6" t="s">
        <v>6124</v>
      </c>
      <c r="MT6" t="s">
        <v>6137</v>
      </c>
      <c r="MU6" t="s">
        <v>6154</v>
      </c>
      <c r="MV6" t="s">
        <v>6162</v>
      </c>
      <c r="MW6" t="s">
        <v>6170</v>
      </c>
      <c r="MX6" t="s">
        <v>6184</v>
      </c>
      <c r="MY6" t="s">
        <v>6197</v>
      </c>
      <c r="MZ6" t="s">
        <v>6207</v>
      </c>
      <c r="NA6" t="s">
        <v>6223</v>
      </c>
      <c r="NB6" t="s">
        <v>6236</v>
      </c>
      <c r="ND6" t="s">
        <v>6249</v>
      </c>
      <c r="NE6" t="s">
        <v>6266</v>
      </c>
      <c r="NF6" t="s">
        <v>6287</v>
      </c>
      <c r="NG6" t="s">
        <v>6297</v>
      </c>
      <c r="NH6" t="s">
        <v>6320</v>
      </c>
      <c r="NI6" t="s">
        <v>6333</v>
      </c>
      <c r="NJ6" t="s">
        <v>6350</v>
      </c>
      <c r="NK6" t="s">
        <v>6365</v>
      </c>
      <c r="NL6" t="s">
        <v>6385</v>
      </c>
      <c r="NM6" t="s">
        <v>6403</v>
      </c>
      <c r="NN6" t="s">
        <v>6426</v>
      </c>
      <c r="NO6" t="s">
        <v>6448</v>
      </c>
      <c r="NP6" t="s">
        <v>6464</v>
      </c>
      <c r="NQ6" t="s">
        <v>6488</v>
      </c>
      <c r="NR6" t="s">
        <v>6497</v>
      </c>
      <c r="NS6" t="s">
        <v>6514</v>
      </c>
      <c r="NT6" t="s">
        <v>6524</v>
      </c>
      <c r="NU6" t="s">
        <v>6534</v>
      </c>
      <c r="NV6" t="s">
        <v>6541</v>
      </c>
      <c r="NX6" t="s">
        <v>6559</v>
      </c>
      <c r="NY6" t="s">
        <v>6576</v>
      </c>
      <c r="NZ6" t="s">
        <v>6582</v>
      </c>
      <c r="OA6" t="s">
        <v>6597</v>
      </c>
      <c r="OB6" t="s">
        <v>6608</v>
      </c>
      <c r="OC6" t="s">
        <v>6629</v>
      </c>
      <c r="OD6" t="s">
        <v>6643</v>
      </c>
      <c r="OE6" t="s">
        <v>6650</v>
      </c>
      <c r="OF6" t="s">
        <v>6661</v>
      </c>
      <c r="OG6" t="s">
        <v>6676</v>
      </c>
      <c r="OH6" t="s">
        <v>6698</v>
      </c>
      <c r="OI6" t="s">
        <v>6724</v>
      </c>
      <c r="OJ6" t="s">
        <v>6738</v>
      </c>
      <c r="OK6" t="s">
        <v>6755</v>
      </c>
      <c r="OL6" t="s">
        <v>6773</v>
      </c>
      <c r="OM6" t="s">
        <v>6787</v>
      </c>
      <c r="ON6" t="s">
        <v>6797</v>
      </c>
      <c r="OO6" t="s">
        <v>6804</v>
      </c>
      <c r="OP6" t="s">
        <v>6815</v>
      </c>
      <c r="OQ6" t="s">
        <v>6825</v>
      </c>
      <c r="OR6" t="s">
        <v>6839</v>
      </c>
      <c r="OS6" t="s">
        <v>6847</v>
      </c>
      <c r="OT6" t="s">
        <v>6856</v>
      </c>
      <c r="OU6" t="s">
        <v>6864</v>
      </c>
      <c r="OV6" t="s">
        <v>6882</v>
      </c>
      <c r="OW6" t="s">
        <v>6898</v>
      </c>
      <c r="OX6" t="s">
        <v>6917</v>
      </c>
      <c r="OY6" t="s">
        <v>6926</v>
      </c>
      <c r="OZ6" t="s">
        <v>6941</v>
      </c>
      <c r="PA6" t="s">
        <v>6947</v>
      </c>
      <c r="PB6" t="s">
        <v>6975</v>
      </c>
      <c r="PC6" t="s">
        <v>6980</v>
      </c>
      <c r="PD6" t="s">
        <v>6995</v>
      </c>
      <c r="PE6" t="s">
        <v>7007</v>
      </c>
      <c r="PF6" t="s">
        <v>7020</v>
      </c>
      <c r="PG6" t="s">
        <v>7035</v>
      </c>
      <c r="PH6" t="s">
        <v>7047</v>
      </c>
      <c r="PI6" t="s">
        <v>7059</v>
      </c>
      <c r="PJ6" t="s">
        <v>7070</v>
      </c>
      <c r="PK6" t="s">
        <v>7081</v>
      </c>
      <c r="PL6" t="s">
        <v>7087</v>
      </c>
      <c r="PM6" t="s">
        <v>7117</v>
      </c>
      <c r="PN6" t="s">
        <v>7124</v>
      </c>
      <c r="PO6" t="s">
        <v>7137</v>
      </c>
      <c r="PP6" t="s">
        <v>7149</v>
      </c>
      <c r="PQ6" t="s">
        <v>7164</v>
      </c>
      <c r="PR6" t="s">
        <v>7188</v>
      </c>
      <c r="PS6" t="s">
        <v>7204</v>
      </c>
      <c r="PT6" t="s">
        <v>7217</v>
      </c>
      <c r="PU6" t="s">
        <v>7241</v>
      </c>
      <c r="PV6" t="s">
        <v>7248</v>
      </c>
      <c r="PX6" t="s">
        <v>7266</v>
      </c>
      <c r="PY6" t="s">
        <v>7282</v>
      </c>
      <c r="PZ6" t="s">
        <v>7296</v>
      </c>
      <c r="QA6" t="s">
        <v>7309</v>
      </c>
      <c r="QB6" t="s">
        <v>7318</v>
      </c>
      <c r="QC6" t="s">
        <v>7336</v>
      </c>
      <c r="QD6" t="s">
        <v>7347</v>
      </c>
      <c r="QE6" t="s">
        <v>7356</v>
      </c>
      <c r="QF6" t="s">
        <v>7375</v>
      </c>
      <c r="QG6" t="s">
        <v>7391</v>
      </c>
      <c r="QH6" t="s">
        <v>7403</v>
      </c>
      <c r="QI6" t="s">
        <v>7410</v>
      </c>
      <c r="QJ6" t="s">
        <v>7433</v>
      </c>
      <c r="QK6" t="s">
        <v>7439</v>
      </c>
      <c r="QL6" t="s">
        <v>7448</v>
      </c>
      <c r="QM6" t="s">
        <v>7471</v>
      </c>
      <c r="QN6" t="s">
        <v>7483</v>
      </c>
      <c r="QO6" t="s">
        <v>7514</v>
      </c>
      <c r="QP6" t="s">
        <v>7529</v>
      </c>
      <c r="QQ6" t="s">
        <v>7539</v>
      </c>
      <c r="QR6" t="s">
        <v>7559</v>
      </c>
      <c r="QS6" t="s">
        <v>7569</v>
      </c>
      <c r="QT6" t="s">
        <v>7605</v>
      </c>
      <c r="QU6" t="s">
        <v>7615</v>
      </c>
      <c r="QV6" t="s">
        <v>7624</v>
      </c>
      <c r="QW6" t="s">
        <v>7635</v>
      </c>
      <c r="QX6" t="s">
        <v>7652</v>
      </c>
      <c r="QY6" t="s">
        <v>7660</v>
      </c>
      <c r="QZ6" t="s">
        <v>7680</v>
      </c>
      <c r="RA6" t="s">
        <v>7695</v>
      </c>
      <c r="RB6" t="s">
        <v>7711</v>
      </c>
      <c r="RC6" t="s">
        <v>7726</v>
      </c>
      <c r="RD6" t="s">
        <v>7758</v>
      </c>
      <c r="RE6" t="s">
        <v>7767</v>
      </c>
      <c r="RF6" t="s">
        <v>7780</v>
      </c>
      <c r="RG6" t="s">
        <v>7796</v>
      </c>
      <c r="RH6" t="s">
        <v>7805</v>
      </c>
      <c r="RI6" t="s">
        <v>7813</v>
      </c>
      <c r="RJ6" t="s">
        <v>7823</v>
      </c>
      <c r="RK6" t="s">
        <v>7839</v>
      </c>
      <c r="RL6" t="s">
        <v>7847</v>
      </c>
      <c r="RM6" t="s">
        <v>7854</v>
      </c>
      <c r="RN6" t="s">
        <v>7870</v>
      </c>
      <c r="RO6" t="s">
        <v>7887</v>
      </c>
      <c r="RP6" t="s">
        <v>7893</v>
      </c>
      <c r="RQ6" t="s">
        <v>7907</v>
      </c>
      <c r="RR6" t="s">
        <v>7923</v>
      </c>
      <c r="RS6" t="s">
        <v>7932</v>
      </c>
      <c r="RT6" t="s">
        <v>7941</v>
      </c>
      <c r="RU6" t="s">
        <v>7949</v>
      </c>
      <c r="RV6" t="s">
        <v>7962</v>
      </c>
      <c r="RW6" t="s">
        <v>7986</v>
      </c>
      <c r="RX6" t="s">
        <v>7997</v>
      </c>
      <c r="RY6" t="s">
        <v>8007</v>
      </c>
      <c r="RZ6" t="s">
        <v>8018</v>
      </c>
      <c r="SA6" t="s">
        <v>8053</v>
      </c>
      <c r="SB6" t="s">
        <v>8058</v>
      </c>
      <c r="SC6" t="s">
        <v>8070</v>
      </c>
      <c r="SD6" t="s">
        <v>8083</v>
      </c>
      <c r="SE6" t="s">
        <v>8105</v>
      </c>
      <c r="SF6" t="s">
        <v>8114</v>
      </c>
      <c r="SG6" t="s">
        <v>8138</v>
      </c>
      <c r="SH6" t="s">
        <v>8144</v>
      </c>
      <c r="SI6" t="s">
        <v>8173</v>
      </c>
      <c r="SJ6" t="s">
        <v>8187</v>
      </c>
      <c r="SK6" t="s">
        <v>8208</v>
      </c>
      <c r="SL6" t="s">
        <v>8216</v>
      </c>
      <c r="SM6" t="s">
        <v>8226</v>
      </c>
      <c r="SN6" t="s">
        <v>8235</v>
      </c>
      <c r="SO6" t="s">
        <v>8242</v>
      </c>
      <c r="SP6" t="s">
        <v>8250</v>
      </c>
      <c r="SQ6" t="s">
        <v>8264</v>
      </c>
      <c r="SR6" t="s">
        <v>8271</v>
      </c>
      <c r="SS6" t="s">
        <v>8279</v>
      </c>
      <c r="ST6" t="s">
        <v>8293</v>
      </c>
      <c r="SU6" t="s">
        <v>8309</v>
      </c>
      <c r="SV6" t="s">
        <v>8335</v>
      </c>
      <c r="SW6" t="s">
        <v>8344</v>
      </c>
      <c r="SX6" t="s">
        <v>8357</v>
      </c>
      <c r="SY6" t="s">
        <v>8376</v>
      </c>
      <c r="SZ6" t="s">
        <v>8386</v>
      </c>
      <c r="TA6" t="s">
        <v>8401</v>
      </c>
      <c r="TB6" t="s">
        <v>8406</v>
      </c>
      <c r="TC6" t="s">
        <v>8417</v>
      </c>
      <c r="TD6" t="s">
        <v>8428</v>
      </c>
      <c r="TE6" t="s">
        <v>8457</v>
      </c>
      <c r="TG6" t="s">
        <v>8473</v>
      </c>
      <c r="TH6" t="s">
        <v>8478</v>
      </c>
      <c r="TI6" t="s">
        <v>8491</v>
      </c>
      <c r="TJ6" t="s">
        <v>8501</v>
      </c>
      <c r="TK6" t="s">
        <v>8508</v>
      </c>
      <c r="TL6" t="s">
        <v>8518</v>
      </c>
      <c r="TM6" t="s">
        <v>8533</v>
      </c>
      <c r="TN6" t="s">
        <v>8545</v>
      </c>
      <c r="TO6" t="s">
        <v>8555</v>
      </c>
      <c r="TP6" t="s">
        <v>8573</v>
      </c>
      <c r="TQ6" t="s">
        <v>8585</v>
      </c>
      <c r="TR6" t="s">
        <v>8599</v>
      </c>
      <c r="TS6" t="s">
        <v>8635</v>
      </c>
      <c r="TT6" t="s">
        <v>8647</v>
      </c>
      <c r="TU6" t="s">
        <v>8662</v>
      </c>
      <c r="TV6" t="s">
        <v>8672</v>
      </c>
      <c r="TW6" t="s">
        <v>8692</v>
      </c>
      <c r="TX6" t="s">
        <v>8709</v>
      </c>
      <c r="TY6" t="s">
        <v>8719</v>
      </c>
      <c r="TZ6" t="s">
        <v>8731</v>
      </c>
      <c r="UA6" t="s">
        <v>8748</v>
      </c>
      <c r="UB6" t="s">
        <v>8756</v>
      </c>
      <c r="UC6" t="s">
        <v>8776</v>
      </c>
      <c r="UD6" t="s">
        <v>8796</v>
      </c>
      <c r="UE6" t="s">
        <v>8802</v>
      </c>
      <c r="UF6" t="s">
        <v>8811</v>
      </c>
      <c r="UG6" t="s">
        <v>8835</v>
      </c>
      <c r="UH6" t="s">
        <v>8851</v>
      </c>
      <c r="UI6" t="s">
        <v>8887</v>
      </c>
      <c r="UJ6" t="s">
        <v>8900</v>
      </c>
      <c r="UK6" t="s">
        <v>8933</v>
      </c>
      <c r="UL6" t="s">
        <v>8949</v>
      </c>
      <c r="UM6" t="s">
        <v>8961</v>
      </c>
      <c r="UN6" t="s">
        <v>8969</v>
      </c>
      <c r="UO6" t="s">
        <v>8982</v>
      </c>
      <c r="UP6" t="s">
        <v>9002</v>
      </c>
      <c r="UQ6" t="s">
        <v>9011</v>
      </c>
      <c r="UR6" t="s">
        <v>9027</v>
      </c>
      <c r="US6" t="s">
        <v>9052</v>
      </c>
      <c r="UT6" t="s">
        <v>9068</v>
      </c>
      <c r="UU6" t="s">
        <v>9084</v>
      </c>
      <c r="UV6" t="s">
        <v>9092</v>
      </c>
      <c r="UW6" t="s">
        <v>9122</v>
      </c>
      <c r="UX6" t="s">
        <v>9133</v>
      </c>
      <c r="UY6" t="s">
        <v>9149</v>
      </c>
      <c r="UZ6" t="s">
        <v>9172</v>
      </c>
      <c r="VA6" t="s">
        <v>9189</v>
      </c>
      <c r="VB6" t="s">
        <v>9196</v>
      </c>
      <c r="VC6" t="s">
        <v>9205</v>
      </c>
      <c r="VD6" t="s">
        <v>9217</v>
      </c>
      <c r="VE6" t="s">
        <v>9229</v>
      </c>
      <c r="VF6" t="s">
        <v>9250</v>
      </c>
      <c r="VG6" t="s">
        <v>9267</v>
      </c>
      <c r="VH6" t="s">
        <v>9278</v>
      </c>
      <c r="VI6" t="s">
        <v>9294</v>
      </c>
      <c r="VJ6" t="s">
        <v>9314</v>
      </c>
      <c r="VK6" t="s">
        <v>9330</v>
      </c>
      <c r="VL6" t="s">
        <v>9346</v>
      </c>
      <c r="VM6" t="s">
        <v>9357</v>
      </c>
      <c r="VN6" t="s">
        <v>9365</v>
      </c>
      <c r="VO6" t="s">
        <v>9377</v>
      </c>
      <c r="VQ6" t="s">
        <v>9389</v>
      </c>
      <c r="VR6" t="s">
        <v>9403</v>
      </c>
      <c r="VS6" t="s">
        <v>9424</v>
      </c>
      <c r="VT6" t="s">
        <v>9440</v>
      </c>
      <c r="VU6" t="s">
        <v>9474</v>
      </c>
      <c r="VV6" t="s">
        <v>9481</v>
      </c>
      <c r="VW6" t="s">
        <v>9487</v>
      </c>
      <c r="VX6" t="s">
        <v>9494</v>
      </c>
      <c r="VY6" t="s">
        <v>9506</v>
      </c>
      <c r="VZ6" t="s">
        <v>9534</v>
      </c>
      <c r="WA6" t="s">
        <v>9543</v>
      </c>
      <c r="WB6" t="s">
        <v>9548</v>
      </c>
      <c r="WC6" t="s">
        <v>9556</v>
      </c>
      <c r="WD6" t="s">
        <v>9572</v>
      </c>
      <c r="WE6" t="s">
        <v>9605</v>
      </c>
      <c r="WF6" t="s">
        <v>9614</v>
      </c>
      <c r="WG6" t="s">
        <v>9629</v>
      </c>
      <c r="WH6" t="s">
        <v>9642</v>
      </c>
      <c r="WI6" t="s">
        <v>9655</v>
      </c>
      <c r="WJ6" t="s">
        <v>9667</v>
      </c>
      <c r="WK6" t="s">
        <v>9687</v>
      </c>
      <c r="WL6" t="s">
        <v>9697</v>
      </c>
      <c r="WM6" t="s">
        <v>9717</v>
      </c>
      <c r="WN6" t="s">
        <v>9730</v>
      </c>
      <c r="WO6" t="s">
        <v>9743</v>
      </c>
      <c r="WP6" t="s">
        <v>9750</v>
      </c>
      <c r="WQ6" t="s">
        <v>9758</v>
      </c>
      <c r="WR6" t="s">
        <v>9767</v>
      </c>
      <c r="WS6" t="s">
        <v>9795</v>
      </c>
      <c r="WT6" t="s">
        <v>9830</v>
      </c>
      <c r="WU6" t="s">
        <v>9837</v>
      </c>
      <c r="WV6" t="s">
        <v>9864</v>
      </c>
      <c r="WW6" t="s">
        <v>9881</v>
      </c>
      <c r="WX6" t="s">
        <v>9894</v>
      </c>
      <c r="WY6" t="s">
        <v>9913</v>
      </c>
      <c r="WZ6" t="s">
        <v>9929</v>
      </c>
      <c r="XA6" t="s">
        <v>9939</v>
      </c>
      <c r="XB6" t="s">
        <v>9961</v>
      </c>
      <c r="XC6" t="s">
        <v>9975</v>
      </c>
      <c r="XD6" t="s">
        <v>9995</v>
      </c>
      <c r="XE6" t="s">
        <v>10009</v>
      </c>
      <c r="XF6" t="s">
        <v>10025</v>
      </c>
      <c r="XG6" t="s">
        <v>10045</v>
      </c>
      <c r="XH6" t="s">
        <v>10061</v>
      </c>
      <c r="XI6" t="s">
        <v>10079</v>
      </c>
      <c r="XJ6" t="s">
        <v>10097</v>
      </c>
      <c r="XK6" t="s">
        <v>10107</v>
      </c>
      <c r="XL6" t="s">
        <v>10120</v>
      </c>
      <c r="XM6" t="s">
        <v>10137</v>
      </c>
      <c r="XN6" t="s">
        <v>10157</v>
      </c>
      <c r="XO6" t="s">
        <v>10166</v>
      </c>
      <c r="XP6" t="s">
        <v>10178</v>
      </c>
      <c r="XQ6" t="s">
        <v>10190</v>
      </c>
      <c r="XR6" t="s">
        <v>10200</v>
      </c>
      <c r="XS6" t="s">
        <v>10221</v>
      </c>
      <c r="XT6" t="s">
        <v>10232</v>
      </c>
      <c r="XU6" t="s">
        <v>10250</v>
      </c>
      <c r="XV6" t="s">
        <v>10256</v>
      </c>
      <c r="XW6" t="s">
        <v>10266</v>
      </c>
      <c r="XX6" t="s">
        <v>10280</v>
      </c>
      <c r="XY6" t="s">
        <v>10292</v>
      </c>
      <c r="XZ6" t="s">
        <v>10310</v>
      </c>
      <c r="YA6" t="s">
        <v>10323</v>
      </c>
      <c r="YB6" t="s">
        <v>10335</v>
      </c>
      <c r="YC6" t="s">
        <v>10355</v>
      </c>
      <c r="YD6" t="s">
        <v>10384</v>
      </c>
      <c r="YE6" t="s">
        <v>10404</v>
      </c>
      <c r="YF6" t="s">
        <v>10422</v>
      </c>
      <c r="YG6" t="s">
        <v>10430</v>
      </c>
      <c r="YH6" t="s">
        <v>10444</v>
      </c>
      <c r="YI6" t="s">
        <v>10456</v>
      </c>
      <c r="YJ6" t="s">
        <v>10469</v>
      </c>
      <c r="YK6" t="s">
        <v>10492</v>
      </c>
      <c r="YL6" t="s">
        <v>10502</v>
      </c>
      <c r="YM6" t="s">
        <v>10511</v>
      </c>
      <c r="YN6" t="s">
        <v>10525</v>
      </c>
      <c r="YO6" t="s">
        <v>10533</v>
      </c>
      <c r="YP6" t="s">
        <v>10547</v>
      </c>
      <c r="YQ6" t="s">
        <v>10562</v>
      </c>
      <c r="YR6" t="s">
        <v>10578</v>
      </c>
      <c r="YS6" t="s">
        <v>10598</v>
      </c>
      <c r="YT6" t="s">
        <v>10612</v>
      </c>
      <c r="YU6" t="s">
        <v>10636</v>
      </c>
      <c r="YV6" t="s">
        <v>10656</v>
      </c>
      <c r="YW6" t="s">
        <v>10669</v>
      </c>
      <c r="YX6" t="s">
        <v>10689</v>
      </c>
      <c r="YY6" t="s">
        <v>10705</v>
      </c>
      <c r="YZ6" t="s">
        <v>10726</v>
      </c>
      <c r="ZA6" t="s">
        <v>10736</v>
      </c>
      <c r="ZB6" t="s">
        <v>10752</v>
      </c>
      <c r="ZC6" t="s">
        <v>10765</v>
      </c>
      <c r="ZD6" t="s">
        <v>10782</v>
      </c>
      <c r="ZE6" t="s">
        <v>10802</v>
      </c>
      <c r="ZF6" t="s">
        <v>10814</v>
      </c>
      <c r="ZG6" t="s">
        <v>10826</v>
      </c>
      <c r="ZH6" t="s">
        <v>10837</v>
      </c>
      <c r="ZI6" t="s">
        <v>10848</v>
      </c>
      <c r="ZJ6" t="s">
        <v>10868</v>
      </c>
      <c r="ZK6" t="s">
        <v>10879</v>
      </c>
      <c r="ZL6" t="s">
        <v>10897</v>
      </c>
      <c r="ZM6" t="s">
        <v>10912</v>
      </c>
      <c r="ZN6" t="s">
        <v>10924</v>
      </c>
      <c r="ZO6" t="s">
        <v>10935</v>
      </c>
      <c r="ZP6" t="s">
        <v>10952</v>
      </c>
      <c r="ZQ6" t="s">
        <v>10970</v>
      </c>
      <c r="ZR6" t="s">
        <v>10982</v>
      </c>
      <c r="ZS6" t="s">
        <v>10991</v>
      </c>
      <c r="ZT6" t="s">
        <v>11008</v>
      </c>
      <c r="ZU6" t="s">
        <v>11027</v>
      </c>
      <c r="ZV6" t="s">
        <v>11044</v>
      </c>
      <c r="ZW6" t="s">
        <v>11057</v>
      </c>
    </row>
    <row r="7" spans="1:699" x14ac:dyDescent="0.25">
      <c r="A7" t="s">
        <v>1236</v>
      </c>
      <c r="B7" t="s">
        <v>1248</v>
      </c>
      <c r="C7" t="s">
        <v>1257</v>
      </c>
      <c r="D7" t="s">
        <v>1268</v>
      </c>
      <c r="E7" t="s">
        <v>1283</v>
      </c>
      <c r="F7" t="s">
        <v>1301</v>
      </c>
      <c r="G7" t="s">
        <v>1322</v>
      </c>
      <c r="H7" t="s">
        <v>1338</v>
      </c>
      <c r="I7" t="s">
        <v>1347</v>
      </c>
      <c r="J7" t="s">
        <v>1369</v>
      </c>
      <c r="K7" t="s">
        <v>1376</v>
      </c>
      <c r="L7" t="s">
        <v>1385</v>
      </c>
      <c r="M7" t="s">
        <v>1400</v>
      </c>
      <c r="N7" t="s">
        <v>1414</v>
      </c>
      <c r="P7" t="s">
        <v>1447</v>
      </c>
      <c r="Q7" t="s">
        <v>1459</v>
      </c>
      <c r="R7" t="s">
        <v>1481</v>
      </c>
      <c r="S7" t="s">
        <v>1501</v>
      </c>
      <c r="T7" t="s">
        <v>1519</v>
      </c>
      <c r="U7" t="s">
        <v>1533</v>
      </c>
      <c r="V7" t="s">
        <v>1570</v>
      </c>
      <c r="W7" t="s">
        <v>1585</v>
      </c>
      <c r="X7" t="s">
        <v>1597</v>
      </c>
      <c r="Y7" t="s">
        <v>1613</v>
      </c>
      <c r="Z7" t="s">
        <v>1627</v>
      </c>
      <c r="AA7" t="s">
        <v>1653</v>
      </c>
      <c r="AB7" t="s">
        <v>1663</v>
      </c>
      <c r="AC7" t="s">
        <v>1672</v>
      </c>
      <c r="AE7" t="s">
        <v>1697</v>
      </c>
      <c r="AF7" t="s">
        <v>1711</v>
      </c>
      <c r="AG7" t="s">
        <v>1721</v>
      </c>
      <c r="AH7" t="s">
        <v>1741</v>
      </c>
      <c r="AI7" t="s">
        <v>1754</v>
      </c>
      <c r="AJ7" t="s">
        <v>1774</v>
      </c>
      <c r="AK7" t="s">
        <v>1787</v>
      </c>
      <c r="AL7" t="s">
        <v>1803</v>
      </c>
      <c r="AM7" t="s">
        <v>1810</v>
      </c>
      <c r="AO7" t="s">
        <v>1830</v>
      </c>
      <c r="AP7" t="s">
        <v>1847</v>
      </c>
      <c r="AQ7" t="s">
        <v>1863</v>
      </c>
      <c r="AR7" t="s">
        <v>1873</v>
      </c>
      <c r="AS7" t="s">
        <v>1882</v>
      </c>
      <c r="AT7" t="s">
        <v>1904</v>
      </c>
      <c r="AU7" t="s">
        <v>1921</v>
      </c>
      <c r="AV7" t="s">
        <v>1936</v>
      </c>
      <c r="AW7" t="s">
        <v>1968</v>
      </c>
      <c r="AX7" t="s">
        <v>1981</v>
      </c>
      <c r="AY7" t="s">
        <v>1994</v>
      </c>
      <c r="AZ7" t="s">
        <v>2005</v>
      </c>
      <c r="BA7" t="s">
        <v>2032</v>
      </c>
      <c r="BB7" t="s">
        <v>2049</v>
      </c>
      <c r="BC7" t="s">
        <v>2056</v>
      </c>
      <c r="BD7" t="s">
        <v>2075</v>
      </c>
      <c r="BE7" t="s">
        <v>2111</v>
      </c>
      <c r="BF7" t="s">
        <v>2129</v>
      </c>
      <c r="BG7" t="s">
        <v>2139</v>
      </c>
      <c r="BH7" t="s">
        <v>2154</v>
      </c>
      <c r="BI7" t="s">
        <v>2164</v>
      </c>
      <c r="BJ7" t="s">
        <v>2184</v>
      </c>
      <c r="BK7" t="s">
        <v>2204</v>
      </c>
      <c r="BL7" t="s">
        <v>2213</v>
      </c>
      <c r="BM7" t="s">
        <v>2220</v>
      </c>
      <c r="BN7" t="s">
        <v>2235</v>
      </c>
      <c r="BO7" t="s">
        <v>2254</v>
      </c>
      <c r="BP7" t="s">
        <v>2268</v>
      </c>
      <c r="BQ7" t="s">
        <v>2282</v>
      </c>
      <c r="BR7" t="s">
        <v>2305</v>
      </c>
      <c r="BS7" t="s">
        <v>2316</v>
      </c>
      <c r="BT7" t="s">
        <v>2340</v>
      </c>
      <c r="BU7" t="s">
        <v>2355</v>
      </c>
      <c r="BV7" t="s">
        <v>2375</v>
      </c>
      <c r="BW7" t="s">
        <v>2392</v>
      </c>
      <c r="BX7" t="s">
        <v>2398</v>
      </c>
      <c r="BY7" t="s">
        <v>2412</v>
      </c>
      <c r="BZ7" t="s">
        <v>2431</v>
      </c>
      <c r="CA7" t="s">
        <v>2438</v>
      </c>
      <c r="CB7" t="s">
        <v>2450</v>
      </c>
      <c r="CC7" t="s">
        <v>2472</v>
      </c>
      <c r="CD7" t="s">
        <v>2487</v>
      </c>
      <c r="CE7" t="s">
        <v>2500</v>
      </c>
      <c r="CF7" t="s">
        <v>2506</v>
      </c>
      <c r="CG7" t="s">
        <v>2527</v>
      </c>
      <c r="CH7" t="s">
        <v>2539</v>
      </c>
      <c r="CI7" t="s">
        <v>2547</v>
      </c>
      <c r="CJ7" t="s">
        <v>2557</v>
      </c>
      <c r="CL7" t="s">
        <v>2566</v>
      </c>
      <c r="CM7" t="s">
        <v>2574</v>
      </c>
      <c r="CN7" t="s">
        <v>2588</v>
      </c>
      <c r="CO7" t="s">
        <v>2595</v>
      </c>
      <c r="CP7" t="s">
        <v>2613</v>
      </c>
      <c r="CQ7" t="s">
        <v>2619</v>
      </c>
      <c r="CR7" t="s">
        <v>2625</v>
      </c>
      <c r="CS7" t="s">
        <v>2632</v>
      </c>
      <c r="CT7" t="s">
        <v>2647</v>
      </c>
      <c r="CU7" t="s">
        <v>2658</v>
      </c>
      <c r="CV7" t="s">
        <v>2677</v>
      </c>
      <c r="CW7" t="s">
        <v>2694</v>
      </c>
      <c r="CX7" t="s">
        <v>2725</v>
      </c>
      <c r="CY7" t="s">
        <v>2736</v>
      </c>
      <c r="CZ7" t="s">
        <v>2746</v>
      </c>
      <c r="DA7" t="s">
        <v>2757</v>
      </c>
      <c r="DB7" t="s">
        <v>2789</v>
      </c>
      <c r="DC7" t="s">
        <v>2800</v>
      </c>
      <c r="DD7" t="s">
        <v>2809</v>
      </c>
      <c r="DE7" t="s">
        <v>2821</v>
      </c>
      <c r="DF7" t="s">
        <v>2843</v>
      </c>
      <c r="DG7" t="s">
        <v>2880</v>
      </c>
      <c r="DH7" t="s">
        <v>2893</v>
      </c>
      <c r="DJ7" t="s">
        <v>2914</v>
      </c>
      <c r="DK7" t="s">
        <v>2936</v>
      </c>
      <c r="DL7" t="s">
        <v>2947</v>
      </c>
      <c r="DM7" t="s">
        <v>2955</v>
      </c>
      <c r="DN7" t="s">
        <v>2968</v>
      </c>
      <c r="DO7" t="s">
        <v>2981</v>
      </c>
      <c r="DP7" t="s">
        <v>2993</v>
      </c>
      <c r="DQ7" t="s">
        <v>3008</v>
      </c>
      <c r="DR7" t="s">
        <v>3017</v>
      </c>
      <c r="DS7" t="s">
        <v>3036</v>
      </c>
      <c r="DT7" t="s">
        <v>3053</v>
      </c>
      <c r="DU7" t="s">
        <v>3070</v>
      </c>
      <c r="DV7" t="s">
        <v>3076</v>
      </c>
      <c r="DW7" t="s">
        <v>3085</v>
      </c>
      <c r="DX7" t="s">
        <v>3100</v>
      </c>
      <c r="DY7" t="s">
        <v>3116</v>
      </c>
      <c r="DZ7" t="s">
        <v>3129</v>
      </c>
      <c r="EA7" t="s">
        <v>3148</v>
      </c>
      <c r="EB7" t="s">
        <v>3161</v>
      </c>
      <c r="EC7" t="s">
        <v>3180</v>
      </c>
      <c r="ED7" t="s">
        <v>3208</v>
      </c>
      <c r="EE7" t="s">
        <v>3223</v>
      </c>
      <c r="EF7" t="s">
        <v>3232</v>
      </c>
      <c r="EG7" t="s">
        <v>3254</v>
      </c>
      <c r="EH7" t="s">
        <v>3262</v>
      </c>
      <c r="EI7" t="s">
        <v>3282</v>
      </c>
      <c r="EJ7" t="s">
        <v>3293</v>
      </c>
      <c r="EK7" t="s">
        <v>3308</v>
      </c>
      <c r="EL7" t="s">
        <v>3324</v>
      </c>
      <c r="EM7" t="s">
        <v>3330</v>
      </c>
      <c r="EN7" t="s">
        <v>3339</v>
      </c>
      <c r="EO7" t="s">
        <v>3358</v>
      </c>
      <c r="EP7" t="s">
        <v>3366</v>
      </c>
      <c r="EQ7" t="s">
        <v>3373</v>
      </c>
      <c r="ER7" t="s">
        <v>3399</v>
      </c>
      <c r="ES7" t="s">
        <v>3419</v>
      </c>
      <c r="EU7" t="s">
        <v>3442</v>
      </c>
      <c r="EV7" t="s">
        <v>3451</v>
      </c>
      <c r="EW7" t="s">
        <v>3462</v>
      </c>
      <c r="EX7" t="s">
        <v>3476</v>
      </c>
      <c r="EY7" t="s">
        <v>3483</v>
      </c>
      <c r="EZ7" t="s">
        <v>3491</v>
      </c>
      <c r="FA7" t="s">
        <v>3497</v>
      </c>
      <c r="FB7" t="s">
        <v>3503</v>
      </c>
      <c r="FC7" t="s">
        <v>3515</v>
      </c>
      <c r="FD7" t="s">
        <v>3525</v>
      </c>
      <c r="FE7" t="s">
        <v>3541</v>
      </c>
      <c r="FF7" t="s">
        <v>3551</v>
      </c>
      <c r="FG7" t="s">
        <v>3565</v>
      </c>
      <c r="FH7" t="s">
        <v>3575</v>
      </c>
      <c r="FI7" t="s">
        <v>3595</v>
      </c>
      <c r="FJ7" t="s">
        <v>3606</v>
      </c>
      <c r="FK7" t="s">
        <v>3618</v>
      </c>
      <c r="FL7" t="s">
        <v>3641</v>
      </c>
      <c r="FM7" t="s">
        <v>3647</v>
      </c>
      <c r="FN7" t="s">
        <v>3658</v>
      </c>
      <c r="FO7" t="s">
        <v>3669</v>
      </c>
      <c r="FP7" t="s">
        <v>3685</v>
      </c>
      <c r="FQ7" t="s">
        <v>3691</v>
      </c>
      <c r="FR7" t="s">
        <v>3711</v>
      </c>
      <c r="FS7" t="s">
        <v>3720</v>
      </c>
      <c r="FT7" t="s">
        <v>3732</v>
      </c>
      <c r="FU7" t="s">
        <v>3748</v>
      </c>
      <c r="FV7" t="s">
        <v>3765</v>
      </c>
      <c r="FW7" t="s">
        <v>3780</v>
      </c>
      <c r="FX7" t="s">
        <v>3788</v>
      </c>
      <c r="FY7" t="s">
        <v>3807</v>
      </c>
      <c r="FZ7" t="s">
        <v>3814</v>
      </c>
      <c r="GA7" t="s">
        <v>3828</v>
      </c>
      <c r="GB7" t="s">
        <v>3837</v>
      </c>
      <c r="GD7" t="s">
        <v>3850</v>
      </c>
      <c r="GE7" t="s">
        <v>3858</v>
      </c>
      <c r="GF7" t="s">
        <v>3868</v>
      </c>
      <c r="GG7" t="s">
        <v>3887</v>
      </c>
      <c r="GH7" t="s">
        <v>3899</v>
      </c>
      <c r="GI7" t="s">
        <v>3908</v>
      </c>
      <c r="GJ7" t="s">
        <v>3915</v>
      </c>
      <c r="GK7" t="s">
        <v>3928</v>
      </c>
      <c r="GL7" t="s">
        <v>3946</v>
      </c>
      <c r="GM7" t="s">
        <v>3956</v>
      </c>
      <c r="GN7" t="s">
        <v>3966</v>
      </c>
      <c r="GO7" t="s">
        <v>3990</v>
      </c>
      <c r="GP7" t="s">
        <v>4009</v>
      </c>
      <c r="GQ7" t="s">
        <v>4047</v>
      </c>
      <c r="GR7" t="s">
        <v>4056</v>
      </c>
      <c r="GS7" t="s">
        <v>4066</v>
      </c>
      <c r="GT7" t="s">
        <v>4080</v>
      </c>
      <c r="GU7" t="s">
        <v>4103</v>
      </c>
      <c r="GV7" t="s">
        <v>4113</v>
      </c>
      <c r="GW7" t="s">
        <v>4146</v>
      </c>
      <c r="GX7" t="s">
        <v>4167</v>
      </c>
      <c r="GY7" t="s">
        <v>4184</v>
      </c>
      <c r="GZ7" t="s">
        <v>4196</v>
      </c>
      <c r="HA7" t="s">
        <v>4205</v>
      </c>
      <c r="HB7" t="s">
        <v>4218</v>
      </c>
      <c r="HC7" t="s">
        <v>4229</v>
      </c>
      <c r="HD7" t="s">
        <v>4243</v>
      </c>
      <c r="HE7" t="s">
        <v>4259</v>
      </c>
      <c r="HF7" t="s">
        <v>4288</v>
      </c>
      <c r="HG7" t="s">
        <v>4300</v>
      </c>
      <c r="HH7" t="s">
        <v>4331</v>
      </c>
      <c r="HI7" t="s">
        <v>4338</v>
      </c>
      <c r="HJ7" t="s">
        <v>4361</v>
      </c>
      <c r="HK7" t="s">
        <v>4381</v>
      </c>
      <c r="HL7" t="s">
        <v>4394</v>
      </c>
      <c r="HM7" t="s">
        <v>4409</v>
      </c>
      <c r="HN7" t="s">
        <v>4417</v>
      </c>
      <c r="HO7" t="s">
        <v>4424</v>
      </c>
      <c r="HP7" t="s">
        <v>4431</v>
      </c>
      <c r="HQ7" t="s">
        <v>4446</v>
      </c>
      <c r="HR7" t="s">
        <v>4462</v>
      </c>
      <c r="HS7" t="s">
        <v>4485</v>
      </c>
      <c r="HT7" t="s">
        <v>4494</v>
      </c>
      <c r="HU7" t="s">
        <v>4521</v>
      </c>
      <c r="HV7" t="s">
        <v>4531</v>
      </c>
      <c r="HW7" t="s">
        <v>4538</v>
      </c>
      <c r="HX7" t="s">
        <v>4548</v>
      </c>
      <c r="HY7" t="s">
        <v>4557</v>
      </c>
      <c r="HZ7" t="s">
        <v>4573</v>
      </c>
      <c r="IA7" t="s">
        <v>4581</v>
      </c>
      <c r="IB7" t="s">
        <v>4595</v>
      </c>
      <c r="IC7" t="s">
        <v>4604</v>
      </c>
      <c r="IE7" t="s">
        <v>4618</v>
      </c>
      <c r="IF7" t="s">
        <v>4628</v>
      </c>
      <c r="IH7" t="s">
        <v>4649</v>
      </c>
      <c r="II7" t="s">
        <v>4658</v>
      </c>
      <c r="IJ7" t="s">
        <v>4676</v>
      </c>
      <c r="IK7" t="s">
        <v>4700</v>
      </c>
      <c r="IL7" t="s">
        <v>4711</v>
      </c>
      <c r="IM7" t="s">
        <v>4717</v>
      </c>
      <c r="IN7" t="s">
        <v>4723</v>
      </c>
      <c r="IO7" t="s">
        <v>4742</v>
      </c>
      <c r="IP7" t="s">
        <v>4774</v>
      </c>
      <c r="IQ7" t="s">
        <v>4782</v>
      </c>
      <c r="IR7" t="s">
        <v>4799</v>
      </c>
      <c r="IS7" t="s">
        <v>4820</v>
      </c>
      <c r="IT7" t="s">
        <v>4831</v>
      </c>
      <c r="IU7" t="s">
        <v>4841</v>
      </c>
      <c r="IV7" t="s">
        <v>4852</v>
      </c>
      <c r="IW7" t="s">
        <v>4867</v>
      </c>
      <c r="IX7" t="s">
        <v>4878</v>
      </c>
      <c r="IY7" t="s">
        <v>4889</v>
      </c>
      <c r="IZ7" t="s">
        <v>4895</v>
      </c>
      <c r="JA7" t="s">
        <v>4901</v>
      </c>
      <c r="JB7" t="s">
        <v>4926</v>
      </c>
      <c r="JC7" t="s">
        <v>4936</v>
      </c>
      <c r="JD7" t="s">
        <v>4946</v>
      </c>
      <c r="JE7" t="s">
        <v>4956</v>
      </c>
      <c r="JF7" t="s">
        <v>4964</v>
      </c>
      <c r="JH7" t="s">
        <v>4987</v>
      </c>
      <c r="JI7" t="s">
        <v>4999</v>
      </c>
      <c r="JJ7" t="s">
        <v>5018</v>
      </c>
      <c r="JK7" t="s">
        <v>5029</v>
      </c>
      <c r="JL7" t="s">
        <v>5051</v>
      </c>
      <c r="JM7" t="s">
        <v>5073</v>
      </c>
      <c r="JN7" t="s">
        <v>5084</v>
      </c>
      <c r="JO7" t="s">
        <v>5107</v>
      </c>
      <c r="JP7" t="s">
        <v>5122</v>
      </c>
      <c r="JR7" t="s">
        <v>5141</v>
      </c>
      <c r="JS7" t="s">
        <v>5161</v>
      </c>
      <c r="JT7" t="s">
        <v>5172</v>
      </c>
      <c r="JU7" t="s">
        <v>5179</v>
      </c>
      <c r="JV7" t="s">
        <v>5185</v>
      </c>
      <c r="JW7" t="s">
        <v>5192</v>
      </c>
      <c r="JX7" t="s">
        <v>5202</v>
      </c>
      <c r="JY7" t="s">
        <v>5216</v>
      </c>
      <c r="JZ7" t="s">
        <v>5234</v>
      </c>
      <c r="KA7" t="s">
        <v>5240</v>
      </c>
      <c r="KB7" t="s">
        <v>5250</v>
      </c>
      <c r="KC7" t="s">
        <v>5257</v>
      </c>
      <c r="KD7" t="s">
        <v>5269</v>
      </c>
      <c r="KE7" t="s">
        <v>5278</v>
      </c>
      <c r="KF7" t="s">
        <v>5285</v>
      </c>
      <c r="KG7" t="s">
        <v>5294</v>
      </c>
      <c r="KH7" t="s">
        <v>5302</v>
      </c>
      <c r="KI7" t="s">
        <v>5316</v>
      </c>
      <c r="KJ7" t="s">
        <v>5328</v>
      </c>
      <c r="KK7" t="s">
        <v>5335</v>
      </c>
      <c r="KL7" t="s">
        <v>5363</v>
      </c>
      <c r="KM7" t="s">
        <v>5377</v>
      </c>
      <c r="KN7" t="s">
        <v>5391</v>
      </c>
      <c r="KO7" t="s">
        <v>5411</v>
      </c>
      <c r="KP7" t="s">
        <v>5427</v>
      </c>
      <c r="KQ7" t="s">
        <v>5445</v>
      </c>
      <c r="KR7" t="s">
        <v>5462</v>
      </c>
      <c r="KS7" t="s">
        <v>5475</v>
      </c>
      <c r="KU7" t="s">
        <v>5493</v>
      </c>
      <c r="KV7" t="s">
        <v>5505</v>
      </c>
      <c r="KW7" t="s">
        <v>5519</v>
      </c>
      <c r="KX7" t="s">
        <v>5526</v>
      </c>
      <c r="KY7" t="s">
        <v>5533</v>
      </c>
      <c r="KZ7" t="s">
        <v>5558</v>
      </c>
      <c r="LA7" t="s">
        <v>5569</v>
      </c>
      <c r="LB7" t="s">
        <v>5584</v>
      </c>
      <c r="LC7" t="s">
        <v>5597</v>
      </c>
      <c r="LD7" t="s">
        <v>5613</v>
      </c>
      <c r="LE7" t="s">
        <v>5622</v>
      </c>
      <c r="LF7" t="s">
        <v>5643</v>
      </c>
      <c r="LG7" t="s">
        <v>5672</v>
      </c>
      <c r="LH7" t="s">
        <v>5682</v>
      </c>
      <c r="LI7" t="s">
        <v>5690</v>
      </c>
      <c r="LJ7" t="s">
        <v>5702</v>
      </c>
      <c r="LK7" t="s">
        <v>5711</v>
      </c>
      <c r="LL7" t="s">
        <v>5723</v>
      </c>
      <c r="LM7" t="s">
        <v>5738</v>
      </c>
      <c r="LN7" t="s">
        <v>5746</v>
      </c>
      <c r="LO7" t="s">
        <v>5763</v>
      </c>
      <c r="LP7" t="s">
        <v>5776</v>
      </c>
      <c r="LQ7" t="s">
        <v>5801</v>
      </c>
      <c r="LR7" t="s">
        <v>5807</v>
      </c>
      <c r="LS7" t="s">
        <v>5815</v>
      </c>
      <c r="LT7" t="s">
        <v>5838</v>
      </c>
      <c r="LU7" t="s">
        <v>5848</v>
      </c>
      <c r="LV7" t="s">
        <v>5858</v>
      </c>
      <c r="LW7" t="s">
        <v>5871</v>
      </c>
      <c r="LX7" t="s">
        <v>5885</v>
      </c>
      <c r="LY7" t="s">
        <v>5898</v>
      </c>
      <c r="LZ7" t="s">
        <v>5908</v>
      </c>
      <c r="MA7" t="s">
        <v>5934</v>
      </c>
      <c r="MB7" t="s">
        <v>5947</v>
      </c>
      <c r="MC7" t="s">
        <v>5960</v>
      </c>
      <c r="MD7" t="s">
        <v>5975</v>
      </c>
      <c r="ME7" t="s">
        <v>5983</v>
      </c>
      <c r="MF7" t="s">
        <v>5992</v>
      </c>
      <c r="MG7" t="s">
        <v>5998</v>
      </c>
      <c r="MH7" t="s">
        <v>6011</v>
      </c>
      <c r="MI7" t="s">
        <v>6018</v>
      </c>
      <c r="MJ7" t="s">
        <v>6046</v>
      </c>
      <c r="MK7" t="s">
        <v>6054</v>
      </c>
      <c r="ML7" t="s">
        <v>6067</v>
      </c>
      <c r="MM7" t="s">
        <v>6076</v>
      </c>
      <c r="MN7" t="s">
        <v>6085</v>
      </c>
      <c r="MO7" t="s">
        <v>6095</v>
      </c>
      <c r="MQ7" t="s">
        <v>6111</v>
      </c>
      <c r="MR7" t="s">
        <v>6118</v>
      </c>
      <c r="MS7" t="s">
        <v>6125</v>
      </c>
      <c r="MT7" t="s">
        <v>6138</v>
      </c>
      <c r="MU7" t="s">
        <v>6155</v>
      </c>
      <c r="MV7" t="s">
        <v>6163</v>
      </c>
      <c r="MW7" t="s">
        <v>6171</v>
      </c>
      <c r="MX7" t="s">
        <v>6185</v>
      </c>
      <c r="MY7" t="s">
        <v>6198</v>
      </c>
      <c r="MZ7" t="s">
        <v>6208</v>
      </c>
      <c r="NA7" t="s">
        <v>6224</v>
      </c>
      <c r="NB7" t="s">
        <v>6237</v>
      </c>
      <c r="ND7" t="s">
        <v>6250</v>
      </c>
      <c r="NE7" t="s">
        <v>6267</v>
      </c>
      <c r="NF7" t="s">
        <v>6288</v>
      </c>
      <c r="NG7" t="s">
        <v>6298</v>
      </c>
      <c r="NH7" t="s">
        <v>6321</v>
      </c>
      <c r="NI7" t="s">
        <v>6334</v>
      </c>
      <c r="NJ7" t="s">
        <v>6351</v>
      </c>
      <c r="NK7" t="s">
        <v>6366</v>
      </c>
      <c r="NL7" t="s">
        <v>6386</v>
      </c>
      <c r="NM7" t="s">
        <v>6404</v>
      </c>
      <c r="NN7" t="s">
        <v>6427</v>
      </c>
      <c r="NO7" t="s">
        <v>6449</v>
      </c>
      <c r="NP7" t="s">
        <v>6465</v>
      </c>
      <c r="NQ7" t="s">
        <v>6489</v>
      </c>
      <c r="NR7" t="s">
        <v>6498</v>
      </c>
      <c r="NS7" t="s">
        <v>6515</v>
      </c>
      <c r="NT7" t="s">
        <v>6525</v>
      </c>
      <c r="NU7" t="s">
        <v>6535</v>
      </c>
      <c r="NV7" t="s">
        <v>6542</v>
      </c>
      <c r="NX7" t="s">
        <v>6560</v>
      </c>
      <c r="NY7" t="s">
        <v>6577</v>
      </c>
      <c r="NZ7" t="s">
        <v>6583</v>
      </c>
      <c r="OA7" t="s">
        <v>6598</v>
      </c>
      <c r="OB7" t="s">
        <v>6609</v>
      </c>
      <c r="OC7" t="s">
        <v>6630</v>
      </c>
      <c r="OD7" t="s">
        <v>6644</v>
      </c>
      <c r="OE7" t="s">
        <v>6651</v>
      </c>
      <c r="OF7" t="s">
        <v>6662</v>
      </c>
      <c r="OG7" t="s">
        <v>6677</v>
      </c>
      <c r="OH7" t="s">
        <v>6699</v>
      </c>
      <c r="OI7" t="s">
        <v>6725</v>
      </c>
      <c r="OJ7" t="s">
        <v>6739</v>
      </c>
      <c r="OK7" t="s">
        <v>6756</v>
      </c>
      <c r="OL7" t="s">
        <v>6774</v>
      </c>
      <c r="OM7" t="s">
        <v>6788</v>
      </c>
      <c r="ON7" t="s">
        <v>6798</v>
      </c>
      <c r="OO7" t="s">
        <v>6805</v>
      </c>
      <c r="OP7" t="s">
        <v>6816</v>
      </c>
      <c r="OQ7" t="s">
        <v>6826</v>
      </c>
      <c r="OR7" t="s">
        <v>6840</v>
      </c>
      <c r="OS7" t="s">
        <v>6848</v>
      </c>
      <c r="OT7" t="s">
        <v>6857</v>
      </c>
      <c r="OU7" t="s">
        <v>6865</v>
      </c>
      <c r="OV7" t="s">
        <v>6883</v>
      </c>
      <c r="OW7" t="s">
        <v>6899</v>
      </c>
      <c r="OX7" t="s">
        <v>6918</v>
      </c>
      <c r="OY7" t="s">
        <v>6927</v>
      </c>
      <c r="OZ7" t="s">
        <v>6942</v>
      </c>
      <c r="PA7" t="s">
        <v>6948</v>
      </c>
      <c r="PC7" t="s">
        <v>6981</v>
      </c>
      <c r="PD7" t="s">
        <v>6996</v>
      </c>
      <c r="PE7" t="s">
        <v>7008</v>
      </c>
      <c r="PF7" t="s">
        <v>7021</v>
      </c>
      <c r="PG7" t="s">
        <v>7036</v>
      </c>
      <c r="PH7" t="s">
        <v>7048</v>
      </c>
      <c r="PI7" t="s">
        <v>7060</v>
      </c>
      <c r="PJ7" t="s">
        <v>7071</v>
      </c>
      <c r="PK7" t="s">
        <v>7082</v>
      </c>
      <c r="PL7" t="s">
        <v>7088</v>
      </c>
      <c r="PM7" t="s">
        <v>7118</v>
      </c>
      <c r="PN7" t="s">
        <v>7125</v>
      </c>
      <c r="PO7" t="s">
        <v>7138</v>
      </c>
      <c r="PP7" t="s">
        <v>7150</v>
      </c>
      <c r="PQ7" t="s">
        <v>7165</v>
      </c>
      <c r="PR7" t="s">
        <v>7189</v>
      </c>
      <c r="PS7" t="s">
        <v>7205</v>
      </c>
      <c r="PT7" t="s">
        <v>7218</v>
      </c>
      <c r="PU7" t="s">
        <v>7242</v>
      </c>
      <c r="PV7" t="s">
        <v>7249</v>
      </c>
      <c r="PX7" t="s">
        <v>7267</v>
      </c>
      <c r="PY7" t="s">
        <v>7283</v>
      </c>
      <c r="PZ7" t="s">
        <v>7297</v>
      </c>
      <c r="QA7" t="s">
        <v>7310</v>
      </c>
      <c r="QB7" t="s">
        <v>7319</v>
      </c>
      <c r="QC7" t="s">
        <v>7337</v>
      </c>
      <c r="QD7" t="s">
        <v>7348</v>
      </c>
      <c r="QE7" t="s">
        <v>7357</v>
      </c>
      <c r="QF7" t="s">
        <v>7376</v>
      </c>
      <c r="QG7" t="s">
        <v>7392</v>
      </c>
      <c r="QH7" t="s">
        <v>7404</v>
      </c>
      <c r="QI7" t="s">
        <v>7411</v>
      </c>
      <c r="QJ7" t="s">
        <v>7434</v>
      </c>
      <c r="QK7" t="s">
        <v>7440</v>
      </c>
      <c r="QL7" t="s">
        <v>7449</v>
      </c>
      <c r="QM7" t="s">
        <v>7472</v>
      </c>
      <c r="QN7" t="s">
        <v>7484</v>
      </c>
      <c r="QO7" t="s">
        <v>7515</v>
      </c>
      <c r="QP7" t="s">
        <v>7530</v>
      </c>
      <c r="QQ7" t="s">
        <v>7540</v>
      </c>
      <c r="QR7" t="s">
        <v>7560</v>
      </c>
      <c r="QS7" t="s">
        <v>7570</v>
      </c>
      <c r="QT7" t="s">
        <v>7606</v>
      </c>
      <c r="QU7" t="s">
        <v>7616</v>
      </c>
      <c r="QV7" t="s">
        <v>7625</v>
      </c>
      <c r="QW7" t="s">
        <v>7636</v>
      </c>
      <c r="QX7" t="s">
        <v>7653</v>
      </c>
      <c r="QY7" t="s">
        <v>7661</v>
      </c>
      <c r="QZ7" t="s">
        <v>7681</v>
      </c>
      <c r="RA7" t="s">
        <v>7696</v>
      </c>
      <c r="RB7" t="s">
        <v>7712</v>
      </c>
      <c r="RC7" t="s">
        <v>7727</v>
      </c>
      <c r="RD7" t="s">
        <v>7759</v>
      </c>
      <c r="RE7" t="s">
        <v>7768</v>
      </c>
      <c r="RF7" t="s">
        <v>7781</v>
      </c>
      <c r="RG7" t="s">
        <v>7797</v>
      </c>
      <c r="RH7" t="s">
        <v>7806</v>
      </c>
      <c r="RI7" t="s">
        <v>7814</v>
      </c>
      <c r="RJ7" t="s">
        <v>7824</v>
      </c>
      <c r="RK7" t="s">
        <v>7840</v>
      </c>
      <c r="RL7" t="s">
        <v>7848</v>
      </c>
      <c r="RM7" t="s">
        <v>7855</v>
      </c>
      <c r="RN7" t="s">
        <v>7871</v>
      </c>
      <c r="RO7" t="s">
        <v>7888</v>
      </c>
      <c r="RP7" t="s">
        <v>7894</v>
      </c>
      <c r="RQ7" t="s">
        <v>7908</v>
      </c>
      <c r="RR7" t="s">
        <v>7924</v>
      </c>
      <c r="RS7" t="s">
        <v>7933</v>
      </c>
      <c r="RT7" t="s">
        <v>7942</v>
      </c>
      <c r="RU7" t="s">
        <v>7950</v>
      </c>
      <c r="RV7" t="s">
        <v>7963</v>
      </c>
      <c r="RW7" t="s">
        <v>7987</v>
      </c>
      <c r="RX7" t="s">
        <v>7998</v>
      </c>
      <c r="RY7" t="s">
        <v>8008</v>
      </c>
      <c r="RZ7" t="s">
        <v>8019</v>
      </c>
      <c r="SB7" t="s">
        <v>8059</v>
      </c>
      <c r="SC7" t="s">
        <v>8071</v>
      </c>
      <c r="SD7" t="s">
        <v>8084</v>
      </c>
      <c r="SE7" t="s">
        <v>8106</v>
      </c>
      <c r="SF7" t="s">
        <v>8115</v>
      </c>
      <c r="SG7" t="s">
        <v>8139</v>
      </c>
      <c r="SH7" t="s">
        <v>8145</v>
      </c>
      <c r="SI7" t="s">
        <v>8174</v>
      </c>
      <c r="SJ7" t="s">
        <v>8188</v>
      </c>
      <c r="SK7" t="s">
        <v>8209</v>
      </c>
      <c r="SL7" t="s">
        <v>8217</v>
      </c>
      <c r="SM7" t="s">
        <v>8227</v>
      </c>
      <c r="SN7" t="s">
        <v>8236</v>
      </c>
      <c r="SO7" t="s">
        <v>8243</v>
      </c>
      <c r="SP7" t="s">
        <v>8251</v>
      </c>
      <c r="SQ7" t="s">
        <v>8265</v>
      </c>
      <c r="SR7" t="s">
        <v>8272</v>
      </c>
      <c r="SS7" t="s">
        <v>8280</v>
      </c>
      <c r="ST7" t="s">
        <v>8294</v>
      </c>
      <c r="SU7" t="s">
        <v>8310</v>
      </c>
      <c r="SV7" t="s">
        <v>8336</v>
      </c>
      <c r="SW7" t="s">
        <v>8345</v>
      </c>
      <c r="SX7" t="s">
        <v>8358</v>
      </c>
      <c r="SY7" t="s">
        <v>8377</v>
      </c>
      <c r="SZ7" t="s">
        <v>8387</v>
      </c>
      <c r="TB7" t="s">
        <v>8407</v>
      </c>
      <c r="TC7" t="s">
        <v>8418</v>
      </c>
      <c r="TD7" t="s">
        <v>8429</v>
      </c>
      <c r="TE7" t="s">
        <v>8458</v>
      </c>
      <c r="TH7" t="s">
        <v>8479</v>
      </c>
      <c r="TI7" t="s">
        <v>8492</v>
      </c>
      <c r="TJ7" t="s">
        <v>8502</v>
      </c>
      <c r="TK7" t="s">
        <v>8509</v>
      </c>
      <c r="TL7" t="s">
        <v>8519</v>
      </c>
      <c r="TM7" t="s">
        <v>8534</v>
      </c>
      <c r="TN7" t="s">
        <v>8546</v>
      </c>
      <c r="TO7" t="s">
        <v>8556</v>
      </c>
      <c r="TP7" t="s">
        <v>8574</v>
      </c>
      <c r="TQ7" t="s">
        <v>8586</v>
      </c>
      <c r="TR7" t="s">
        <v>8600</v>
      </c>
      <c r="TS7" t="s">
        <v>8636</v>
      </c>
      <c r="TT7" t="s">
        <v>8648</v>
      </c>
      <c r="TU7" t="s">
        <v>8663</v>
      </c>
      <c r="TV7" t="s">
        <v>8673</v>
      </c>
      <c r="TW7" t="s">
        <v>8693</v>
      </c>
      <c r="TX7" t="s">
        <v>8710</v>
      </c>
      <c r="TY7" t="s">
        <v>8720</v>
      </c>
      <c r="TZ7" t="s">
        <v>8732</v>
      </c>
      <c r="UA7" t="s">
        <v>8749</v>
      </c>
      <c r="UB7" t="s">
        <v>8757</v>
      </c>
      <c r="UC7" t="s">
        <v>8777</v>
      </c>
      <c r="UD7" t="s">
        <v>8797</v>
      </c>
      <c r="UE7" t="s">
        <v>8803</v>
      </c>
      <c r="UF7" t="s">
        <v>8812</v>
      </c>
      <c r="UG7" t="s">
        <v>8836</v>
      </c>
      <c r="UH7" t="s">
        <v>8852</v>
      </c>
      <c r="UI7" t="s">
        <v>8888</v>
      </c>
      <c r="UJ7" t="s">
        <v>8901</v>
      </c>
      <c r="UK7" t="s">
        <v>8934</v>
      </c>
      <c r="UL7" t="s">
        <v>8950</v>
      </c>
      <c r="UM7" t="s">
        <v>8962</v>
      </c>
      <c r="UN7" t="s">
        <v>8970</v>
      </c>
      <c r="UO7" t="s">
        <v>8983</v>
      </c>
      <c r="UP7" t="s">
        <v>9003</v>
      </c>
      <c r="UQ7" t="s">
        <v>9012</v>
      </c>
      <c r="UR7" t="s">
        <v>9028</v>
      </c>
      <c r="US7" t="s">
        <v>9053</v>
      </c>
      <c r="UT7" t="s">
        <v>9069</v>
      </c>
      <c r="UU7" t="s">
        <v>9085</v>
      </c>
      <c r="UV7" t="s">
        <v>9093</v>
      </c>
      <c r="UW7" t="s">
        <v>9123</v>
      </c>
      <c r="UX7" t="s">
        <v>9134</v>
      </c>
      <c r="UY7" t="s">
        <v>9150</v>
      </c>
      <c r="UZ7" t="s">
        <v>9173</v>
      </c>
      <c r="VA7" t="s">
        <v>9190</v>
      </c>
      <c r="VB7" t="s">
        <v>9197</v>
      </c>
      <c r="VC7" t="s">
        <v>9206</v>
      </c>
      <c r="VD7" t="s">
        <v>9218</v>
      </c>
      <c r="VE7" t="s">
        <v>9230</v>
      </c>
      <c r="VF7" t="s">
        <v>9251</v>
      </c>
      <c r="VG7" t="s">
        <v>9268</v>
      </c>
      <c r="VH7" t="s">
        <v>9279</v>
      </c>
      <c r="VI7" t="s">
        <v>9295</v>
      </c>
      <c r="VJ7" t="s">
        <v>9315</v>
      </c>
      <c r="VK7" t="s">
        <v>9331</v>
      </c>
      <c r="VL7" t="s">
        <v>9347</v>
      </c>
      <c r="VM7" t="s">
        <v>9358</v>
      </c>
      <c r="VN7" t="s">
        <v>9366</v>
      </c>
      <c r="VO7" t="s">
        <v>9378</v>
      </c>
      <c r="VQ7" t="s">
        <v>9390</v>
      </c>
      <c r="VR7" t="s">
        <v>9404</v>
      </c>
      <c r="VS7" t="s">
        <v>9425</v>
      </c>
      <c r="VT7" t="s">
        <v>9441</v>
      </c>
      <c r="VU7" t="s">
        <v>9475</v>
      </c>
      <c r="VV7" t="s">
        <v>9482</v>
      </c>
      <c r="VW7" t="s">
        <v>9488</v>
      </c>
      <c r="VX7" t="s">
        <v>9495</v>
      </c>
      <c r="VY7" t="s">
        <v>9507</v>
      </c>
      <c r="VZ7" t="s">
        <v>9535</v>
      </c>
      <c r="WB7" t="s">
        <v>9549</v>
      </c>
      <c r="WC7" t="s">
        <v>9557</v>
      </c>
      <c r="WD7" t="s">
        <v>9573</v>
      </c>
      <c r="WE7" t="s">
        <v>9606</v>
      </c>
      <c r="WF7" t="s">
        <v>9615</v>
      </c>
      <c r="WG7" t="s">
        <v>9630</v>
      </c>
      <c r="WH7" t="s">
        <v>9643</v>
      </c>
      <c r="WI7" t="s">
        <v>9656</v>
      </c>
      <c r="WJ7" t="s">
        <v>9668</v>
      </c>
      <c r="WK7" t="s">
        <v>9688</v>
      </c>
      <c r="WL7" t="s">
        <v>9698</v>
      </c>
      <c r="WM7" t="s">
        <v>9718</v>
      </c>
      <c r="WN7" t="s">
        <v>9731</v>
      </c>
      <c r="WO7" t="s">
        <v>9744</v>
      </c>
      <c r="WP7" t="s">
        <v>9751</v>
      </c>
      <c r="WQ7" t="s">
        <v>9759</v>
      </c>
      <c r="WR7" t="s">
        <v>9768</v>
      </c>
      <c r="WS7" t="s">
        <v>9796</v>
      </c>
      <c r="WT7" t="s">
        <v>9831</v>
      </c>
      <c r="WU7" t="s">
        <v>9838</v>
      </c>
      <c r="WV7" t="s">
        <v>9865</v>
      </c>
      <c r="WW7" t="s">
        <v>9882</v>
      </c>
      <c r="WX7" t="s">
        <v>9895</v>
      </c>
      <c r="WY7" t="s">
        <v>9914</v>
      </c>
      <c r="WZ7" t="s">
        <v>9930</v>
      </c>
      <c r="XA7" t="s">
        <v>9940</v>
      </c>
      <c r="XB7" t="s">
        <v>9962</v>
      </c>
      <c r="XC7" t="s">
        <v>9976</v>
      </c>
      <c r="XD7" t="s">
        <v>9996</v>
      </c>
      <c r="XE7" t="s">
        <v>10010</v>
      </c>
      <c r="XF7" t="s">
        <v>10026</v>
      </c>
      <c r="XG7" t="s">
        <v>10046</v>
      </c>
      <c r="XH7" t="s">
        <v>10062</v>
      </c>
      <c r="XI7" t="s">
        <v>10080</v>
      </c>
      <c r="XJ7" t="s">
        <v>10098</v>
      </c>
      <c r="XK7" t="s">
        <v>10108</v>
      </c>
      <c r="XL7" t="s">
        <v>10121</v>
      </c>
      <c r="XM7" t="s">
        <v>10138</v>
      </c>
      <c r="XN7" t="s">
        <v>10158</v>
      </c>
      <c r="XO7" t="s">
        <v>10167</v>
      </c>
      <c r="XP7" t="s">
        <v>10179</v>
      </c>
      <c r="XQ7" t="s">
        <v>10191</v>
      </c>
      <c r="XR7" t="s">
        <v>10201</v>
      </c>
      <c r="XS7" t="s">
        <v>10222</v>
      </c>
      <c r="XT7" t="s">
        <v>10233</v>
      </c>
      <c r="XU7" t="s">
        <v>10251</v>
      </c>
      <c r="XV7" t="s">
        <v>10257</v>
      </c>
      <c r="XW7" t="s">
        <v>10267</v>
      </c>
      <c r="XX7" t="s">
        <v>10281</v>
      </c>
      <c r="XY7" t="s">
        <v>10293</v>
      </c>
      <c r="XZ7" t="s">
        <v>10311</v>
      </c>
      <c r="YA7" t="s">
        <v>10324</v>
      </c>
      <c r="YB7" t="s">
        <v>10336</v>
      </c>
      <c r="YC7" t="s">
        <v>10356</v>
      </c>
      <c r="YD7" t="s">
        <v>10385</v>
      </c>
      <c r="YE7" t="s">
        <v>10405</v>
      </c>
      <c r="YF7" t="s">
        <v>10423</v>
      </c>
      <c r="YG7" t="s">
        <v>10431</v>
      </c>
      <c r="YH7" t="s">
        <v>10445</v>
      </c>
      <c r="YI7" t="s">
        <v>10457</v>
      </c>
      <c r="YJ7" t="s">
        <v>10470</v>
      </c>
      <c r="YK7" t="s">
        <v>10493</v>
      </c>
      <c r="YL7" t="s">
        <v>10503</v>
      </c>
      <c r="YM7" t="s">
        <v>10512</v>
      </c>
      <c r="YN7" t="s">
        <v>10526</v>
      </c>
      <c r="YO7" t="s">
        <v>10534</v>
      </c>
      <c r="YP7" t="s">
        <v>10548</v>
      </c>
      <c r="YQ7" t="s">
        <v>10563</v>
      </c>
      <c r="YR7" t="s">
        <v>10579</v>
      </c>
      <c r="YS7" t="s">
        <v>10599</v>
      </c>
      <c r="YT7" t="s">
        <v>10613</v>
      </c>
      <c r="YU7" t="s">
        <v>10637</v>
      </c>
      <c r="YV7" t="s">
        <v>10657</v>
      </c>
      <c r="YW7" t="s">
        <v>10670</v>
      </c>
      <c r="YX7" t="s">
        <v>10690</v>
      </c>
      <c r="YY7" t="s">
        <v>10706</v>
      </c>
      <c r="YZ7" t="s">
        <v>10727</v>
      </c>
      <c r="ZA7" t="s">
        <v>10737</v>
      </c>
      <c r="ZB7" t="s">
        <v>10753</v>
      </c>
      <c r="ZC7" t="s">
        <v>10766</v>
      </c>
      <c r="ZD7" t="s">
        <v>10783</v>
      </c>
      <c r="ZE7" t="s">
        <v>10803</v>
      </c>
      <c r="ZF7" t="s">
        <v>10815</v>
      </c>
      <c r="ZG7" t="s">
        <v>10827</v>
      </c>
      <c r="ZH7" t="s">
        <v>10838</v>
      </c>
      <c r="ZI7" t="s">
        <v>10849</v>
      </c>
      <c r="ZJ7" t="s">
        <v>10869</v>
      </c>
      <c r="ZK7" t="s">
        <v>10880</v>
      </c>
      <c r="ZL7" t="s">
        <v>10898</v>
      </c>
      <c r="ZM7" t="s">
        <v>10913</v>
      </c>
      <c r="ZN7" t="s">
        <v>10925</v>
      </c>
      <c r="ZO7" t="s">
        <v>10936</v>
      </c>
      <c r="ZP7" t="s">
        <v>10953</v>
      </c>
      <c r="ZQ7" t="s">
        <v>10971</v>
      </c>
      <c r="ZR7" t="s">
        <v>10983</v>
      </c>
      <c r="ZS7" t="s">
        <v>10992</v>
      </c>
      <c r="ZT7" t="s">
        <v>11009</v>
      </c>
      <c r="ZU7" t="s">
        <v>11028</v>
      </c>
      <c r="ZV7" t="s">
        <v>11045</v>
      </c>
      <c r="ZW7" t="s">
        <v>11058</v>
      </c>
    </row>
    <row r="8" spans="1:699" x14ac:dyDescent="0.25">
      <c r="A8" t="s">
        <v>1237</v>
      </c>
      <c r="B8" t="s">
        <v>1249</v>
      </c>
      <c r="C8" t="s">
        <v>1258</v>
      </c>
      <c r="D8" t="s">
        <v>1269</v>
      </c>
      <c r="E8" t="s">
        <v>1284</v>
      </c>
      <c r="F8" t="s">
        <v>1302</v>
      </c>
      <c r="G8" t="s">
        <v>1323</v>
      </c>
      <c r="H8" t="s">
        <v>1339</v>
      </c>
      <c r="I8" t="s">
        <v>1348</v>
      </c>
      <c r="J8" t="s">
        <v>1370</v>
      </c>
      <c r="K8" t="s">
        <v>1377</v>
      </c>
      <c r="L8" t="s">
        <v>1386</v>
      </c>
      <c r="M8" t="s">
        <v>1401</v>
      </c>
      <c r="N8" t="s">
        <v>1415</v>
      </c>
      <c r="P8" t="s">
        <v>1448</v>
      </c>
      <c r="Q8" t="s">
        <v>1460</v>
      </c>
      <c r="R8" t="s">
        <v>1482</v>
      </c>
      <c r="S8" t="s">
        <v>1502</v>
      </c>
      <c r="T8" t="s">
        <v>1520</v>
      </c>
      <c r="U8" t="s">
        <v>1534</v>
      </c>
      <c r="V8" t="s">
        <v>1571</v>
      </c>
      <c r="W8" t="s">
        <v>1586</v>
      </c>
      <c r="X8" t="s">
        <v>1598</v>
      </c>
      <c r="Y8" t="s">
        <v>1614</v>
      </c>
      <c r="Z8" t="s">
        <v>1628</v>
      </c>
      <c r="AA8" t="s">
        <v>1654</v>
      </c>
      <c r="AB8" t="s">
        <v>1664</v>
      </c>
      <c r="AC8" t="s">
        <v>1673</v>
      </c>
      <c r="AE8" t="s">
        <v>1698</v>
      </c>
      <c r="AF8" t="s">
        <v>1712</v>
      </c>
      <c r="AG8" t="s">
        <v>1722</v>
      </c>
      <c r="AH8" t="s">
        <v>1742</v>
      </c>
      <c r="AI8" t="s">
        <v>1755</v>
      </c>
      <c r="AJ8" t="s">
        <v>1775</v>
      </c>
      <c r="AK8" t="s">
        <v>1788</v>
      </c>
      <c r="AL8" t="s">
        <v>1804</v>
      </c>
      <c r="AM8" t="s">
        <v>1811</v>
      </c>
      <c r="AO8" t="s">
        <v>1831</v>
      </c>
      <c r="AP8" t="s">
        <v>1848</v>
      </c>
      <c r="AQ8" t="s">
        <v>1864</v>
      </c>
      <c r="AR8" t="s">
        <v>1874</v>
      </c>
      <c r="AS8" t="s">
        <v>1883</v>
      </c>
      <c r="AT8" t="s">
        <v>1905</v>
      </c>
      <c r="AU8" t="s">
        <v>1922</v>
      </c>
      <c r="AV8" t="s">
        <v>1937</v>
      </c>
      <c r="AW8" t="s">
        <v>1969</v>
      </c>
      <c r="AX8" t="s">
        <v>1982</v>
      </c>
      <c r="AY8" t="s">
        <v>1995</v>
      </c>
      <c r="AZ8" t="s">
        <v>2006</v>
      </c>
      <c r="BA8" t="s">
        <v>2033</v>
      </c>
      <c r="BB8" t="s">
        <v>2050</v>
      </c>
      <c r="BC8" t="s">
        <v>2057</v>
      </c>
      <c r="BD8" t="s">
        <v>2076</v>
      </c>
      <c r="BE8" t="s">
        <v>2112</v>
      </c>
      <c r="BF8" t="s">
        <v>2130</v>
      </c>
      <c r="BG8" t="s">
        <v>2140</v>
      </c>
      <c r="BH8" t="s">
        <v>2155</v>
      </c>
      <c r="BI8" t="s">
        <v>2165</v>
      </c>
      <c r="BJ8" t="s">
        <v>2185</v>
      </c>
      <c r="BK8" t="s">
        <v>2205</v>
      </c>
      <c r="BL8" t="s">
        <v>2214</v>
      </c>
      <c r="BM8" t="s">
        <v>2221</v>
      </c>
      <c r="BN8" t="s">
        <v>2236</v>
      </c>
      <c r="BO8" t="s">
        <v>2255</v>
      </c>
      <c r="BP8" t="s">
        <v>2269</v>
      </c>
      <c r="BQ8" t="s">
        <v>2283</v>
      </c>
      <c r="BR8" t="s">
        <v>2306</v>
      </c>
      <c r="BS8" t="s">
        <v>2317</v>
      </c>
      <c r="BT8" t="s">
        <v>2341</v>
      </c>
      <c r="BU8" t="s">
        <v>2356</v>
      </c>
      <c r="BV8" t="s">
        <v>2376</v>
      </c>
      <c r="BX8" t="s">
        <v>2399</v>
      </c>
      <c r="BY8" t="s">
        <v>2413</v>
      </c>
      <c r="BZ8" t="s">
        <v>2432</v>
      </c>
      <c r="CA8" t="s">
        <v>2439</v>
      </c>
      <c r="CB8" t="s">
        <v>2451</v>
      </c>
      <c r="CC8" t="s">
        <v>2473</v>
      </c>
      <c r="CD8" t="s">
        <v>2488</v>
      </c>
      <c r="CF8" t="s">
        <v>2507</v>
      </c>
      <c r="CG8" t="s">
        <v>2528</v>
      </c>
      <c r="CH8" t="s">
        <v>2540</v>
      </c>
      <c r="CI8" t="s">
        <v>2548</v>
      </c>
      <c r="CJ8" t="s">
        <v>2558</v>
      </c>
      <c r="CL8" t="s">
        <v>2567</v>
      </c>
      <c r="CM8" t="s">
        <v>2575</v>
      </c>
      <c r="CN8" t="s">
        <v>2589</v>
      </c>
      <c r="CO8" t="s">
        <v>2596</v>
      </c>
      <c r="CR8" t="s">
        <v>2626</v>
      </c>
      <c r="CS8" t="s">
        <v>2633</v>
      </c>
      <c r="CT8" t="s">
        <v>2648</v>
      </c>
      <c r="CU8" t="s">
        <v>2659</v>
      </c>
      <c r="CV8" t="s">
        <v>2678</v>
      </c>
      <c r="CW8" t="s">
        <v>2695</v>
      </c>
      <c r="CX8" t="s">
        <v>2726</v>
      </c>
      <c r="CY8" t="s">
        <v>2737</v>
      </c>
      <c r="CZ8" t="s">
        <v>2747</v>
      </c>
      <c r="DA8" t="s">
        <v>2758</v>
      </c>
      <c r="DB8" t="s">
        <v>2790</v>
      </c>
      <c r="DC8" t="s">
        <v>2801</v>
      </c>
      <c r="DD8" t="s">
        <v>2810</v>
      </c>
      <c r="DE8" t="s">
        <v>2822</v>
      </c>
      <c r="DF8" t="s">
        <v>2844</v>
      </c>
      <c r="DG8" t="s">
        <v>2881</v>
      </c>
      <c r="DH8" t="s">
        <v>2894</v>
      </c>
      <c r="DJ8" t="s">
        <v>2915</v>
      </c>
      <c r="DK8" t="s">
        <v>2937</v>
      </c>
      <c r="DL8" t="s">
        <v>2948</v>
      </c>
      <c r="DM8" t="s">
        <v>2956</v>
      </c>
      <c r="DN8" t="s">
        <v>2969</v>
      </c>
      <c r="DO8" t="s">
        <v>2982</v>
      </c>
      <c r="DP8" t="s">
        <v>2994</v>
      </c>
      <c r="DQ8" t="s">
        <v>3009</v>
      </c>
      <c r="DR8" t="s">
        <v>3018</v>
      </c>
      <c r="DS8" t="s">
        <v>3037</v>
      </c>
      <c r="DT8" t="s">
        <v>3054</v>
      </c>
      <c r="DV8" t="s">
        <v>3077</v>
      </c>
      <c r="DW8" t="s">
        <v>3086</v>
      </c>
      <c r="DX8" t="s">
        <v>3101</v>
      </c>
      <c r="DY8" t="s">
        <v>3117</v>
      </c>
      <c r="DZ8" t="s">
        <v>3130</v>
      </c>
      <c r="EA8" t="s">
        <v>3149</v>
      </c>
      <c r="EB8" t="s">
        <v>3162</v>
      </c>
      <c r="EC8" t="s">
        <v>3181</v>
      </c>
      <c r="ED8" t="s">
        <v>3209</v>
      </c>
      <c r="EE8" t="s">
        <v>3224</v>
      </c>
      <c r="EF8" t="s">
        <v>3233</v>
      </c>
      <c r="EG8" t="s">
        <v>3255</v>
      </c>
      <c r="EH8" t="s">
        <v>3263</v>
      </c>
      <c r="EI8" t="s">
        <v>3283</v>
      </c>
      <c r="EJ8" t="s">
        <v>3294</v>
      </c>
      <c r="EK8" t="s">
        <v>3309</v>
      </c>
      <c r="EM8" t="s">
        <v>3331</v>
      </c>
      <c r="EN8" t="s">
        <v>3340</v>
      </c>
      <c r="EO8" t="s">
        <v>3359</v>
      </c>
      <c r="EP8" t="s">
        <v>3367</v>
      </c>
      <c r="EQ8" t="s">
        <v>3374</v>
      </c>
      <c r="ER8" t="s">
        <v>3400</v>
      </c>
      <c r="ES8" t="s">
        <v>3420</v>
      </c>
      <c r="EU8" t="s">
        <v>3443</v>
      </c>
      <c r="EV8" t="s">
        <v>3452</v>
      </c>
      <c r="EW8" t="s">
        <v>3463</v>
      </c>
      <c r="EX8" t="s">
        <v>3477</v>
      </c>
      <c r="EY8" t="s">
        <v>3484</v>
      </c>
      <c r="FB8" t="s">
        <v>3504</v>
      </c>
      <c r="FC8" t="s">
        <v>3516</v>
      </c>
      <c r="FD8" t="s">
        <v>3526</v>
      </c>
      <c r="FE8" t="s">
        <v>3542</v>
      </c>
      <c r="FF8" t="s">
        <v>3552</v>
      </c>
      <c r="FG8" t="s">
        <v>3566</v>
      </c>
      <c r="FH8" t="s">
        <v>3576</v>
      </c>
      <c r="FI8" t="s">
        <v>3596</v>
      </c>
      <c r="FJ8" t="s">
        <v>3607</v>
      </c>
      <c r="FK8" t="s">
        <v>3619</v>
      </c>
      <c r="FM8" t="s">
        <v>3648</v>
      </c>
      <c r="FN8" t="s">
        <v>3659</v>
      </c>
      <c r="FO8" t="s">
        <v>3670</v>
      </c>
      <c r="FQ8" t="s">
        <v>3692</v>
      </c>
      <c r="FR8" t="s">
        <v>3712</v>
      </c>
      <c r="FS8" t="s">
        <v>3721</v>
      </c>
      <c r="FT8" t="s">
        <v>3733</v>
      </c>
      <c r="FU8" t="s">
        <v>3749</v>
      </c>
      <c r="FV8" t="s">
        <v>3766</v>
      </c>
      <c r="FW8" t="s">
        <v>3781</v>
      </c>
      <c r="FX8" t="s">
        <v>3789</v>
      </c>
      <c r="FY8" t="s">
        <v>3808</v>
      </c>
      <c r="FZ8" t="s">
        <v>3815</v>
      </c>
      <c r="GA8" t="s">
        <v>3829</v>
      </c>
      <c r="GB8" t="s">
        <v>3838</v>
      </c>
      <c r="GD8" t="s">
        <v>3851</v>
      </c>
      <c r="GE8" t="s">
        <v>3859</v>
      </c>
      <c r="GF8" t="s">
        <v>3869</v>
      </c>
      <c r="GG8" t="s">
        <v>3888</v>
      </c>
      <c r="GH8" t="s">
        <v>3900</v>
      </c>
      <c r="GI8" t="s">
        <v>3909</v>
      </c>
      <c r="GJ8" t="s">
        <v>3916</v>
      </c>
      <c r="GK8" t="s">
        <v>3929</v>
      </c>
      <c r="GL8" t="s">
        <v>3947</v>
      </c>
      <c r="GM8" t="s">
        <v>3957</v>
      </c>
      <c r="GN8" t="s">
        <v>3967</v>
      </c>
      <c r="GO8" t="s">
        <v>3991</v>
      </c>
      <c r="GP8" t="s">
        <v>4010</v>
      </c>
      <c r="GQ8" t="s">
        <v>4048</v>
      </c>
      <c r="GR8" t="s">
        <v>4057</v>
      </c>
      <c r="GS8" t="s">
        <v>4067</v>
      </c>
      <c r="GT8" t="s">
        <v>4081</v>
      </c>
      <c r="GU8" t="s">
        <v>4104</v>
      </c>
      <c r="GV8" t="s">
        <v>4114</v>
      </c>
      <c r="GW8" t="s">
        <v>4147</v>
      </c>
      <c r="GX8" t="s">
        <v>4168</v>
      </c>
      <c r="GY8" t="s">
        <v>4185</v>
      </c>
      <c r="GZ8" t="s">
        <v>4197</v>
      </c>
      <c r="HA8" t="s">
        <v>4206</v>
      </c>
      <c r="HB8" t="s">
        <v>4219</v>
      </c>
      <c r="HC8" t="s">
        <v>4230</v>
      </c>
      <c r="HD8" t="s">
        <v>4244</v>
      </c>
      <c r="HE8" t="s">
        <v>4260</v>
      </c>
      <c r="HF8" t="s">
        <v>4289</v>
      </c>
      <c r="HG8" t="s">
        <v>4301</v>
      </c>
      <c r="HH8" t="s">
        <v>4332</v>
      </c>
      <c r="HI8" t="s">
        <v>4339</v>
      </c>
      <c r="HJ8" t="s">
        <v>4362</v>
      </c>
      <c r="HK8" t="s">
        <v>4382</v>
      </c>
      <c r="HL8" t="s">
        <v>4395</v>
      </c>
      <c r="HM8" t="s">
        <v>4410</v>
      </c>
      <c r="HN8" t="s">
        <v>4418</v>
      </c>
      <c r="HO8" t="s">
        <v>4425</v>
      </c>
      <c r="HP8" t="s">
        <v>4432</v>
      </c>
      <c r="HQ8" t="s">
        <v>4447</v>
      </c>
      <c r="HR8" t="s">
        <v>4463</v>
      </c>
      <c r="HS8" t="s">
        <v>4486</v>
      </c>
      <c r="HT8" t="s">
        <v>4495</v>
      </c>
      <c r="HU8" t="s">
        <v>4522</v>
      </c>
      <c r="HV8" t="s">
        <v>4532</v>
      </c>
      <c r="HW8" t="s">
        <v>4539</v>
      </c>
      <c r="HX8" t="s">
        <v>4549</v>
      </c>
      <c r="HY8" t="s">
        <v>4558</v>
      </c>
      <c r="HZ8" t="s">
        <v>4574</v>
      </c>
      <c r="IA8" t="s">
        <v>4582</v>
      </c>
      <c r="IB8" t="s">
        <v>4596</v>
      </c>
      <c r="IC8" t="s">
        <v>4605</v>
      </c>
      <c r="IE8" t="s">
        <v>4619</v>
      </c>
      <c r="IF8" t="s">
        <v>4629</v>
      </c>
      <c r="IH8" t="s">
        <v>4650</v>
      </c>
      <c r="II8" t="s">
        <v>4659</v>
      </c>
      <c r="IJ8" t="s">
        <v>4677</v>
      </c>
      <c r="IK8" t="s">
        <v>4701</v>
      </c>
      <c r="IN8" t="s">
        <v>4724</v>
      </c>
      <c r="IO8" t="s">
        <v>4743</v>
      </c>
      <c r="IP8" t="s">
        <v>4775</v>
      </c>
      <c r="IQ8" t="s">
        <v>4783</v>
      </c>
      <c r="IR8" t="s">
        <v>4800</v>
      </c>
      <c r="IS8" t="s">
        <v>4821</v>
      </c>
      <c r="IT8" t="s">
        <v>4832</v>
      </c>
      <c r="IU8" t="s">
        <v>4842</v>
      </c>
      <c r="IV8" t="s">
        <v>4853</v>
      </c>
      <c r="IW8" t="s">
        <v>4868</v>
      </c>
      <c r="IX8" t="s">
        <v>4879</v>
      </c>
      <c r="JA8" t="s">
        <v>4902</v>
      </c>
      <c r="JB8" t="s">
        <v>4927</v>
      </c>
      <c r="JC8" t="s">
        <v>4937</v>
      </c>
      <c r="JD8" t="s">
        <v>4947</v>
      </c>
      <c r="JE8" t="s">
        <v>4957</v>
      </c>
      <c r="JF8" t="s">
        <v>4965</v>
      </c>
      <c r="JH8" t="s">
        <v>4988</v>
      </c>
      <c r="JI8" t="s">
        <v>5000</v>
      </c>
      <c r="JJ8" t="s">
        <v>5019</v>
      </c>
      <c r="JK8" t="s">
        <v>5030</v>
      </c>
      <c r="JL8" t="s">
        <v>5052</v>
      </c>
      <c r="JM8" t="s">
        <v>5074</v>
      </c>
      <c r="JN8" t="s">
        <v>5085</v>
      </c>
      <c r="JO8" t="s">
        <v>5108</v>
      </c>
      <c r="JP8" t="s">
        <v>5123</v>
      </c>
      <c r="JR8" t="s">
        <v>5142</v>
      </c>
      <c r="JS8" t="s">
        <v>5162</v>
      </c>
      <c r="JT8" t="s">
        <v>5173</v>
      </c>
      <c r="JV8" t="s">
        <v>5186</v>
      </c>
      <c r="JW8" t="s">
        <v>5193</v>
      </c>
      <c r="JX8" t="s">
        <v>5203</v>
      </c>
      <c r="JY8" t="s">
        <v>5217</v>
      </c>
      <c r="KA8" t="s">
        <v>5241</v>
      </c>
      <c r="KB8" t="s">
        <v>5251</v>
      </c>
      <c r="KC8" t="s">
        <v>5258</v>
      </c>
      <c r="KD8" t="s">
        <v>5270</v>
      </c>
      <c r="KE8" t="s">
        <v>5279</v>
      </c>
      <c r="KF8" t="s">
        <v>5286</v>
      </c>
      <c r="KG8" t="s">
        <v>5295</v>
      </c>
      <c r="KH8" t="s">
        <v>5303</v>
      </c>
      <c r="KI8" t="s">
        <v>5317</v>
      </c>
      <c r="KJ8" t="s">
        <v>5329</v>
      </c>
      <c r="KK8" t="s">
        <v>5336</v>
      </c>
      <c r="KL8" t="s">
        <v>5364</v>
      </c>
      <c r="KM8" t="s">
        <v>5378</v>
      </c>
      <c r="KN8" t="s">
        <v>5392</v>
      </c>
      <c r="KO8" t="s">
        <v>5412</v>
      </c>
      <c r="KP8" t="s">
        <v>5428</v>
      </c>
      <c r="KQ8" t="s">
        <v>5446</v>
      </c>
      <c r="KR8" t="s">
        <v>5463</v>
      </c>
      <c r="KS8" t="s">
        <v>5476</v>
      </c>
      <c r="KU8" t="s">
        <v>5494</v>
      </c>
      <c r="KV8" t="s">
        <v>5506</v>
      </c>
      <c r="KW8" t="s">
        <v>5520</v>
      </c>
      <c r="KX8" t="s">
        <v>5527</v>
      </c>
      <c r="KY8" t="s">
        <v>5534</v>
      </c>
      <c r="KZ8" t="s">
        <v>5559</v>
      </c>
      <c r="LA8" t="s">
        <v>5570</v>
      </c>
      <c r="LB8" t="s">
        <v>5585</v>
      </c>
      <c r="LC8" t="s">
        <v>5598</v>
      </c>
      <c r="LD8" t="s">
        <v>5614</v>
      </c>
      <c r="LE8" t="s">
        <v>5623</v>
      </c>
      <c r="LF8" t="s">
        <v>5644</v>
      </c>
      <c r="LG8" t="s">
        <v>5673</v>
      </c>
      <c r="LH8" t="s">
        <v>5683</v>
      </c>
      <c r="LI8" t="s">
        <v>5691</v>
      </c>
      <c r="LJ8" t="s">
        <v>5703</v>
      </c>
      <c r="LK8" t="s">
        <v>5712</v>
      </c>
      <c r="LL8" t="s">
        <v>5724</v>
      </c>
      <c r="LM8" t="s">
        <v>5739</v>
      </c>
      <c r="LN8" t="s">
        <v>5747</v>
      </c>
      <c r="LO8" t="s">
        <v>5764</v>
      </c>
      <c r="LP8" t="s">
        <v>5777</v>
      </c>
      <c r="LR8" t="s">
        <v>5808</v>
      </c>
      <c r="LS8" t="s">
        <v>5816</v>
      </c>
      <c r="LT8" t="s">
        <v>5839</v>
      </c>
      <c r="LU8" t="s">
        <v>5849</v>
      </c>
      <c r="LV8" t="s">
        <v>5859</v>
      </c>
      <c r="LW8" t="s">
        <v>5872</v>
      </c>
      <c r="LX8" t="s">
        <v>5886</v>
      </c>
      <c r="LY8" t="s">
        <v>5899</v>
      </c>
      <c r="LZ8" t="s">
        <v>5909</v>
      </c>
      <c r="MA8" t="s">
        <v>5935</v>
      </c>
      <c r="MB8" t="s">
        <v>5948</v>
      </c>
      <c r="MC8" t="s">
        <v>5961</v>
      </c>
      <c r="MD8" t="s">
        <v>5976</v>
      </c>
      <c r="ME8" t="s">
        <v>5984</v>
      </c>
      <c r="MG8" t="s">
        <v>5999</v>
      </c>
      <c r="MH8" t="s">
        <v>6012</v>
      </c>
      <c r="MI8" t="s">
        <v>6019</v>
      </c>
      <c r="MJ8" t="s">
        <v>6047</v>
      </c>
      <c r="MK8" t="s">
        <v>6055</v>
      </c>
      <c r="ML8" t="s">
        <v>6068</v>
      </c>
      <c r="MM8" t="s">
        <v>6077</v>
      </c>
      <c r="MN8" t="s">
        <v>6086</v>
      </c>
      <c r="MO8" t="s">
        <v>6096</v>
      </c>
      <c r="MQ8" t="s">
        <v>6112</v>
      </c>
      <c r="MR8" t="s">
        <v>6119</v>
      </c>
      <c r="MS8" t="s">
        <v>6126</v>
      </c>
      <c r="MT8" t="s">
        <v>6139</v>
      </c>
      <c r="MU8" t="s">
        <v>6156</v>
      </c>
      <c r="MV8" t="s">
        <v>6164</v>
      </c>
      <c r="MW8" t="s">
        <v>6172</v>
      </c>
      <c r="MX8" t="s">
        <v>6186</v>
      </c>
      <c r="MY8" t="s">
        <v>6199</v>
      </c>
      <c r="MZ8" t="s">
        <v>6209</v>
      </c>
      <c r="NA8" t="s">
        <v>6225</v>
      </c>
      <c r="NB8" t="s">
        <v>6238</v>
      </c>
      <c r="ND8" t="s">
        <v>6251</v>
      </c>
      <c r="NE8" t="s">
        <v>6268</v>
      </c>
      <c r="NF8" t="s">
        <v>6289</v>
      </c>
      <c r="NG8" t="s">
        <v>6299</v>
      </c>
      <c r="NH8" t="s">
        <v>6322</v>
      </c>
      <c r="NI8" t="s">
        <v>6335</v>
      </c>
      <c r="NJ8" t="s">
        <v>6352</v>
      </c>
      <c r="NK8" t="s">
        <v>6367</v>
      </c>
      <c r="NL8" t="s">
        <v>6387</v>
      </c>
      <c r="NM8" t="s">
        <v>6405</v>
      </c>
      <c r="NN8" t="s">
        <v>6428</v>
      </c>
      <c r="NO8" t="s">
        <v>6450</v>
      </c>
      <c r="NP8" t="s">
        <v>6466</v>
      </c>
      <c r="NQ8" t="s">
        <v>6490</v>
      </c>
      <c r="NR8" t="s">
        <v>6499</v>
      </c>
      <c r="NS8" t="s">
        <v>6516</v>
      </c>
      <c r="NT8" t="s">
        <v>6526</v>
      </c>
      <c r="NU8" t="s">
        <v>6536</v>
      </c>
      <c r="NV8" t="s">
        <v>6543</v>
      </c>
      <c r="NX8" t="s">
        <v>6561</v>
      </c>
      <c r="NZ8" t="s">
        <v>6584</v>
      </c>
      <c r="OA8" t="s">
        <v>6599</v>
      </c>
      <c r="OB8" t="s">
        <v>6610</v>
      </c>
      <c r="OC8" t="s">
        <v>6631</v>
      </c>
      <c r="OD8" t="s">
        <v>6645</v>
      </c>
      <c r="OE8" t="s">
        <v>6652</v>
      </c>
      <c r="OF8" t="s">
        <v>6663</v>
      </c>
      <c r="OG8" t="s">
        <v>6678</v>
      </c>
      <c r="OH8" t="s">
        <v>6700</v>
      </c>
      <c r="OI8" t="s">
        <v>6726</v>
      </c>
      <c r="OJ8" t="s">
        <v>6740</v>
      </c>
      <c r="OK8" t="s">
        <v>6757</v>
      </c>
      <c r="OL8" t="s">
        <v>6775</v>
      </c>
      <c r="OM8" t="s">
        <v>6789</v>
      </c>
      <c r="ON8" t="s">
        <v>6799</v>
      </c>
      <c r="OO8" t="s">
        <v>6806</v>
      </c>
      <c r="OP8" t="s">
        <v>6817</v>
      </c>
      <c r="OQ8" t="s">
        <v>6827</v>
      </c>
      <c r="OR8" t="s">
        <v>6841</v>
      </c>
      <c r="OS8" t="s">
        <v>6849</v>
      </c>
      <c r="OT8" t="s">
        <v>6858</v>
      </c>
      <c r="OU8" t="s">
        <v>6866</v>
      </c>
      <c r="OV8" t="s">
        <v>6884</v>
      </c>
      <c r="OW8" t="s">
        <v>6900</v>
      </c>
      <c r="OX8" t="s">
        <v>6919</v>
      </c>
      <c r="OY8" t="s">
        <v>6928</v>
      </c>
      <c r="PA8" t="s">
        <v>6949</v>
      </c>
      <c r="PC8" t="s">
        <v>6982</v>
      </c>
      <c r="PD8" t="s">
        <v>6997</v>
      </c>
      <c r="PE8" t="s">
        <v>7009</v>
      </c>
      <c r="PF8" t="s">
        <v>7022</v>
      </c>
      <c r="PG8" t="s">
        <v>7037</v>
      </c>
      <c r="PH8" t="s">
        <v>7049</v>
      </c>
      <c r="PI8" t="s">
        <v>7061</v>
      </c>
      <c r="PJ8" t="s">
        <v>7072</v>
      </c>
      <c r="PL8" t="s">
        <v>7089</v>
      </c>
      <c r="PM8" t="s">
        <v>7119</v>
      </c>
      <c r="PN8" t="s">
        <v>7126</v>
      </c>
      <c r="PO8" t="s">
        <v>7139</v>
      </c>
      <c r="PP8" t="s">
        <v>7151</v>
      </c>
      <c r="PQ8" t="s">
        <v>7166</v>
      </c>
      <c r="PR8" t="s">
        <v>7190</v>
      </c>
      <c r="PS8" t="s">
        <v>7206</v>
      </c>
      <c r="PT8" t="s">
        <v>7219</v>
      </c>
      <c r="PU8" t="s">
        <v>7243</v>
      </c>
      <c r="PV8" t="s">
        <v>7250</v>
      </c>
      <c r="PX8" t="s">
        <v>7268</v>
      </c>
      <c r="PY8" t="s">
        <v>7284</v>
      </c>
      <c r="PZ8" t="s">
        <v>7298</v>
      </c>
      <c r="QA8" t="s">
        <v>7311</v>
      </c>
      <c r="QB8" t="s">
        <v>7320</v>
      </c>
      <c r="QC8" t="s">
        <v>7338</v>
      </c>
      <c r="QD8" t="s">
        <v>7349</v>
      </c>
      <c r="QE8" t="s">
        <v>7358</v>
      </c>
      <c r="QF8" t="s">
        <v>7377</v>
      </c>
      <c r="QG8" t="s">
        <v>7393</v>
      </c>
      <c r="QH8" t="s">
        <v>7405</v>
      </c>
      <c r="QI8" t="s">
        <v>7412</v>
      </c>
      <c r="QK8" t="s">
        <v>7441</v>
      </c>
      <c r="QL8" t="s">
        <v>7450</v>
      </c>
      <c r="QM8" t="s">
        <v>7473</v>
      </c>
      <c r="QN8" t="s">
        <v>7485</v>
      </c>
      <c r="QO8" t="s">
        <v>7516</v>
      </c>
      <c r="QP8" t="s">
        <v>7531</v>
      </c>
      <c r="QQ8" t="s">
        <v>7541</v>
      </c>
      <c r="QR8" t="s">
        <v>7561</v>
      </c>
      <c r="QS8" t="s">
        <v>7571</v>
      </c>
      <c r="QT8" t="s">
        <v>7607</v>
      </c>
      <c r="QU8" t="s">
        <v>7617</v>
      </c>
      <c r="QV8" t="s">
        <v>7626</v>
      </c>
      <c r="QW8" t="s">
        <v>7637</v>
      </c>
      <c r="QX8" t="s">
        <v>7654</v>
      </c>
      <c r="QY8" t="s">
        <v>7662</v>
      </c>
      <c r="QZ8" t="s">
        <v>7682</v>
      </c>
      <c r="RA8" t="s">
        <v>7697</v>
      </c>
      <c r="RB8" t="s">
        <v>7713</v>
      </c>
      <c r="RC8" t="s">
        <v>7728</v>
      </c>
      <c r="RD8" t="s">
        <v>7760</v>
      </c>
      <c r="RE8" t="s">
        <v>7769</v>
      </c>
      <c r="RF8" t="s">
        <v>7782</v>
      </c>
      <c r="RG8" t="s">
        <v>7798</v>
      </c>
      <c r="RH8" t="s">
        <v>7807</v>
      </c>
      <c r="RI8" t="s">
        <v>7815</v>
      </c>
      <c r="RJ8" t="s">
        <v>7825</v>
      </c>
      <c r="RK8" t="s">
        <v>7841</v>
      </c>
      <c r="RL8" t="s">
        <v>7849</v>
      </c>
      <c r="RM8" t="s">
        <v>7856</v>
      </c>
      <c r="RN8" t="s">
        <v>7872</v>
      </c>
      <c r="RP8" t="s">
        <v>7895</v>
      </c>
      <c r="RQ8" t="s">
        <v>7909</v>
      </c>
      <c r="RR8" t="s">
        <v>7925</v>
      </c>
      <c r="RS8" t="s">
        <v>7934</v>
      </c>
      <c r="RT8" t="s">
        <v>7943</v>
      </c>
      <c r="RU8" t="s">
        <v>7951</v>
      </c>
      <c r="RV8" t="s">
        <v>7964</v>
      </c>
      <c r="RW8" t="s">
        <v>7988</v>
      </c>
      <c r="RX8" t="s">
        <v>7999</v>
      </c>
      <c r="RY8" t="s">
        <v>8009</v>
      </c>
      <c r="RZ8" t="s">
        <v>8020</v>
      </c>
      <c r="SB8" t="s">
        <v>8060</v>
      </c>
      <c r="SC8" t="s">
        <v>8072</v>
      </c>
      <c r="SD8" t="s">
        <v>8085</v>
      </c>
      <c r="SE8" t="s">
        <v>8107</v>
      </c>
      <c r="SF8" t="s">
        <v>8116</v>
      </c>
      <c r="SH8" t="s">
        <v>8146</v>
      </c>
      <c r="SI8" t="s">
        <v>8175</v>
      </c>
      <c r="SJ8" t="s">
        <v>8189</v>
      </c>
      <c r="SK8" t="s">
        <v>8210</v>
      </c>
      <c r="SL8" t="s">
        <v>8218</v>
      </c>
      <c r="SM8" t="s">
        <v>8228</v>
      </c>
      <c r="SN8" t="s">
        <v>8237</v>
      </c>
      <c r="SO8" t="s">
        <v>8244</v>
      </c>
      <c r="SP8" t="s">
        <v>8252</v>
      </c>
      <c r="SQ8" t="s">
        <v>8266</v>
      </c>
      <c r="SR8" t="s">
        <v>8273</v>
      </c>
      <c r="SS8" t="s">
        <v>8281</v>
      </c>
      <c r="ST8" t="s">
        <v>8295</v>
      </c>
      <c r="SU8" t="s">
        <v>8311</v>
      </c>
      <c r="SV8" t="s">
        <v>8337</v>
      </c>
      <c r="SW8" t="s">
        <v>8346</v>
      </c>
      <c r="SX8" t="s">
        <v>8359</v>
      </c>
      <c r="SY8" t="s">
        <v>8378</v>
      </c>
      <c r="SZ8" t="s">
        <v>8388</v>
      </c>
      <c r="TB8" t="s">
        <v>8408</v>
      </c>
      <c r="TC8" t="s">
        <v>8419</v>
      </c>
      <c r="TD8" t="s">
        <v>8430</v>
      </c>
      <c r="TE8" t="s">
        <v>8459</v>
      </c>
      <c r="TH8" t="s">
        <v>8480</v>
      </c>
      <c r="TI8" t="s">
        <v>8493</v>
      </c>
      <c r="TJ8" t="s">
        <v>8503</v>
      </c>
      <c r="TK8" t="s">
        <v>8510</v>
      </c>
      <c r="TL8" t="s">
        <v>8520</v>
      </c>
      <c r="TM8" t="s">
        <v>8535</v>
      </c>
      <c r="TN8" t="s">
        <v>8547</v>
      </c>
      <c r="TO8" t="s">
        <v>8557</v>
      </c>
      <c r="TP8" t="s">
        <v>8575</v>
      </c>
      <c r="TQ8" t="s">
        <v>8587</v>
      </c>
      <c r="TR8" t="s">
        <v>8601</v>
      </c>
      <c r="TS8" t="s">
        <v>8637</v>
      </c>
      <c r="TT8" t="s">
        <v>8649</v>
      </c>
      <c r="TU8" t="s">
        <v>8664</v>
      </c>
      <c r="TV8" t="s">
        <v>8674</v>
      </c>
      <c r="TW8" t="s">
        <v>8694</v>
      </c>
      <c r="TX8" t="s">
        <v>8711</v>
      </c>
      <c r="TY8" t="s">
        <v>8721</v>
      </c>
      <c r="TZ8" t="s">
        <v>8733</v>
      </c>
      <c r="UA8" t="s">
        <v>8750</v>
      </c>
      <c r="UB8" t="s">
        <v>8758</v>
      </c>
      <c r="UC8" t="s">
        <v>8778</v>
      </c>
      <c r="UE8" t="s">
        <v>8804</v>
      </c>
      <c r="UF8" t="s">
        <v>8813</v>
      </c>
      <c r="UG8" t="s">
        <v>8837</v>
      </c>
      <c r="UH8" t="s">
        <v>8853</v>
      </c>
      <c r="UI8" t="s">
        <v>8889</v>
      </c>
      <c r="UJ8" t="s">
        <v>8902</v>
      </c>
      <c r="UK8" t="s">
        <v>8935</v>
      </c>
      <c r="UL8" t="s">
        <v>8951</v>
      </c>
      <c r="UM8" t="s">
        <v>8963</v>
      </c>
      <c r="UN8" t="s">
        <v>8971</v>
      </c>
      <c r="UO8" t="s">
        <v>8984</v>
      </c>
      <c r="UP8" t="s">
        <v>9004</v>
      </c>
      <c r="UQ8" t="s">
        <v>9013</v>
      </c>
      <c r="UR8" t="s">
        <v>9029</v>
      </c>
      <c r="US8" t="s">
        <v>9054</v>
      </c>
      <c r="UT8" t="s">
        <v>9070</v>
      </c>
      <c r="UU8" t="s">
        <v>9086</v>
      </c>
      <c r="UV8" t="s">
        <v>9094</v>
      </c>
      <c r="UW8" t="s">
        <v>9124</v>
      </c>
      <c r="UX8" t="s">
        <v>9135</v>
      </c>
      <c r="UY8" t="s">
        <v>9151</v>
      </c>
      <c r="UZ8" t="s">
        <v>9174</v>
      </c>
      <c r="VA8" t="s">
        <v>9191</v>
      </c>
      <c r="VB8" t="s">
        <v>9198</v>
      </c>
      <c r="VC8" t="s">
        <v>9207</v>
      </c>
      <c r="VD8" t="s">
        <v>9219</v>
      </c>
      <c r="VE8" t="s">
        <v>9231</v>
      </c>
      <c r="VF8" t="s">
        <v>9252</v>
      </c>
      <c r="VG8" t="s">
        <v>9269</v>
      </c>
      <c r="VH8" t="s">
        <v>9280</v>
      </c>
      <c r="VI8" t="s">
        <v>9296</v>
      </c>
      <c r="VJ8" t="s">
        <v>9316</v>
      </c>
      <c r="VK8" t="s">
        <v>9332</v>
      </c>
      <c r="VL8" t="s">
        <v>9348</v>
      </c>
      <c r="VM8" t="s">
        <v>9359</v>
      </c>
      <c r="VN8" t="s">
        <v>9367</v>
      </c>
      <c r="VO8" t="s">
        <v>9379</v>
      </c>
      <c r="VQ8" t="s">
        <v>9391</v>
      </c>
      <c r="VR8" t="s">
        <v>9405</v>
      </c>
      <c r="VS8" t="s">
        <v>9426</v>
      </c>
      <c r="VT8" t="s">
        <v>9442</v>
      </c>
      <c r="VU8" t="s">
        <v>9476</v>
      </c>
      <c r="VW8" t="s">
        <v>9489</v>
      </c>
      <c r="VX8" t="s">
        <v>9496</v>
      </c>
      <c r="VY8" t="s">
        <v>9508</v>
      </c>
      <c r="VZ8" t="s">
        <v>9536</v>
      </c>
      <c r="WB8" t="s">
        <v>9550</v>
      </c>
      <c r="WC8" t="s">
        <v>9558</v>
      </c>
      <c r="WD8" t="s">
        <v>9574</v>
      </c>
      <c r="WE8" t="s">
        <v>9607</v>
      </c>
      <c r="WF8" t="s">
        <v>9616</v>
      </c>
      <c r="WG8" t="s">
        <v>9631</v>
      </c>
      <c r="WH8" t="s">
        <v>9644</v>
      </c>
      <c r="WI8" t="s">
        <v>9657</v>
      </c>
      <c r="WJ8" t="s">
        <v>9669</v>
      </c>
      <c r="WK8" t="s">
        <v>9689</v>
      </c>
      <c r="WL8" t="s">
        <v>9699</v>
      </c>
      <c r="WM8" t="s">
        <v>9719</v>
      </c>
      <c r="WN8" t="s">
        <v>9732</v>
      </c>
      <c r="WO8" t="s">
        <v>9745</v>
      </c>
      <c r="WP8" t="s">
        <v>9752</v>
      </c>
      <c r="WQ8" t="s">
        <v>9760</v>
      </c>
      <c r="WR8" t="s">
        <v>9769</v>
      </c>
      <c r="WS8" t="s">
        <v>9797</v>
      </c>
      <c r="WT8" t="s">
        <v>9832</v>
      </c>
      <c r="WU8" t="s">
        <v>9839</v>
      </c>
      <c r="WV8" t="s">
        <v>9866</v>
      </c>
      <c r="WW8" t="s">
        <v>9883</v>
      </c>
      <c r="WX8" t="s">
        <v>9896</v>
      </c>
      <c r="WY8" t="s">
        <v>9915</v>
      </c>
      <c r="WZ8" t="s">
        <v>9931</v>
      </c>
      <c r="XA8" t="s">
        <v>9941</v>
      </c>
      <c r="XB8" t="s">
        <v>9963</v>
      </c>
      <c r="XC8" t="s">
        <v>9977</v>
      </c>
      <c r="XD8" t="s">
        <v>9997</v>
      </c>
      <c r="XE8" t="s">
        <v>10011</v>
      </c>
      <c r="XF8" t="s">
        <v>10027</v>
      </c>
      <c r="XG8" t="s">
        <v>10047</v>
      </c>
      <c r="XH8" t="s">
        <v>10063</v>
      </c>
      <c r="XI8" t="s">
        <v>10081</v>
      </c>
      <c r="XJ8" t="s">
        <v>10099</v>
      </c>
      <c r="XK8" t="s">
        <v>10109</v>
      </c>
      <c r="XL8" t="s">
        <v>10122</v>
      </c>
      <c r="XM8" t="s">
        <v>10139</v>
      </c>
      <c r="XN8" t="s">
        <v>10159</v>
      </c>
      <c r="XO8" t="s">
        <v>10168</v>
      </c>
      <c r="XP8" t="s">
        <v>10180</v>
      </c>
      <c r="XQ8" t="s">
        <v>10192</v>
      </c>
      <c r="XR8" t="s">
        <v>10202</v>
      </c>
      <c r="XS8" t="s">
        <v>10223</v>
      </c>
      <c r="XT8" t="s">
        <v>10234</v>
      </c>
      <c r="XV8" t="s">
        <v>10258</v>
      </c>
      <c r="XW8" t="s">
        <v>10268</v>
      </c>
      <c r="XX8" t="s">
        <v>10282</v>
      </c>
      <c r="XY8" t="s">
        <v>10294</v>
      </c>
      <c r="XZ8" t="s">
        <v>10312</v>
      </c>
      <c r="YA8" t="s">
        <v>10325</v>
      </c>
      <c r="YB8" t="s">
        <v>10337</v>
      </c>
      <c r="YC8" t="s">
        <v>10357</v>
      </c>
      <c r="YD8" t="s">
        <v>10386</v>
      </c>
      <c r="YE8" t="s">
        <v>10406</v>
      </c>
      <c r="YF8" t="s">
        <v>10424</v>
      </c>
      <c r="YG8" t="s">
        <v>10432</v>
      </c>
      <c r="YH8" t="s">
        <v>10446</v>
      </c>
      <c r="YI8" t="s">
        <v>10458</v>
      </c>
      <c r="YJ8" t="s">
        <v>10471</v>
      </c>
      <c r="YK8" t="s">
        <v>10494</v>
      </c>
      <c r="YL8" t="s">
        <v>10504</v>
      </c>
      <c r="YM8" t="s">
        <v>10513</v>
      </c>
      <c r="YN8" t="s">
        <v>10527</v>
      </c>
      <c r="YO8" t="s">
        <v>10535</v>
      </c>
      <c r="YP8" t="s">
        <v>10549</v>
      </c>
      <c r="YQ8" t="s">
        <v>10564</v>
      </c>
      <c r="YR8" t="s">
        <v>10580</v>
      </c>
      <c r="YS8" t="s">
        <v>10600</v>
      </c>
      <c r="YT8" t="s">
        <v>10614</v>
      </c>
      <c r="YU8" t="s">
        <v>10638</v>
      </c>
      <c r="YV8" t="s">
        <v>10658</v>
      </c>
      <c r="YW8" t="s">
        <v>10671</v>
      </c>
      <c r="YX8" t="s">
        <v>10691</v>
      </c>
      <c r="YY8" t="s">
        <v>10707</v>
      </c>
      <c r="YZ8" t="s">
        <v>10728</v>
      </c>
      <c r="ZA8" t="s">
        <v>10738</v>
      </c>
      <c r="ZB8" t="s">
        <v>10754</v>
      </c>
      <c r="ZC8" t="s">
        <v>10767</v>
      </c>
      <c r="ZD8" t="s">
        <v>10784</v>
      </c>
      <c r="ZE8" t="s">
        <v>10804</v>
      </c>
      <c r="ZF8" t="s">
        <v>10816</v>
      </c>
      <c r="ZG8" t="s">
        <v>10828</v>
      </c>
      <c r="ZH8" t="s">
        <v>10839</v>
      </c>
      <c r="ZI8" t="s">
        <v>10850</v>
      </c>
      <c r="ZJ8" t="s">
        <v>10870</v>
      </c>
      <c r="ZK8" t="s">
        <v>10881</v>
      </c>
      <c r="ZL8" t="s">
        <v>10899</v>
      </c>
      <c r="ZM8" t="s">
        <v>10914</v>
      </c>
      <c r="ZN8" t="s">
        <v>10926</v>
      </c>
      <c r="ZO8" t="s">
        <v>10937</v>
      </c>
      <c r="ZP8" t="s">
        <v>10954</v>
      </c>
      <c r="ZQ8" t="s">
        <v>10972</v>
      </c>
      <c r="ZR8" t="s">
        <v>10984</v>
      </c>
      <c r="ZS8" t="s">
        <v>10993</v>
      </c>
      <c r="ZT8" t="s">
        <v>11010</v>
      </c>
      <c r="ZU8" t="s">
        <v>11029</v>
      </c>
      <c r="ZV8" t="s">
        <v>11046</v>
      </c>
      <c r="ZW8" t="s">
        <v>11059</v>
      </c>
    </row>
    <row r="9" spans="1:699" x14ac:dyDescent="0.25">
      <c r="A9" t="s">
        <v>1238</v>
      </c>
      <c r="B9" t="s">
        <v>1250</v>
      </c>
      <c r="C9" t="s">
        <v>1259</v>
      </c>
      <c r="D9" t="s">
        <v>1270</v>
      </c>
      <c r="E9" t="s">
        <v>1285</v>
      </c>
      <c r="F9" t="s">
        <v>1303</v>
      </c>
      <c r="G9" t="s">
        <v>1324</v>
      </c>
      <c r="H9" t="s">
        <v>1340</v>
      </c>
      <c r="I9" t="s">
        <v>1349</v>
      </c>
      <c r="K9" t="s">
        <v>1378</v>
      </c>
      <c r="L9" t="s">
        <v>1387</v>
      </c>
      <c r="M9" t="s">
        <v>1402</v>
      </c>
      <c r="N9" t="s">
        <v>1416</v>
      </c>
      <c r="P9" t="s">
        <v>1449</v>
      </c>
      <c r="Q9" t="s">
        <v>1461</v>
      </c>
      <c r="R9" t="s">
        <v>1483</v>
      </c>
      <c r="S9" t="s">
        <v>1503</v>
      </c>
      <c r="T9" t="s">
        <v>1521</v>
      </c>
      <c r="U9" t="s">
        <v>1535</v>
      </c>
      <c r="V9" t="s">
        <v>1572</v>
      </c>
      <c r="W9" t="s">
        <v>1587</v>
      </c>
      <c r="X9" t="s">
        <v>1599</v>
      </c>
      <c r="Y9" t="s">
        <v>1615</v>
      </c>
      <c r="Z9" t="s">
        <v>1629</v>
      </c>
      <c r="AA9" t="s">
        <v>1655</v>
      </c>
      <c r="AB9" t="s">
        <v>1665</v>
      </c>
      <c r="AC9" t="s">
        <v>1674</v>
      </c>
      <c r="AE9" t="s">
        <v>1699</v>
      </c>
      <c r="AF9" t="s">
        <v>1713</v>
      </c>
      <c r="AG9" t="s">
        <v>1723</v>
      </c>
      <c r="AH9" t="s">
        <v>1743</v>
      </c>
      <c r="AI9" t="s">
        <v>1756</v>
      </c>
      <c r="AJ9" t="s">
        <v>1776</v>
      </c>
      <c r="AK9" t="s">
        <v>1789</v>
      </c>
      <c r="AM9" t="s">
        <v>1812</v>
      </c>
      <c r="AO9" t="s">
        <v>1832</v>
      </c>
      <c r="AP9" t="s">
        <v>1849</v>
      </c>
      <c r="AQ9" t="s">
        <v>1865</v>
      </c>
      <c r="AR9" t="s">
        <v>1875</v>
      </c>
      <c r="AS9" t="s">
        <v>1884</v>
      </c>
      <c r="AT9" t="s">
        <v>1906</v>
      </c>
      <c r="AU9" t="s">
        <v>1923</v>
      </c>
      <c r="AV9" t="s">
        <v>1938</v>
      </c>
      <c r="AW9" t="s">
        <v>1970</v>
      </c>
      <c r="AX9" t="s">
        <v>1983</v>
      </c>
      <c r="AY9" t="s">
        <v>1996</v>
      </c>
      <c r="AZ9" t="s">
        <v>2007</v>
      </c>
      <c r="BA9" t="s">
        <v>2034</v>
      </c>
      <c r="BC9" t="s">
        <v>2058</v>
      </c>
      <c r="BD9" t="s">
        <v>2077</v>
      </c>
      <c r="BE9" t="s">
        <v>2113</v>
      </c>
      <c r="BF9" t="s">
        <v>2131</v>
      </c>
      <c r="BG9" t="s">
        <v>2141</v>
      </c>
      <c r="BH9" t="s">
        <v>2156</v>
      </c>
      <c r="BI9" t="s">
        <v>2166</v>
      </c>
      <c r="BJ9" t="s">
        <v>2186</v>
      </c>
      <c r="BK9" t="s">
        <v>2206</v>
      </c>
      <c r="BM9" t="s">
        <v>2222</v>
      </c>
      <c r="BN9" t="s">
        <v>2237</v>
      </c>
      <c r="BO9" t="s">
        <v>2256</v>
      </c>
      <c r="BP9" t="s">
        <v>2270</v>
      </c>
      <c r="BQ9" t="s">
        <v>2284</v>
      </c>
      <c r="BR9" t="s">
        <v>2307</v>
      </c>
      <c r="BS9" t="s">
        <v>2318</v>
      </c>
      <c r="BT9" t="s">
        <v>2342</v>
      </c>
      <c r="BU9" t="s">
        <v>2357</v>
      </c>
      <c r="BV9" t="s">
        <v>2377</v>
      </c>
      <c r="BX9" t="s">
        <v>2400</v>
      </c>
      <c r="BY9" t="s">
        <v>2414</v>
      </c>
      <c r="CA9" t="s">
        <v>2440</v>
      </c>
      <c r="CB9" t="s">
        <v>2452</v>
      </c>
      <c r="CC9" t="s">
        <v>2474</v>
      </c>
      <c r="CD9" t="s">
        <v>2489</v>
      </c>
      <c r="CF9" t="s">
        <v>2508</v>
      </c>
      <c r="CG9" t="s">
        <v>2529</v>
      </c>
      <c r="CH9" t="s">
        <v>2541</v>
      </c>
      <c r="CI9" t="s">
        <v>2549</v>
      </c>
      <c r="CL9" t="s">
        <v>2568</v>
      </c>
      <c r="CM9" t="s">
        <v>2576</v>
      </c>
      <c r="CO9" t="s">
        <v>2597</v>
      </c>
      <c r="CS9" t="s">
        <v>2634</v>
      </c>
      <c r="CT9" t="s">
        <v>2649</v>
      </c>
      <c r="CU9" t="s">
        <v>2660</v>
      </c>
      <c r="CV9" t="s">
        <v>2679</v>
      </c>
      <c r="CW9" t="s">
        <v>2696</v>
      </c>
      <c r="CX9" t="s">
        <v>2727</v>
      </c>
      <c r="CY9" t="s">
        <v>2738</v>
      </c>
      <c r="CZ9" t="s">
        <v>2748</v>
      </c>
      <c r="DA9" t="s">
        <v>2759</v>
      </c>
      <c r="DB9" t="s">
        <v>2791</v>
      </c>
      <c r="DC9" t="s">
        <v>2802</v>
      </c>
      <c r="DD9" t="s">
        <v>2811</v>
      </c>
      <c r="DE9" t="s">
        <v>2823</v>
      </c>
      <c r="DF9" t="s">
        <v>2845</v>
      </c>
      <c r="DG9" t="s">
        <v>2882</v>
      </c>
      <c r="DH9" t="s">
        <v>2895</v>
      </c>
      <c r="DJ9" t="s">
        <v>2916</v>
      </c>
      <c r="DK9" t="s">
        <v>2938</v>
      </c>
      <c r="DL9" t="s">
        <v>2949</v>
      </c>
      <c r="DM9" t="s">
        <v>2957</v>
      </c>
      <c r="DN9" t="s">
        <v>2970</v>
      </c>
      <c r="DO9" t="s">
        <v>2983</v>
      </c>
      <c r="DP9" t="s">
        <v>2995</v>
      </c>
      <c r="DQ9" t="s">
        <v>3010</v>
      </c>
      <c r="DR9" t="s">
        <v>3019</v>
      </c>
      <c r="DS9" t="s">
        <v>3038</v>
      </c>
      <c r="DT9" t="s">
        <v>3055</v>
      </c>
      <c r="DV9" t="s">
        <v>3078</v>
      </c>
      <c r="DW9" t="s">
        <v>3087</v>
      </c>
      <c r="DX9" t="s">
        <v>3102</v>
      </c>
      <c r="DY9" t="s">
        <v>3118</v>
      </c>
      <c r="DZ9" t="s">
        <v>3131</v>
      </c>
      <c r="EA9" t="s">
        <v>3150</v>
      </c>
      <c r="EB9" t="s">
        <v>3163</v>
      </c>
      <c r="EC9" t="s">
        <v>3182</v>
      </c>
      <c r="ED9" t="s">
        <v>3210</v>
      </c>
      <c r="EE9" t="s">
        <v>3225</v>
      </c>
      <c r="EF9" t="s">
        <v>3234</v>
      </c>
      <c r="EG9" t="s">
        <v>3256</v>
      </c>
      <c r="EH9" t="s">
        <v>3264</v>
      </c>
      <c r="EI9" t="s">
        <v>3284</v>
      </c>
      <c r="EJ9" t="s">
        <v>3295</v>
      </c>
      <c r="EK9" t="s">
        <v>3310</v>
      </c>
      <c r="EM9" t="s">
        <v>3332</v>
      </c>
      <c r="EN9" t="s">
        <v>3341</v>
      </c>
      <c r="EO9" t="s">
        <v>3360</v>
      </c>
      <c r="EQ9" t="s">
        <v>3375</v>
      </c>
      <c r="ER9" t="s">
        <v>3401</v>
      </c>
      <c r="ES9" t="s">
        <v>3421</v>
      </c>
      <c r="EU9" t="s">
        <v>3444</v>
      </c>
      <c r="EV9" t="s">
        <v>3453</v>
      </c>
      <c r="EW9" t="s">
        <v>3464</v>
      </c>
      <c r="EY9" t="s">
        <v>3485</v>
      </c>
      <c r="FB9" t="s">
        <v>3505</v>
      </c>
      <c r="FC9" t="s">
        <v>3517</v>
      </c>
      <c r="FD9" t="s">
        <v>3527</v>
      </c>
      <c r="FE9" t="s">
        <v>3543</v>
      </c>
      <c r="FF9" t="s">
        <v>3553</v>
      </c>
      <c r="FG9" t="s">
        <v>3567</v>
      </c>
      <c r="FH9" t="s">
        <v>3577</v>
      </c>
      <c r="FI9" t="s">
        <v>3597</v>
      </c>
      <c r="FJ9" t="s">
        <v>3608</v>
      </c>
      <c r="FK9" t="s">
        <v>3620</v>
      </c>
      <c r="FM9" t="s">
        <v>3649</v>
      </c>
      <c r="FN9" t="s">
        <v>3660</v>
      </c>
      <c r="FO9" t="s">
        <v>3671</v>
      </c>
      <c r="FQ9" t="s">
        <v>3693</v>
      </c>
      <c r="FR9" t="s">
        <v>3713</v>
      </c>
      <c r="FS9" t="s">
        <v>3722</v>
      </c>
      <c r="FT9" t="s">
        <v>3734</v>
      </c>
      <c r="FU9" t="s">
        <v>3750</v>
      </c>
      <c r="FV9" t="s">
        <v>3767</v>
      </c>
      <c r="FW9" t="s">
        <v>3782</v>
      </c>
      <c r="FX9" t="s">
        <v>3790</v>
      </c>
      <c r="FZ9" t="s">
        <v>3816</v>
      </c>
      <c r="GA9" t="s">
        <v>3830</v>
      </c>
      <c r="GB9" t="s">
        <v>3839</v>
      </c>
      <c r="GD9" t="s">
        <v>3852</v>
      </c>
      <c r="GE9" t="s">
        <v>3860</v>
      </c>
      <c r="GF9" t="s">
        <v>3870</v>
      </c>
      <c r="GG9" t="s">
        <v>3889</v>
      </c>
      <c r="GH9" t="s">
        <v>3901</v>
      </c>
      <c r="GJ9" t="s">
        <v>3917</v>
      </c>
      <c r="GK9" t="s">
        <v>3930</v>
      </c>
      <c r="GL9" t="s">
        <v>3948</v>
      </c>
      <c r="GM9" t="s">
        <v>3958</v>
      </c>
      <c r="GN9" t="s">
        <v>3968</v>
      </c>
      <c r="GO9" t="s">
        <v>3992</v>
      </c>
      <c r="GP9" t="s">
        <v>4011</v>
      </c>
      <c r="GQ9" t="s">
        <v>4049</v>
      </c>
      <c r="GR9" t="s">
        <v>4058</v>
      </c>
      <c r="GS9" t="s">
        <v>4068</v>
      </c>
      <c r="GT9" t="s">
        <v>4082</v>
      </c>
      <c r="GU9" t="s">
        <v>4105</v>
      </c>
      <c r="GV9" t="s">
        <v>4115</v>
      </c>
      <c r="GW9" t="s">
        <v>4148</v>
      </c>
      <c r="GX9" t="s">
        <v>4169</v>
      </c>
      <c r="GY9" t="s">
        <v>4186</v>
      </c>
      <c r="GZ9" t="s">
        <v>4198</v>
      </c>
      <c r="HA9" t="s">
        <v>4207</v>
      </c>
      <c r="HB9" t="s">
        <v>4220</v>
      </c>
      <c r="HC9" t="s">
        <v>4231</v>
      </c>
      <c r="HD9" t="s">
        <v>4245</v>
      </c>
      <c r="HE9" t="s">
        <v>4261</v>
      </c>
      <c r="HF9" t="s">
        <v>4290</v>
      </c>
      <c r="HG9" t="s">
        <v>4302</v>
      </c>
      <c r="HI9" t="s">
        <v>4340</v>
      </c>
      <c r="HJ9" t="s">
        <v>4363</v>
      </c>
      <c r="HK9" t="s">
        <v>4383</v>
      </c>
      <c r="HL9" t="s">
        <v>4396</v>
      </c>
      <c r="HM9" t="s">
        <v>4411</v>
      </c>
      <c r="HP9" t="s">
        <v>4433</v>
      </c>
      <c r="HQ9" t="s">
        <v>4448</v>
      </c>
      <c r="HR9" t="s">
        <v>4464</v>
      </c>
      <c r="HS9" t="s">
        <v>4487</v>
      </c>
      <c r="HT9" t="s">
        <v>4496</v>
      </c>
      <c r="HU9" t="s">
        <v>4523</v>
      </c>
      <c r="HW9" t="s">
        <v>4540</v>
      </c>
      <c r="HX9" t="s">
        <v>4550</v>
      </c>
      <c r="HY9" t="s">
        <v>4559</v>
      </c>
      <c r="HZ9" t="s">
        <v>4575</v>
      </c>
      <c r="IA9" t="s">
        <v>4583</v>
      </c>
      <c r="IB9" t="s">
        <v>4597</v>
      </c>
      <c r="IC9" t="s">
        <v>4606</v>
      </c>
      <c r="IE9" t="s">
        <v>4620</v>
      </c>
      <c r="IF9" t="s">
        <v>4630</v>
      </c>
      <c r="IH9" t="s">
        <v>4651</v>
      </c>
      <c r="II9" t="s">
        <v>4660</v>
      </c>
      <c r="IJ9" t="s">
        <v>4678</v>
      </c>
      <c r="IK9" t="s">
        <v>4702</v>
      </c>
      <c r="IN9" t="s">
        <v>4725</v>
      </c>
      <c r="IO9" t="s">
        <v>4744</v>
      </c>
      <c r="IP9" t="s">
        <v>4776</v>
      </c>
      <c r="IQ9" t="s">
        <v>4784</v>
      </c>
      <c r="IR9" t="s">
        <v>4801</v>
      </c>
      <c r="IS9" t="s">
        <v>4822</v>
      </c>
      <c r="IT9" t="s">
        <v>4833</v>
      </c>
      <c r="IU9" t="s">
        <v>4843</v>
      </c>
      <c r="IV9" t="s">
        <v>4854</v>
      </c>
      <c r="IW9" t="s">
        <v>4869</v>
      </c>
      <c r="IX9" t="s">
        <v>4880</v>
      </c>
      <c r="JA9" t="s">
        <v>4903</v>
      </c>
      <c r="JB9" t="s">
        <v>4928</v>
      </c>
      <c r="JC9" t="s">
        <v>4938</v>
      </c>
      <c r="JD9" t="s">
        <v>4948</v>
      </c>
      <c r="JE9" t="s">
        <v>4958</v>
      </c>
      <c r="JF9" t="s">
        <v>4966</v>
      </c>
      <c r="JH9" t="s">
        <v>4989</v>
      </c>
      <c r="JI9" t="s">
        <v>5001</v>
      </c>
      <c r="JJ9" t="s">
        <v>5020</v>
      </c>
      <c r="JK9" t="s">
        <v>5031</v>
      </c>
      <c r="JL9" t="s">
        <v>5053</v>
      </c>
      <c r="JM9" t="s">
        <v>5075</v>
      </c>
      <c r="JN9" t="s">
        <v>5086</v>
      </c>
      <c r="JO9" t="s">
        <v>5109</v>
      </c>
      <c r="JP9" t="s">
        <v>5124</v>
      </c>
      <c r="JR9" t="s">
        <v>5143</v>
      </c>
      <c r="JS9" t="s">
        <v>5163</v>
      </c>
      <c r="JW9" t="s">
        <v>5194</v>
      </c>
      <c r="JX9" t="s">
        <v>5204</v>
      </c>
      <c r="JY9" t="s">
        <v>5218</v>
      </c>
      <c r="KA9" t="s">
        <v>5242</v>
      </c>
      <c r="KC9" t="s">
        <v>5259</v>
      </c>
      <c r="KD9" t="s">
        <v>5271</v>
      </c>
      <c r="KF9" t="s">
        <v>5287</v>
      </c>
      <c r="KG9" t="s">
        <v>5296</v>
      </c>
      <c r="KH9" t="s">
        <v>5304</v>
      </c>
      <c r="KI9" t="s">
        <v>5318</v>
      </c>
      <c r="KK9" t="s">
        <v>5337</v>
      </c>
      <c r="KL9" t="s">
        <v>5365</v>
      </c>
      <c r="KM9" t="s">
        <v>5379</v>
      </c>
      <c r="KN9" t="s">
        <v>5393</v>
      </c>
      <c r="KO9" t="s">
        <v>5413</v>
      </c>
      <c r="KP9" t="s">
        <v>5429</v>
      </c>
      <c r="KQ9" t="s">
        <v>5447</v>
      </c>
      <c r="KR9" t="s">
        <v>5464</v>
      </c>
      <c r="KS9" t="s">
        <v>5477</v>
      </c>
      <c r="KU9" t="s">
        <v>5495</v>
      </c>
      <c r="KV9" t="s">
        <v>5507</v>
      </c>
      <c r="KY9" t="s">
        <v>5535</v>
      </c>
      <c r="KZ9" t="s">
        <v>5560</v>
      </c>
      <c r="LA9" t="s">
        <v>5571</v>
      </c>
      <c r="LB9" t="s">
        <v>5586</v>
      </c>
      <c r="LC9" t="s">
        <v>5599</v>
      </c>
      <c r="LD9" t="s">
        <v>5615</v>
      </c>
      <c r="LE9" t="s">
        <v>5624</v>
      </c>
      <c r="LF9" t="s">
        <v>5645</v>
      </c>
      <c r="LG9" t="s">
        <v>5674</v>
      </c>
      <c r="LH9" t="s">
        <v>5684</v>
      </c>
      <c r="LI9" t="s">
        <v>5692</v>
      </c>
      <c r="LJ9" t="s">
        <v>5704</v>
      </c>
      <c r="LK9" t="s">
        <v>5713</v>
      </c>
      <c r="LL9" t="s">
        <v>5725</v>
      </c>
      <c r="LM9" t="s">
        <v>5740</v>
      </c>
      <c r="LN9" t="s">
        <v>5748</v>
      </c>
      <c r="LO9" t="s">
        <v>5765</v>
      </c>
      <c r="LP9" t="s">
        <v>5778</v>
      </c>
      <c r="LR9" t="s">
        <v>5809</v>
      </c>
      <c r="LS9" t="s">
        <v>5817</v>
      </c>
      <c r="LT9" t="s">
        <v>5840</v>
      </c>
      <c r="LU9" t="s">
        <v>5850</v>
      </c>
      <c r="LV9" t="s">
        <v>5860</v>
      </c>
      <c r="LW9" t="s">
        <v>5873</v>
      </c>
      <c r="LX9" t="s">
        <v>5887</v>
      </c>
      <c r="LY9" t="s">
        <v>5900</v>
      </c>
      <c r="LZ9" t="s">
        <v>5910</v>
      </c>
      <c r="MA9" t="s">
        <v>5936</v>
      </c>
      <c r="MB9" t="s">
        <v>5949</v>
      </c>
      <c r="MC9" t="s">
        <v>5962</v>
      </c>
      <c r="MD9" t="s">
        <v>5977</v>
      </c>
      <c r="ME9" t="s">
        <v>5985</v>
      </c>
      <c r="MG9" t="s">
        <v>6000</v>
      </c>
      <c r="MI9" t="s">
        <v>6020</v>
      </c>
      <c r="MJ9" t="s">
        <v>6048</v>
      </c>
      <c r="MK9" t="s">
        <v>6056</v>
      </c>
      <c r="ML9" t="s">
        <v>6069</v>
      </c>
      <c r="MM9" t="s">
        <v>6078</v>
      </c>
      <c r="MN9" t="s">
        <v>6087</v>
      </c>
      <c r="MO9" t="s">
        <v>6097</v>
      </c>
      <c r="MS9" t="s">
        <v>6127</v>
      </c>
      <c r="MT9" t="s">
        <v>6140</v>
      </c>
      <c r="MU9" t="s">
        <v>6157</v>
      </c>
      <c r="MV9" t="s">
        <v>6165</v>
      </c>
      <c r="MW9" t="s">
        <v>6173</v>
      </c>
      <c r="MX9" t="s">
        <v>6187</v>
      </c>
      <c r="MY9" t="s">
        <v>6200</v>
      </c>
      <c r="MZ9" t="s">
        <v>6210</v>
      </c>
      <c r="NA9" t="s">
        <v>6226</v>
      </c>
      <c r="NB9" t="s">
        <v>6239</v>
      </c>
      <c r="ND9" t="s">
        <v>6252</v>
      </c>
      <c r="NE9" t="s">
        <v>6269</v>
      </c>
      <c r="NF9" t="s">
        <v>6290</v>
      </c>
      <c r="NG9" t="s">
        <v>6300</v>
      </c>
      <c r="NH9" t="s">
        <v>6323</v>
      </c>
      <c r="NI9" t="s">
        <v>6336</v>
      </c>
      <c r="NJ9" t="s">
        <v>6353</v>
      </c>
      <c r="NK9" t="s">
        <v>6368</v>
      </c>
      <c r="NL9" t="s">
        <v>6388</v>
      </c>
      <c r="NM9" t="s">
        <v>6406</v>
      </c>
      <c r="NN9" t="s">
        <v>6429</v>
      </c>
      <c r="NO9" t="s">
        <v>6451</v>
      </c>
      <c r="NP9" t="s">
        <v>6467</v>
      </c>
      <c r="NQ9" t="s">
        <v>6491</v>
      </c>
      <c r="NR9" t="s">
        <v>6500</v>
      </c>
      <c r="NS9" t="s">
        <v>6517</v>
      </c>
      <c r="NT9" t="s">
        <v>6527</v>
      </c>
      <c r="NV9" t="s">
        <v>6544</v>
      </c>
      <c r="NX9" t="s">
        <v>6562</v>
      </c>
      <c r="NZ9" t="s">
        <v>6585</v>
      </c>
      <c r="OA9" t="s">
        <v>6600</v>
      </c>
      <c r="OB9" t="s">
        <v>6611</v>
      </c>
      <c r="OC9" t="s">
        <v>6632</v>
      </c>
      <c r="OE9" t="s">
        <v>6653</v>
      </c>
      <c r="OF9" t="s">
        <v>6664</v>
      </c>
      <c r="OG9" t="s">
        <v>6679</v>
      </c>
      <c r="OH9" t="s">
        <v>6701</v>
      </c>
      <c r="OI9" t="s">
        <v>6727</v>
      </c>
      <c r="OJ9" t="s">
        <v>6741</v>
      </c>
      <c r="OK9" t="s">
        <v>6758</v>
      </c>
      <c r="OL9" t="s">
        <v>6776</v>
      </c>
      <c r="OM9" t="s">
        <v>6790</v>
      </c>
      <c r="OO9" t="s">
        <v>6807</v>
      </c>
      <c r="OP9" t="s">
        <v>6818</v>
      </c>
      <c r="OQ9" t="s">
        <v>6828</v>
      </c>
      <c r="OR9" t="s">
        <v>6842</v>
      </c>
      <c r="OS9" t="s">
        <v>6850</v>
      </c>
      <c r="OT9" t="s">
        <v>6859</v>
      </c>
      <c r="OU9" t="s">
        <v>6867</v>
      </c>
      <c r="OV9" t="s">
        <v>6885</v>
      </c>
      <c r="OW9" t="s">
        <v>6901</v>
      </c>
      <c r="OX9" t="s">
        <v>6920</v>
      </c>
      <c r="OY9" t="s">
        <v>6929</v>
      </c>
      <c r="PA9" t="s">
        <v>6950</v>
      </c>
      <c r="PC9" t="s">
        <v>6983</v>
      </c>
      <c r="PD9" t="s">
        <v>6998</v>
      </c>
      <c r="PE9" t="s">
        <v>7010</v>
      </c>
      <c r="PF9" t="s">
        <v>7023</v>
      </c>
      <c r="PG9" t="s">
        <v>7038</v>
      </c>
      <c r="PH9" t="s">
        <v>7050</v>
      </c>
      <c r="PI9" t="s">
        <v>7062</v>
      </c>
      <c r="PJ9" t="s">
        <v>7073</v>
      </c>
      <c r="PL9" t="s">
        <v>7090</v>
      </c>
      <c r="PN9" t="s">
        <v>7127</v>
      </c>
      <c r="PO9" t="s">
        <v>7140</v>
      </c>
      <c r="PP9" t="s">
        <v>7152</v>
      </c>
      <c r="PQ9" t="s">
        <v>7167</v>
      </c>
      <c r="PR9" t="s">
        <v>7191</v>
      </c>
      <c r="PS9" t="s">
        <v>7207</v>
      </c>
      <c r="PT9" t="s">
        <v>7220</v>
      </c>
      <c r="PV9" t="s">
        <v>7251</v>
      </c>
      <c r="PX9" t="s">
        <v>7269</v>
      </c>
      <c r="PY9" t="s">
        <v>7285</v>
      </c>
      <c r="PZ9" t="s">
        <v>7299</v>
      </c>
      <c r="QA9" t="s">
        <v>7312</v>
      </c>
      <c r="QB9" t="s">
        <v>7321</v>
      </c>
      <c r="QC9" t="s">
        <v>7339</v>
      </c>
      <c r="QD9" t="s">
        <v>7350</v>
      </c>
      <c r="QE9" t="s">
        <v>7359</v>
      </c>
      <c r="QF9" t="s">
        <v>7378</v>
      </c>
      <c r="QG9" t="s">
        <v>7394</v>
      </c>
      <c r="QI9" t="s">
        <v>7413</v>
      </c>
      <c r="QK9" t="s">
        <v>7442</v>
      </c>
      <c r="QL9" t="s">
        <v>7451</v>
      </c>
      <c r="QM9" t="s">
        <v>7474</v>
      </c>
      <c r="QN9" t="s">
        <v>7486</v>
      </c>
      <c r="QO9" t="s">
        <v>7517</v>
      </c>
      <c r="QP9" t="s">
        <v>7532</v>
      </c>
      <c r="QQ9" t="s">
        <v>7542</v>
      </c>
      <c r="QR9" t="s">
        <v>7562</v>
      </c>
      <c r="QS9" t="s">
        <v>7572</v>
      </c>
      <c r="QT9" t="s">
        <v>7608</v>
      </c>
      <c r="QU9" t="s">
        <v>7618</v>
      </c>
      <c r="QV9" t="s">
        <v>7627</v>
      </c>
      <c r="QW9" t="s">
        <v>7638</v>
      </c>
      <c r="QX9" t="s">
        <v>7655</v>
      </c>
      <c r="QY9" t="s">
        <v>7663</v>
      </c>
      <c r="QZ9" t="s">
        <v>7683</v>
      </c>
      <c r="RA9" t="s">
        <v>7698</v>
      </c>
      <c r="RB9" t="s">
        <v>7714</v>
      </c>
      <c r="RC9" t="s">
        <v>7729</v>
      </c>
      <c r="RD9" t="s">
        <v>7761</v>
      </c>
      <c r="RE9" t="s">
        <v>7770</v>
      </c>
      <c r="RF9" t="s">
        <v>7783</v>
      </c>
      <c r="RG9" t="s">
        <v>7799</v>
      </c>
      <c r="RH9" t="s">
        <v>7808</v>
      </c>
      <c r="RI9" t="s">
        <v>7816</v>
      </c>
      <c r="RJ9" t="s">
        <v>7826</v>
      </c>
      <c r="RK9" t="s">
        <v>7842</v>
      </c>
      <c r="RM9" t="s">
        <v>7857</v>
      </c>
      <c r="RN9" t="s">
        <v>7873</v>
      </c>
      <c r="RP9" t="s">
        <v>7896</v>
      </c>
      <c r="RQ9" t="s">
        <v>7910</v>
      </c>
      <c r="RR9" t="s">
        <v>7926</v>
      </c>
      <c r="RS9" t="s">
        <v>7935</v>
      </c>
      <c r="RT9" t="s">
        <v>7944</v>
      </c>
      <c r="RU9" t="s">
        <v>7952</v>
      </c>
      <c r="RV9" t="s">
        <v>7965</v>
      </c>
      <c r="RW9" t="s">
        <v>7989</v>
      </c>
      <c r="RX9" t="s">
        <v>8000</v>
      </c>
      <c r="RY9" t="s">
        <v>8010</v>
      </c>
      <c r="RZ9" t="s">
        <v>8021</v>
      </c>
      <c r="SB9" t="s">
        <v>8061</v>
      </c>
      <c r="SC9" t="s">
        <v>8073</v>
      </c>
      <c r="SD9" t="s">
        <v>8086</v>
      </c>
      <c r="SE9" t="s">
        <v>8108</v>
      </c>
      <c r="SF9" t="s">
        <v>8117</v>
      </c>
      <c r="SH9" t="s">
        <v>8147</v>
      </c>
      <c r="SI9" t="s">
        <v>8176</v>
      </c>
      <c r="SJ9" t="s">
        <v>8190</v>
      </c>
      <c r="SK9" t="s">
        <v>8211</v>
      </c>
      <c r="SL9" t="s">
        <v>8219</v>
      </c>
      <c r="SM9" t="s">
        <v>8229</v>
      </c>
      <c r="SO9" t="s">
        <v>8245</v>
      </c>
      <c r="SP9" t="s">
        <v>8253</v>
      </c>
      <c r="SR9" t="s">
        <v>8274</v>
      </c>
      <c r="SS9" t="s">
        <v>8282</v>
      </c>
      <c r="ST9" t="s">
        <v>8296</v>
      </c>
      <c r="SU9" t="s">
        <v>8312</v>
      </c>
      <c r="SV9" t="s">
        <v>8338</v>
      </c>
      <c r="SW9" t="s">
        <v>8347</v>
      </c>
      <c r="SX9" t="s">
        <v>8360</v>
      </c>
      <c r="SY9" t="s">
        <v>8379</v>
      </c>
      <c r="SZ9" t="s">
        <v>8389</v>
      </c>
      <c r="TB9" t="s">
        <v>8409</v>
      </c>
      <c r="TC9" t="s">
        <v>8420</v>
      </c>
      <c r="TD9" t="s">
        <v>8431</v>
      </c>
      <c r="TE9" t="s">
        <v>8460</v>
      </c>
      <c r="TH9" t="s">
        <v>8481</v>
      </c>
      <c r="TI9" t="s">
        <v>8494</v>
      </c>
      <c r="TK9" t="s">
        <v>8511</v>
      </c>
      <c r="TL9" t="s">
        <v>8521</v>
      </c>
      <c r="TM9" t="s">
        <v>8536</v>
      </c>
      <c r="TN9" t="s">
        <v>8548</v>
      </c>
      <c r="TO9" t="s">
        <v>8558</v>
      </c>
      <c r="TP9" t="s">
        <v>8576</v>
      </c>
      <c r="TQ9" t="s">
        <v>8588</v>
      </c>
      <c r="TR9" t="s">
        <v>8602</v>
      </c>
      <c r="TS9" t="s">
        <v>8638</v>
      </c>
      <c r="TT9" t="s">
        <v>8650</v>
      </c>
      <c r="TU9" t="s">
        <v>8665</v>
      </c>
      <c r="TV9" t="s">
        <v>8675</v>
      </c>
      <c r="TW9" t="s">
        <v>8695</v>
      </c>
      <c r="TX9" t="s">
        <v>8712</v>
      </c>
      <c r="TY9" t="s">
        <v>8722</v>
      </c>
      <c r="TZ9" t="s">
        <v>8734</v>
      </c>
      <c r="UA9" t="s">
        <v>8751</v>
      </c>
      <c r="UB9" t="s">
        <v>8759</v>
      </c>
      <c r="UC9" t="s">
        <v>8779</v>
      </c>
      <c r="UE9" t="s">
        <v>8805</v>
      </c>
      <c r="UF9" t="s">
        <v>8814</v>
      </c>
      <c r="UG9" t="s">
        <v>8838</v>
      </c>
      <c r="UH9" t="s">
        <v>8854</v>
      </c>
      <c r="UI9" t="s">
        <v>8890</v>
      </c>
      <c r="UJ9" t="s">
        <v>8903</v>
      </c>
      <c r="UK9" t="s">
        <v>8936</v>
      </c>
      <c r="UL9" t="s">
        <v>8952</v>
      </c>
      <c r="UM9" t="s">
        <v>8964</v>
      </c>
      <c r="UN9" t="s">
        <v>8972</v>
      </c>
      <c r="UO9" t="s">
        <v>8985</v>
      </c>
      <c r="UP9" t="s">
        <v>9005</v>
      </c>
      <c r="UQ9" t="s">
        <v>9014</v>
      </c>
      <c r="UR9" t="s">
        <v>9030</v>
      </c>
      <c r="US9" t="s">
        <v>9055</v>
      </c>
      <c r="UT9" t="s">
        <v>9071</v>
      </c>
      <c r="UU9" t="s">
        <v>9087</v>
      </c>
      <c r="UV9" t="s">
        <v>9095</v>
      </c>
      <c r="UW9" t="s">
        <v>9125</v>
      </c>
      <c r="UX9" t="s">
        <v>9136</v>
      </c>
      <c r="UY9" t="s">
        <v>9152</v>
      </c>
      <c r="UZ9" t="s">
        <v>9175</v>
      </c>
      <c r="VB9" t="s">
        <v>9199</v>
      </c>
      <c r="VC9" t="s">
        <v>9208</v>
      </c>
      <c r="VD9" t="s">
        <v>9220</v>
      </c>
      <c r="VE9" t="s">
        <v>9232</v>
      </c>
      <c r="VF9" t="s">
        <v>9253</v>
      </c>
      <c r="VG9" t="s">
        <v>9270</v>
      </c>
      <c r="VH9" t="s">
        <v>9281</v>
      </c>
      <c r="VI9" t="s">
        <v>9297</v>
      </c>
      <c r="VJ9" t="s">
        <v>9317</v>
      </c>
      <c r="VK9" t="s">
        <v>9333</v>
      </c>
      <c r="VL9" t="s">
        <v>9349</v>
      </c>
      <c r="VM9" t="s">
        <v>9360</v>
      </c>
      <c r="VN9" t="s">
        <v>9368</v>
      </c>
      <c r="VO9" t="s">
        <v>9380</v>
      </c>
      <c r="VQ9" t="s">
        <v>9392</v>
      </c>
      <c r="VR9" t="s">
        <v>9406</v>
      </c>
      <c r="VS9" t="s">
        <v>9427</v>
      </c>
      <c r="VT9" t="s">
        <v>9443</v>
      </c>
      <c r="VX9" t="s">
        <v>9497</v>
      </c>
      <c r="VY9" t="s">
        <v>9509</v>
      </c>
      <c r="VZ9" t="s">
        <v>9537</v>
      </c>
      <c r="WB9" t="s">
        <v>9551</v>
      </c>
      <c r="WC9" t="s">
        <v>9559</v>
      </c>
      <c r="WD9" t="s">
        <v>9575</v>
      </c>
      <c r="WE9" t="s">
        <v>9608</v>
      </c>
      <c r="WF9" t="s">
        <v>9617</v>
      </c>
      <c r="WG9" t="s">
        <v>9632</v>
      </c>
      <c r="WH9" t="s">
        <v>9645</v>
      </c>
      <c r="WI9" t="s">
        <v>9658</v>
      </c>
      <c r="WJ9" t="s">
        <v>9670</v>
      </c>
      <c r="WK9" t="s">
        <v>9690</v>
      </c>
      <c r="WL9" t="s">
        <v>9700</v>
      </c>
      <c r="WM9" t="s">
        <v>9720</v>
      </c>
      <c r="WN9" t="s">
        <v>9733</v>
      </c>
      <c r="WP9" t="s">
        <v>9753</v>
      </c>
      <c r="WQ9" t="s">
        <v>9761</v>
      </c>
      <c r="WR9" t="s">
        <v>9770</v>
      </c>
      <c r="WS9" t="s">
        <v>9798</v>
      </c>
      <c r="WU9" t="s">
        <v>9840</v>
      </c>
      <c r="WV9" t="s">
        <v>9867</v>
      </c>
      <c r="WW9" t="s">
        <v>9884</v>
      </c>
      <c r="WX9" t="s">
        <v>9897</v>
      </c>
      <c r="WY9" t="s">
        <v>9916</v>
      </c>
      <c r="WZ9" t="s">
        <v>9932</v>
      </c>
      <c r="XA9" t="s">
        <v>9942</v>
      </c>
      <c r="XB9" t="s">
        <v>9964</v>
      </c>
      <c r="XC9" t="s">
        <v>9978</v>
      </c>
      <c r="XD9" t="s">
        <v>9998</v>
      </c>
      <c r="XE9" t="s">
        <v>10012</v>
      </c>
      <c r="XF9" t="s">
        <v>10028</v>
      </c>
      <c r="XG9" t="s">
        <v>10048</v>
      </c>
      <c r="XH9" t="s">
        <v>10064</v>
      </c>
      <c r="XI9" t="s">
        <v>10082</v>
      </c>
      <c r="XJ9" t="s">
        <v>10100</v>
      </c>
      <c r="XK9" t="s">
        <v>10110</v>
      </c>
      <c r="XL9" t="s">
        <v>10123</v>
      </c>
      <c r="XM9" t="s">
        <v>10140</v>
      </c>
      <c r="XN9" t="s">
        <v>10160</v>
      </c>
      <c r="XO9" t="s">
        <v>10169</v>
      </c>
      <c r="XP9" t="s">
        <v>10181</v>
      </c>
      <c r="XQ9" t="s">
        <v>10193</v>
      </c>
      <c r="XR9" t="s">
        <v>10203</v>
      </c>
      <c r="XS9" t="s">
        <v>10224</v>
      </c>
      <c r="XT9" t="s">
        <v>10235</v>
      </c>
      <c r="XV9" t="s">
        <v>10259</v>
      </c>
      <c r="XW9" t="s">
        <v>10269</v>
      </c>
      <c r="XX9" t="s">
        <v>10283</v>
      </c>
      <c r="XY9" t="s">
        <v>10295</v>
      </c>
      <c r="XZ9" t="s">
        <v>10313</v>
      </c>
      <c r="YA9" t="s">
        <v>10326</v>
      </c>
      <c r="YB9" t="s">
        <v>10338</v>
      </c>
      <c r="YC9" t="s">
        <v>10358</v>
      </c>
      <c r="YD9" t="s">
        <v>10387</v>
      </c>
      <c r="YE9" t="s">
        <v>10407</v>
      </c>
      <c r="YF9" t="s">
        <v>10425</v>
      </c>
      <c r="YG9" t="s">
        <v>10433</v>
      </c>
      <c r="YH9" t="s">
        <v>10447</v>
      </c>
      <c r="YI9" t="s">
        <v>10459</v>
      </c>
      <c r="YJ9" t="s">
        <v>10472</v>
      </c>
      <c r="YK9" t="s">
        <v>10495</v>
      </c>
      <c r="YL9" t="s">
        <v>10505</v>
      </c>
      <c r="YM9" t="s">
        <v>10514</v>
      </c>
      <c r="YN9" t="s">
        <v>10528</v>
      </c>
      <c r="YO9" t="s">
        <v>10536</v>
      </c>
      <c r="YP9" t="s">
        <v>10550</v>
      </c>
      <c r="YQ9" t="s">
        <v>10565</v>
      </c>
      <c r="YR9" t="s">
        <v>10581</v>
      </c>
      <c r="YS9" t="s">
        <v>10601</v>
      </c>
      <c r="YT9" t="s">
        <v>10615</v>
      </c>
      <c r="YU9" t="s">
        <v>10639</v>
      </c>
      <c r="YV9" t="s">
        <v>10659</v>
      </c>
      <c r="YW9" t="s">
        <v>10672</v>
      </c>
      <c r="YX9" t="s">
        <v>10692</v>
      </c>
      <c r="YY9" t="s">
        <v>10708</v>
      </c>
      <c r="YZ9" t="s">
        <v>10729</v>
      </c>
      <c r="ZA9" t="s">
        <v>10739</v>
      </c>
      <c r="ZB9" t="s">
        <v>10755</v>
      </c>
      <c r="ZC9" t="s">
        <v>10768</v>
      </c>
      <c r="ZD9" t="s">
        <v>10785</v>
      </c>
      <c r="ZE9" t="s">
        <v>10805</v>
      </c>
      <c r="ZF9" t="s">
        <v>10817</v>
      </c>
      <c r="ZG9" t="s">
        <v>10829</v>
      </c>
      <c r="ZH9" t="s">
        <v>10840</v>
      </c>
      <c r="ZI9" t="s">
        <v>10851</v>
      </c>
      <c r="ZJ9" t="s">
        <v>10871</v>
      </c>
      <c r="ZK9" t="s">
        <v>10882</v>
      </c>
      <c r="ZL9" t="s">
        <v>10900</v>
      </c>
      <c r="ZM9" t="s">
        <v>10915</v>
      </c>
      <c r="ZN9" t="s">
        <v>10927</v>
      </c>
      <c r="ZO9" t="s">
        <v>10938</v>
      </c>
      <c r="ZP9" t="s">
        <v>10955</v>
      </c>
      <c r="ZQ9" t="s">
        <v>10973</v>
      </c>
      <c r="ZR9" t="s">
        <v>10985</v>
      </c>
      <c r="ZS9" t="s">
        <v>10994</v>
      </c>
      <c r="ZT9" t="s">
        <v>11011</v>
      </c>
      <c r="ZU9" t="s">
        <v>11030</v>
      </c>
      <c r="ZV9" t="s">
        <v>11047</v>
      </c>
      <c r="ZW9" t="s">
        <v>11060</v>
      </c>
    </row>
    <row r="10" spans="1:699" x14ac:dyDescent="0.25">
      <c r="A10" t="s">
        <v>1239</v>
      </c>
      <c r="B10" t="s">
        <v>1251</v>
      </c>
      <c r="C10" t="s">
        <v>1260</v>
      </c>
      <c r="D10" t="s">
        <v>1271</v>
      </c>
      <c r="E10" t="s">
        <v>1286</v>
      </c>
      <c r="F10" t="s">
        <v>1304</v>
      </c>
      <c r="G10" t="s">
        <v>1325</v>
      </c>
      <c r="H10" t="s">
        <v>1341</v>
      </c>
      <c r="I10" t="s">
        <v>1350</v>
      </c>
      <c r="K10" t="s">
        <v>1379</v>
      </c>
      <c r="L10" t="s">
        <v>1388</v>
      </c>
      <c r="M10" t="s">
        <v>1403</v>
      </c>
      <c r="N10" t="s">
        <v>1417</v>
      </c>
      <c r="P10" t="s">
        <v>1450</v>
      </c>
      <c r="Q10" t="s">
        <v>1462</v>
      </c>
      <c r="R10" t="s">
        <v>1484</v>
      </c>
      <c r="S10" t="s">
        <v>1504</v>
      </c>
      <c r="T10" t="s">
        <v>1522</v>
      </c>
      <c r="U10" t="s">
        <v>1536</v>
      </c>
      <c r="V10" t="s">
        <v>1573</v>
      </c>
      <c r="W10" t="s">
        <v>1588</v>
      </c>
      <c r="X10" t="s">
        <v>1600</v>
      </c>
      <c r="Y10" t="s">
        <v>1616</v>
      </c>
      <c r="Z10" t="s">
        <v>1630</v>
      </c>
      <c r="AA10" t="s">
        <v>1656</v>
      </c>
      <c r="AB10" t="s">
        <v>1666</v>
      </c>
      <c r="AC10" t="s">
        <v>1675</v>
      </c>
      <c r="AE10" t="s">
        <v>1700</v>
      </c>
      <c r="AF10" t="s">
        <v>1714</v>
      </c>
      <c r="AG10" t="s">
        <v>1724</v>
      </c>
      <c r="AH10" t="s">
        <v>1744</v>
      </c>
      <c r="AI10" t="s">
        <v>1757</v>
      </c>
      <c r="AJ10" t="s">
        <v>1777</v>
      </c>
      <c r="AK10" t="s">
        <v>1790</v>
      </c>
      <c r="AM10" t="s">
        <v>1813</v>
      </c>
      <c r="AO10" t="s">
        <v>1833</v>
      </c>
      <c r="AP10" t="s">
        <v>1850</v>
      </c>
      <c r="AQ10" t="s">
        <v>1866</v>
      </c>
      <c r="AR10" t="s">
        <v>1876</v>
      </c>
      <c r="AS10" t="s">
        <v>1885</v>
      </c>
      <c r="AT10" t="s">
        <v>1907</v>
      </c>
      <c r="AU10" t="s">
        <v>1924</v>
      </c>
      <c r="AV10" t="s">
        <v>1939</v>
      </c>
      <c r="AW10" t="s">
        <v>1971</v>
      </c>
      <c r="AX10" t="s">
        <v>1984</v>
      </c>
      <c r="AY10" t="s">
        <v>1997</v>
      </c>
      <c r="AZ10" t="s">
        <v>2008</v>
      </c>
      <c r="BA10" t="s">
        <v>2035</v>
      </c>
      <c r="BC10" t="s">
        <v>2059</v>
      </c>
      <c r="BD10" t="s">
        <v>2078</v>
      </c>
      <c r="BE10" t="s">
        <v>2114</v>
      </c>
      <c r="BF10" t="s">
        <v>2132</v>
      </c>
      <c r="BG10" t="s">
        <v>2142</v>
      </c>
      <c r="BH10" t="s">
        <v>2157</v>
      </c>
      <c r="BI10" t="s">
        <v>2167</v>
      </c>
      <c r="BJ10" t="s">
        <v>2187</v>
      </c>
      <c r="BK10" t="s">
        <v>2207</v>
      </c>
      <c r="BM10" t="s">
        <v>2223</v>
      </c>
      <c r="BN10" t="s">
        <v>2238</v>
      </c>
      <c r="BO10" t="s">
        <v>2257</v>
      </c>
      <c r="BP10" t="s">
        <v>2271</v>
      </c>
      <c r="BQ10" t="s">
        <v>2285</v>
      </c>
      <c r="BR10" t="s">
        <v>2308</v>
      </c>
      <c r="BS10" t="s">
        <v>2319</v>
      </c>
      <c r="BT10" t="s">
        <v>2343</v>
      </c>
      <c r="BU10" t="s">
        <v>2358</v>
      </c>
      <c r="BV10" t="s">
        <v>2378</v>
      </c>
      <c r="BX10" t="s">
        <v>2401</v>
      </c>
      <c r="BY10" t="s">
        <v>2415</v>
      </c>
      <c r="CA10" t="s">
        <v>2441</v>
      </c>
      <c r="CB10" t="s">
        <v>2453</v>
      </c>
      <c r="CC10" t="s">
        <v>2475</v>
      </c>
      <c r="CD10" t="s">
        <v>2490</v>
      </c>
      <c r="CF10" t="s">
        <v>2509</v>
      </c>
      <c r="CG10" t="s">
        <v>2530</v>
      </c>
      <c r="CI10" t="s">
        <v>2550</v>
      </c>
      <c r="CM10" t="s">
        <v>2577</v>
      </c>
      <c r="CO10" t="s">
        <v>2598</v>
      </c>
      <c r="CS10" t="s">
        <v>2635</v>
      </c>
      <c r="CT10" t="s">
        <v>2650</v>
      </c>
      <c r="CU10" t="s">
        <v>2661</v>
      </c>
      <c r="CV10" t="s">
        <v>2680</v>
      </c>
      <c r="CW10" t="s">
        <v>2697</v>
      </c>
      <c r="CX10" t="s">
        <v>2728</v>
      </c>
      <c r="CY10" t="s">
        <v>2739</v>
      </c>
      <c r="CZ10" t="s">
        <v>2749</v>
      </c>
      <c r="DA10" t="s">
        <v>2760</v>
      </c>
      <c r="DB10" t="s">
        <v>2792</v>
      </c>
      <c r="DC10" t="s">
        <v>2803</v>
      </c>
      <c r="DD10" t="s">
        <v>2812</v>
      </c>
      <c r="DE10" t="s">
        <v>2824</v>
      </c>
      <c r="DF10" t="s">
        <v>2846</v>
      </c>
      <c r="DG10" t="s">
        <v>2883</v>
      </c>
      <c r="DH10" t="s">
        <v>2896</v>
      </c>
      <c r="DJ10" t="s">
        <v>2917</v>
      </c>
      <c r="DK10" t="s">
        <v>2939</v>
      </c>
      <c r="DM10" t="s">
        <v>2958</v>
      </c>
      <c r="DN10" t="s">
        <v>2971</v>
      </c>
      <c r="DO10" t="s">
        <v>2984</v>
      </c>
      <c r="DP10" t="s">
        <v>2996</v>
      </c>
      <c r="DQ10" t="s">
        <v>3011</v>
      </c>
      <c r="DR10" t="s">
        <v>3020</v>
      </c>
      <c r="DS10" t="s">
        <v>3039</v>
      </c>
      <c r="DT10" t="s">
        <v>3056</v>
      </c>
      <c r="DV10" t="s">
        <v>3079</v>
      </c>
      <c r="DW10" t="s">
        <v>3088</v>
      </c>
      <c r="DX10" t="s">
        <v>3103</v>
      </c>
      <c r="DY10" t="s">
        <v>3119</v>
      </c>
      <c r="DZ10" t="s">
        <v>3132</v>
      </c>
      <c r="EA10" t="s">
        <v>3151</v>
      </c>
      <c r="EB10" t="s">
        <v>3164</v>
      </c>
      <c r="EC10" t="s">
        <v>3183</v>
      </c>
      <c r="ED10" t="s">
        <v>3211</v>
      </c>
      <c r="EE10" t="s">
        <v>3226</v>
      </c>
      <c r="EF10" t="s">
        <v>3235</v>
      </c>
      <c r="EH10" t="s">
        <v>3265</v>
      </c>
      <c r="EI10" t="s">
        <v>3285</v>
      </c>
      <c r="EJ10" t="s">
        <v>3296</v>
      </c>
      <c r="EK10" t="s">
        <v>3311</v>
      </c>
      <c r="EM10" t="s">
        <v>3333</v>
      </c>
      <c r="EN10" t="s">
        <v>3342</v>
      </c>
      <c r="EQ10" t="s">
        <v>3376</v>
      </c>
      <c r="ER10" t="s">
        <v>3402</v>
      </c>
      <c r="ES10" t="s">
        <v>3422</v>
      </c>
      <c r="EU10" t="s">
        <v>3445</v>
      </c>
      <c r="EV10" t="s">
        <v>3454</v>
      </c>
      <c r="EW10" t="s">
        <v>3465</v>
      </c>
      <c r="FB10" t="s">
        <v>3506</v>
      </c>
      <c r="FC10" t="s">
        <v>3518</v>
      </c>
      <c r="FD10" t="s">
        <v>3528</v>
      </c>
      <c r="FE10" t="s">
        <v>3544</v>
      </c>
      <c r="FF10" t="s">
        <v>3554</v>
      </c>
      <c r="FG10" t="s">
        <v>3568</v>
      </c>
      <c r="FH10" t="s">
        <v>3578</v>
      </c>
      <c r="FI10" t="s">
        <v>3598</v>
      </c>
      <c r="FJ10" t="s">
        <v>3609</v>
      </c>
      <c r="FK10" t="s">
        <v>3621</v>
      </c>
      <c r="FM10" t="s">
        <v>3650</v>
      </c>
      <c r="FN10" t="s">
        <v>3661</v>
      </c>
      <c r="FO10" t="s">
        <v>3672</v>
      </c>
      <c r="FQ10" t="s">
        <v>3694</v>
      </c>
      <c r="FR10" t="s">
        <v>3714</v>
      </c>
      <c r="FS10" t="s">
        <v>3723</v>
      </c>
      <c r="FT10" t="s">
        <v>3735</v>
      </c>
      <c r="FU10" t="s">
        <v>3751</v>
      </c>
      <c r="FV10" t="s">
        <v>3768</v>
      </c>
      <c r="FX10" t="s">
        <v>3791</v>
      </c>
      <c r="FZ10" t="s">
        <v>3817</v>
      </c>
      <c r="GA10" t="s">
        <v>3831</v>
      </c>
      <c r="GB10" t="s">
        <v>3840</v>
      </c>
      <c r="GE10" t="s">
        <v>3861</v>
      </c>
      <c r="GF10" t="s">
        <v>3871</v>
      </c>
      <c r="GG10" t="s">
        <v>3890</v>
      </c>
      <c r="GH10" t="s">
        <v>3902</v>
      </c>
      <c r="GJ10" t="s">
        <v>3918</v>
      </c>
      <c r="GK10" t="s">
        <v>3931</v>
      </c>
      <c r="GL10" t="s">
        <v>3949</v>
      </c>
      <c r="GM10" t="s">
        <v>3959</v>
      </c>
      <c r="GN10" t="s">
        <v>3969</v>
      </c>
      <c r="GO10" t="s">
        <v>3993</v>
      </c>
      <c r="GP10" t="s">
        <v>4012</v>
      </c>
      <c r="GQ10" t="s">
        <v>4050</v>
      </c>
      <c r="GR10" t="s">
        <v>4059</v>
      </c>
      <c r="GS10" t="s">
        <v>4069</v>
      </c>
      <c r="GT10" t="s">
        <v>4083</v>
      </c>
      <c r="GU10" t="s">
        <v>4106</v>
      </c>
      <c r="GV10" t="s">
        <v>4116</v>
      </c>
      <c r="GW10" t="s">
        <v>4149</v>
      </c>
      <c r="GX10" t="s">
        <v>4170</v>
      </c>
      <c r="GY10" t="s">
        <v>4187</v>
      </c>
      <c r="GZ10" t="s">
        <v>4199</v>
      </c>
      <c r="HA10" t="s">
        <v>4208</v>
      </c>
      <c r="HB10" t="s">
        <v>4221</v>
      </c>
      <c r="HC10" t="s">
        <v>4232</v>
      </c>
      <c r="HD10" t="s">
        <v>4246</v>
      </c>
      <c r="HE10" t="s">
        <v>4262</v>
      </c>
      <c r="HF10" t="s">
        <v>4291</v>
      </c>
      <c r="HG10" t="s">
        <v>4303</v>
      </c>
      <c r="HI10" t="s">
        <v>4341</v>
      </c>
      <c r="HJ10" t="s">
        <v>4364</v>
      </c>
      <c r="HK10" t="s">
        <v>4384</v>
      </c>
      <c r="HL10" t="s">
        <v>4397</v>
      </c>
      <c r="HP10" t="s">
        <v>4434</v>
      </c>
      <c r="HQ10" t="s">
        <v>4449</v>
      </c>
      <c r="HR10" t="s">
        <v>4465</v>
      </c>
      <c r="HS10" t="s">
        <v>4488</v>
      </c>
      <c r="HT10" t="s">
        <v>4497</v>
      </c>
      <c r="HU10" t="s">
        <v>4524</v>
      </c>
      <c r="HW10" t="s">
        <v>4541</v>
      </c>
      <c r="HX10" t="s">
        <v>4551</v>
      </c>
      <c r="HY10" t="s">
        <v>4560</v>
      </c>
      <c r="IA10" t="s">
        <v>4584</v>
      </c>
      <c r="IB10" t="s">
        <v>4598</v>
      </c>
      <c r="IC10" t="s">
        <v>4607</v>
      </c>
      <c r="IE10" t="s">
        <v>4621</v>
      </c>
      <c r="IF10" t="s">
        <v>4631</v>
      </c>
      <c r="IH10" t="s">
        <v>4652</v>
      </c>
      <c r="II10" t="s">
        <v>4661</v>
      </c>
      <c r="IJ10" t="s">
        <v>4679</v>
      </c>
      <c r="IK10" t="s">
        <v>4703</v>
      </c>
      <c r="IN10" t="s">
        <v>4726</v>
      </c>
      <c r="IO10" t="s">
        <v>4745</v>
      </c>
      <c r="IQ10" t="s">
        <v>4785</v>
      </c>
      <c r="IR10" t="s">
        <v>4802</v>
      </c>
      <c r="IS10" t="s">
        <v>4823</v>
      </c>
      <c r="IT10" t="s">
        <v>4834</v>
      </c>
      <c r="IU10" t="s">
        <v>4844</v>
      </c>
      <c r="IV10" t="s">
        <v>4855</v>
      </c>
      <c r="IW10" t="s">
        <v>4870</v>
      </c>
      <c r="IX10" t="s">
        <v>4881</v>
      </c>
      <c r="JA10" t="s">
        <v>4904</v>
      </c>
      <c r="JB10" t="s">
        <v>4929</v>
      </c>
      <c r="JC10" t="s">
        <v>4939</v>
      </c>
      <c r="JD10" t="s">
        <v>4949</v>
      </c>
      <c r="JF10" t="s">
        <v>4967</v>
      </c>
      <c r="JH10" t="s">
        <v>4990</v>
      </c>
      <c r="JI10" t="s">
        <v>5002</v>
      </c>
      <c r="JJ10" t="s">
        <v>5021</v>
      </c>
      <c r="JK10" t="s">
        <v>5032</v>
      </c>
      <c r="JL10" t="s">
        <v>5054</v>
      </c>
      <c r="JM10" t="s">
        <v>5076</v>
      </c>
      <c r="JN10" t="s">
        <v>5087</v>
      </c>
      <c r="JO10" t="s">
        <v>5110</v>
      </c>
      <c r="JP10" t="s">
        <v>5125</v>
      </c>
      <c r="JR10" t="s">
        <v>5144</v>
      </c>
      <c r="JS10" t="s">
        <v>5164</v>
      </c>
      <c r="JW10" t="s">
        <v>5195</v>
      </c>
      <c r="JX10" t="s">
        <v>5205</v>
      </c>
      <c r="JY10" t="s">
        <v>5219</v>
      </c>
      <c r="KA10" t="s">
        <v>5243</v>
      </c>
      <c r="KC10" t="s">
        <v>5260</v>
      </c>
      <c r="KD10" t="s">
        <v>5272</v>
      </c>
      <c r="KF10" t="s">
        <v>5288</v>
      </c>
      <c r="KH10" t="s">
        <v>5305</v>
      </c>
      <c r="KI10" t="s">
        <v>5319</v>
      </c>
      <c r="KK10" t="s">
        <v>5338</v>
      </c>
      <c r="KL10" t="s">
        <v>5366</v>
      </c>
      <c r="KM10" t="s">
        <v>5380</v>
      </c>
      <c r="KN10" t="s">
        <v>5394</v>
      </c>
      <c r="KO10" t="s">
        <v>5414</v>
      </c>
      <c r="KP10" t="s">
        <v>5430</v>
      </c>
      <c r="KQ10" t="s">
        <v>5448</v>
      </c>
      <c r="KR10" t="s">
        <v>5465</v>
      </c>
      <c r="KS10" t="s">
        <v>5478</v>
      </c>
      <c r="KU10" t="s">
        <v>5496</v>
      </c>
      <c r="KV10" t="s">
        <v>5508</v>
      </c>
      <c r="KY10" t="s">
        <v>5536</v>
      </c>
      <c r="KZ10" t="s">
        <v>5561</v>
      </c>
      <c r="LA10" t="s">
        <v>5572</v>
      </c>
      <c r="LB10" t="s">
        <v>5587</v>
      </c>
      <c r="LC10" t="s">
        <v>5600</v>
      </c>
      <c r="LD10" t="s">
        <v>5616</v>
      </c>
      <c r="LE10" t="s">
        <v>5625</v>
      </c>
      <c r="LF10" t="s">
        <v>5646</v>
      </c>
      <c r="LG10" t="s">
        <v>5675</v>
      </c>
      <c r="LI10" t="s">
        <v>5693</v>
      </c>
      <c r="LJ10" t="s">
        <v>5705</v>
      </c>
      <c r="LK10" t="s">
        <v>5714</v>
      </c>
      <c r="LL10" t="s">
        <v>5726</v>
      </c>
      <c r="LN10" t="s">
        <v>5749</v>
      </c>
      <c r="LO10" t="s">
        <v>5766</v>
      </c>
      <c r="LP10" t="s">
        <v>5779</v>
      </c>
      <c r="LS10" t="s">
        <v>5818</v>
      </c>
      <c r="LT10" t="s">
        <v>5841</v>
      </c>
      <c r="LU10" t="s">
        <v>5851</v>
      </c>
      <c r="LV10" t="s">
        <v>5861</v>
      </c>
      <c r="LW10" t="s">
        <v>5874</v>
      </c>
      <c r="LX10" t="s">
        <v>5888</v>
      </c>
      <c r="LY10" t="s">
        <v>5901</v>
      </c>
      <c r="LZ10" t="s">
        <v>5911</v>
      </c>
      <c r="MA10" t="s">
        <v>5937</v>
      </c>
      <c r="MB10" t="s">
        <v>5950</v>
      </c>
      <c r="MC10" t="s">
        <v>5963</v>
      </c>
      <c r="ME10" t="s">
        <v>5986</v>
      </c>
      <c r="MG10" t="s">
        <v>6001</v>
      </c>
      <c r="MI10" t="s">
        <v>6021</v>
      </c>
      <c r="MK10" t="s">
        <v>6057</v>
      </c>
      <c r="ML10" t="s">
        <v>6070</v>
      </c>
      <c r="MM10" t="s">
        <v>6079</v>
      </c>
      <c r="MN10" t="s">
        <v>6088</v>
      </c>
      <c r="MO10" t="s">
        <v>6098</v>
      </c>
      <c r="MS10" t="s">
        <v>6128</v>
      </c>
      <c r="MT10" t="s">
        <v>6141</v>
      </c>
      <c r="MW10" t="s">
        <v>6174</v>
      </c>
      <c r="MX10" t="s">
        <v>6188</v>
      </c>
      <c r="MY10" t="s">
        <v>6201</v>
      </c>
      <c r="MZ10" t="s">
        <v>6211</v>
      </c>
      <c r="NA10" t="s">
        <v>6227</v>
      </c>
      <c r="NB10" t="s">
        <v>6240</v>
      </c>
      <c r="ND10" t="s">
        <v>6253</v>
      </c>
      <c r="NE10" t="s">
        <v>6270</v>
      </c>
      <c r="NF10" t="s">
        <v>6291</v>
      </c>
      <c r="NG10" t="s">
        <v>6301</v>
      </c>
      <c r="NH10" t="s">
        <v>6324</v>
      </c>
      <c r="NI10" t="s">
        <v>6337</v>
      </c>
      <c r="NJ10" t="s">
        <v>6354</v>
      </c>
      <c r="NK10" t="s">
        <v>6369</v>
      </c>
      <c r="NL10" t="s">
        <v>6389</v>
      </c>
      <c r="NM10" t="s">
        <v>6407</v>
      </c>
      <c r="NN10" t="s">
        <v>6430</v>
      </c>
      <c r="NO10" t="s">
        <v>6452</v>
      </c>
      <c r="NP10" t="s">
        <v>6468</v>
      </c>
      <c r="NQ10" t="s">
        <v>6492</v>
      </c>
      <c r="NR10" t="s">
        <v>6501</v>
      </c>
      <c r="NS10" t="s">
        <v>6518</v>
      </c>
      <c r="NT10" t="s">
        <v>6528</v>
      </c>
      <c r="NV10" t="s">
        <v>6545</v>
      </c>
      <c r="NX10" t="s">
        <v>6563</v>
      </c>
      <c r="NZ10" t="s">
        <v>6586</v>
      </c>
      <c r="OA10" t="s">
        <v>6601</v>
      </c>
      <c r="OB10" t="s">
        <v>6612</v>
      </c>
      <c r="OC10" t="s">
        <v>6633</v>
      </c>
      <c r="OE10" t="s">
        <v>6654</v>
      </c>
      <c r="OF10" t="s">
        <v>6665</v>
      </c>
      <c r="OG10" t="s">
        <v>6680</v>
      </c>
      <c r="OH10" t="s">
        <v>6702</v>
      </c>
      <c r="OI10" t="s">
        <v>6728</v>
      </c>
      <c r="OJ10" t="s">
        <v>6742</v>
      </c>
      <c r="OK10" t="s">
        <v>6759</v>
      </c>
      <c r="OL10" t="s">
        <v>6777</v>
      </c>
      <c r="OM10" t="s">
        <v>6791</v>
      </c>
      <c r="OO10" t="s">
        <v>6808</v>
      </c>
      <c r="OP10" t="s">
        <v>6819</v>
      </c>
      <c r="OQ10" t="s">
        <v>6829</v>
      </c>
      <c r="OS10" t="s">
        <v>6851</v>
      </c>
      <c r="OU10" t="s">
        <v>6868</v>
      </c>
      <c r="OV10" t="s">
        <v>6886</v>
      </c>
      <c r="OW10" t="s">
        <v>6902</v>
      </c>
      <c r="OX10" t="s">
        <v>6921</v>
      </c>
      <c r="OY10" t="s">
        <v>6930</v>
      </c>
      <c r="PA10" t="s">
        <v>6951</v>
      </c>
      <c r="PC10" t="s">
        <v>6984</v>
      </c>
      <c r="PD10" t="s">
        <v>6999</v>
      </c>
      <c r="PE10" t="s">
        <v>7011</v>
      </c>
      <c r="PF10" t="s">
        <v>7024</v>
      </c>
      <c r="PG10" t="s">
        <v>7039</v>
      </c>
      <c r="PH10" t="s">
        <v>7051</v>
      </c>
      <c r="PI10" t="s">
        <v>7063</v>
      </c>
      <c r="PJ10" t="s">
        <v>7074</v>
      </c>
      <c r="PL10" t="s">
        <v>7091</v>
      </c>
      <c r="PN10" t="s">
        <v>7128</v>
      </c>
      <c r="PO10" t="s">
        <v>7141</v>
      </c>
      <c r="PP10" t="s">
        <v>7153</v>
      </c>
      <c r="PQ10" t="s">
        <v>7168</v>
      </c>
      <c r="PR10" t="s">
        <v>7192</v>
      </c>
      <c r="PS10" t="s">
        <v>7208</v>
      </c>
      <c r="PT10" t="s">
        <v>7221</v>
      </c>
      <c r="PV10" t="s">
        <v>7252</v>
      </c>
      <c r="PX10" t="s">
        <v>7270</v>
      </c>
      <c r="PY10" t="s">
        <v>7286</v>
      </c>
      <c r="PZ10" t="s">
        <v>7300</v>
      </c>
      <c r="QA10" t="s">
        <v>7313</v>
      </c>
      <c r="QB10" t="s">
        <v>7322</v>
      </c>
      <c r="QC10" t="s">
        <v>7340</v>
      </c>
      <c r="QD10" t="s">
        <v>7351</v>
      </c>
      <c r="QE10" t="s">
        <v>7360</v>
      </c>
      <c r="QF10" t="s">
        <v>7379</v>
      </c>
      <c r="QG10" t="s">
        <v>7395</v>
      </c>
      <c r="QI10" t="s">
        <v>7414</v>
      </c>
      <c r="QK10" t="s">
        <v>7443</v>
      </c>
      <c r="QL10" t="s">
        <v>7452</v>
      </c>
      <c r="QM10" t="s">
        <v>7475</v>
      </c>
      <c r="QN10" t="s">
        <v>7487</v>
      </c>
      <c r="QO10" t="s">
        <v>7518</v>
      </c>
      <c r="QP10" t="s">
        <v>7533</v>
      </c>
      <c r="QQ10" t="s">
        <v>7543</v>
      </c>
      <c r="QR10" t="s">
        <v>7563</v>
      </c>
      <c r="QS10" t="s">
        <v>7573</v>
      </c>
      <c r="QT10" t="s">
        <v>7609</v>
      </c>
      <c r="QU10" t="s">
        <v>7619</v>
      </c>
      <c r="QV10" t="s">
        <v>7628</v>
      </c>
      <c r="QW10" t="s">
        <v>7639</v>
      </c>
      <c r="QY10" t="s">
        <v>7664</v>
      </c>
      <c r="QZ10" t="s">
        <v>7684</v>
      </c>
      <c r="RA10" t="s">
        <v>7699</v>
      </c>
      <c r="RB10" t="s">
        <v>7715</v>
      </c>
      <c r="RC10" t="s">
        <v>7730</v>
      </c>
      <c r="RD10" t="s">
        <v>7762</v>
      </c>
      <c r="RE10" t="s">
        <v>7771</v>
      </c>
      <c r="RF10" t="s">
        <v>7784</v>
      </c>
      <c r="RG10" t="s">
        <v>7800</v>
      </c>
      <c r="RI10" t="s">
        <v>7817</v>
      </c>
      <c r="RJ10" t="s">
        <v>7827</v>
      </c>
      <c r="RM10" t="s">
        <v>7858</v>
      </c>
      <c r="RN10" t="s">
        <v>7874</v>
      </c>
      <c r="RP10" t="s">
        <v>7897</v>
      </c>
      <c r="RQ10" t="s">
        <v>7911</v>
      </c>
      <c r="RR10" t="s">
        <v>7927</v>
      </c>
      <c r="RS10" t="s">
        <v>7936</v>
      </c>
      <c r="RU10" t="s">
        <v>7953</v>
      </c>
      <c r="RV10" t="s">
        <v>7966</v>
      </c>
      <c r="RW10" t="s">
        <v>7990</v>
      </c>
      <c r="RX10" t="s">
        <v>8001</v>
      </c>
      <c r="RY10" t="s">
        <v>8011</v>
      </c>
      <c r="RZ10" t="s">
        <v>8022</v>
      </c>
      <c r="SB10" t="s">
        <v>8062</v>
      </c>
      <c r="SC10" t="s">
        <v>8074</v>
      </c>
      <c r="SD10" t="s">
        <v>8087</v>
      </c>
      <c r="SE10" t="s">
        <v>8109</v>
      </c>
      <c r="SF10" t="s">
        <v>8118</v>
      </c>
      <c r="SH10" t="s">
        <v>8148</v>
      </c>
      <c r="SI10" t="s">
        <v>8177</v>
      </c>
      <c r="SJ10" t="s">
        <v>8191</v>
      </c>
      <c r="SL10" t="s">
        <v>8220</v>
      </c>
      <c r="SM10" t="s">
        <v>8230</v>
      </c>
      <c r="SP10" t="s">
        <v>8254</v>
      </c>
      <c r="SS10" t="s">
        <v>8283</v>
      </c>
      <c r="ST10" t="s">
        <v>8297</v>
      </c>
      <c r="SU10" t="s">
        <v>8313</v>
      </c>
      <c r="SV10" t="s">
        <v>8339</v>
      </c>
      <c r="SW10" t="s">
        <v>8348</v>
      </c>
      <c r="SX10" t="s">
        <v>8361</v>
      </c>
      <c r="SY10" t="s">
        <v>8380</v>
      </c>
      <c r="SZ10" t="s">
        <v>8390</v>
      </c>
      <c r="TB10" t="s">
        <v>8410</v>
      </c>
      <c r="TC10" t="s">
        <v>8421</v>
      </c>
      <c r="TD10" t="s">
        <v>8432</v>
      </c>
      <c r="TE10" t="s">
        <v>8461</v>
      </c>
      <c r="TH10" t="s">
        <v>8482</v>
      </c>
      <c r="TI10" t="s">
        <v>8495</v>
      </c>
      <c r="TK10" t="s">
        <v>8512</v>
      </c>
      <c r="TL10" t="s">
        <v>8522</v>
      </c>
      <c r="TM10" t="s">
        <v>8537</v>
      </c>
      <c r="TN10" t="s">
        <v>8549</v>
      </c>
      <c r="TO10" t="s">
        <v>8559</v>
      </c>
      <c r="TP10" t="s">
        <v>8577</v>
      </c>
      <c r="TQ10" t="s">
        <v>8589</v>
      </c>
      <c r="TR10" t="s">
        <v>8603</v>
      </c>
      <c r="TS10" t="s">
        <v>8639</v>
      </c>
      <c r="TT10" t="s">
        <v>8651</v>
      </c>
      <c r="TU10" t="s">
        <v>8666</v>
      </c>
      <c r="TV10" t="s">
        <v>8676</v>
      </c>
      <c r="TW10" t="s">
        <v>8696</v>
      </c>
      <c r="TX10" t="s">
        <v>8713</v>
      </c>
      <c r="TY10" t="s">
        <v>8723</v>
      </c>
      <c r="TZ10" t="s">
        <v>8735</v>
      </c>
      <c r="UB10" t="s">
        <v>8760</v>
      </c>
      <c r="UC10" t="s">
        <v>8780</v>
      </c>
      <c r="UE10" t="s">
        <v>8806</v>
      </c>
      <c r="UF10" t="s">
        <v>8815</v>
      </c>
      <c r="UG10" t="s">
        <v>8839</v>
      </c>
      <c r="UH10" t="s">
        <v>8855</v>
      </c>
      <c r="UI10" t="s">
        <v>8891</v>
      </c>
      <c r="UJ10" t="s">
        <v>8904</v>
      </c>
      <c r="UK10" t="s">
        <v>8937</v>
      </c>
      <c r="UL10" t="s">
        <v>8953</v>
      </c>
      <c r="UN10" t="s">
        <v>8973</v>
      </c>
      <c r="UO10" t="s">
        <v>8986</v>
      </c>
      <c r="UP10" t="s">
        <v>9006</v>
      </c>
      <c r="UQ10" t="s">
        <v>9015</v>
      </c>
      <c r="UR10" t="s">
        <v>9031</v>
      </c>
      <c r="US10" t="s">
        <v>9056</v>
      </c>
      <c r="UT10" t="s">
        <v>9072</v>
      </c>
      <c r="UV10" t="s">
        <v>9096</v>
      </c>
      <c r="UW10" t="s">
        <v>9126</v>
      </c>
      <c r="UX10" t="s">
        <v>9137</v>
      </c>
      <c r="UY10" t="s">
        <v>9153</v>
      </c>
      <c r="UZ10" t="s">
        <v>9176</v>
      </c>
      <c r="VB10" t="s">
        <v>9200</v>
      </c>
      <c r="VC10" t="s">
        <v>9209</v>
      </c>
      <c r="VD10" t="s">
        <v>9221</v>
      </c>
      <c r="VE10" t="s">
        <v>9233</v>
      </c>
      <c r="VF10" t="s">
        <v>9254</v>
      </c>
      <c r="VG10" t="s">
        <v>9271</v>
      </c>
      <c r="VH10" t="s">
        <v>9282</v>
      </c>
      <c r="VI10" t="s">
        <v>9298</v>
      </c>
      <c r="VJ10" t="s">
        <v>9318</v>
      </c>
      <c r="VK10" t="s">
        <v>9334</v>
      </c>
      <c r="VL10" t="s">
        <v>9350</v>
      </c>
      <c r="VN10" t="s">
        <v>9369</v>
      </c>
      <c r="VQ10" t="s">
        <v>9393</v>
      </c>
      <c r="VR10" t="s">
        <v>9407</v>
      </c>
      <c r="VS10" t="s">
        <v>9428</v>
      </c>
      <c r="VT10" t="s">
        <v>9444</v>
      </c>
      <c r="VX10" t="s">
        <v>9498</v>
      </c>
      <c r="VY10" t="s">
        <v>9510</v>
      </c>
      <c r="VZ10" t="s">
        <v>9538</v>
      </c>
      <c r="WC10" t="s">
        <v>9560</v>
      </c>
      <c r="WD10" t="s">
        <v>9576</v>
      </c>
      <c r="WE10" t="s">
        <v>9609</v>
      </c>
      <c r="WF10" t="s">
        <v>9618</v>
      </c>
      <c r="WG10" t="s">
        <v>9633</v>
      </c>
      <c r="WH10" t="s">
        <v>9646</v>
      </c>
      <c r="WI10" t="s">
        <v>9659</v>
      </c>
      <c r="WJ10" t="s">
        <v>9671</v>
      </c>
      <c r="WK10" t="s">
        <v>9691</v>
      </c>
      <c r="WL10" t="s">
        <v>9701</v>
      </c>
      <c r="WM10" t="s">
        <v>9721</v>
      </c>
      <c r="WN10" t="s">
        <v>9734</v>
      </c>
      <c r="WQ10" t="s">
        <v>9762</v>
      </c>
      <c r="WR10" t="s">
        <v>9771</v>
      </c>
      <c r="WS10" t="s">
        <v>9799</v>
      </c>
      <c r="WU10" t="s">
        <v>9841</v>
      </c>
      <c r="WV10" t="s">
        <v>9868</v>
      </c>
      <c r="WW10" t="s">
        <v>9885</v>
      </c>
      <c r="WX10" t="s">
        <v>9898</v>
      </c>
      <c r="WY10" t="s">
        <v>9917</v>
      </c>
      <c r="WZ10" t="s">
        <v>9933</v>
      </c>
      <c r="XA10" t="s">
        <v>9943</v>
      </c>
      <c r="XB10" t="s">
        <v>9965</v>
      </c>
      <c r="XC10" t="s">
        <v>9979</v>
      </c>
      <c r="XD10" t="s">
        <v>9999</v>
      </c>
      <c r="XE10" t="s">
        <v>10013</v>
      </c>
      <c r="XF10" t="s">
        <v>10029</v>
      </c>
      <c r="XG10" t="s">
        <v>10049</v>
      </c>
      <c r="XH10" t="s">
        <v>10065</v>
      </c>
      <c r="XI10" t="s">
        <v>10083</v>
      </c>
      <c r="XJ10" t="s">
        <v>10101</v>
      </c>
      <c r="XK10" t="s">
        <v>10111</v>
      </c>
      <c r="XL10" t="s">
        <v>10124</v>
      </c>
      <c r="XM10" t="s">
        <v>10141</v>
      </c>
      <c r="XN10" t="s">
        <v>10161</v>
      </c>
      <c r="XO10" t="s">
        <v>10170</v>
      </c>
      <c r="XP10" t="s">
        <v>10182</v>
      </c>
      <c r="XQ10" t="s">
        <v>10194</v>
      </c>
      <c r="XR10" t="s">
        <v>10204</v>
      </c>
      <c r="XS10" t="s">
        <v>10225</v>
      </c>
      <c r="XT10" t="s">
        <v>10236</v>
      </c>
      <c r="XV10" t="s">
        <v>10260</v>
      </c>
      <c r="XW10" t="s">
        <v>10270</v>
      </c>
      <c r="XX10" t="s">
        <v>10284</v>
      </c>
      <c r="XY10" t="s">
        <v>10296</v>
      </c>
      <c r="XZ10" t="s">
        <v>10314</v>
      </c>
      <c r="YA10" t="s">
        <v>10327</v>
      </c>
      <c r="YB10" t="s">
        <v>10339</v>
      </c>
      <c r="YC10" t="s">
        <v>10359</v>
      </c>
      <c r="YD10" t="s">
        <v>10388</v>
      </c>
      <c r="YE10" t="s">
        <v>10408</v>
      </c>
      <c r="YG10" t="s">
        <v>10434</v>
      </c>
      <c r="YH10" t="s">
        <v>10448</v>
      </c>
      <c r="YI10" t="s">
        <v>10460</v>
      </c>
      <c r="YJ10" t="s">
        <v>10473</v>
      </c>
      <c r="YK10" t="s">
        <v>10496</v>
      </c>
      <c r="YL10" t="s">
        <v>10506</v>
      </c>
      <c r="YM10" t="s">
        <v>10515</v>
      </c>
      <c r="YO10" t="s">
        <v>10537</v>
      </c>
      <c r="YP10" t="s">
        <v>10551</v>
      </c>
      <c r="YQ10" t="s">
        <v>10566</v>
      </c>
      <c r="YR10" t="s">
        <v>10582</v>
      </c>
      <c r="YS10" t="s">
        <v>10602</v>
      </c>
      <c r="YT10" t="s">
        <v>10616</v>
      </c>
      <c r="YU10" t="s">
        <v>10640</v>
      </c>
      <c r="YV10" t="s">
        <v>10660</v>
      </c>
      <c r="YW10" t="s">
        <v>10673</v>
      </c>
      <c r="YX10" t="s">
        <v>10693</v>
      </c>
      <c r="YY10" t="s">
        <v>10709</v>
      </c>
      <c r="YZ10" t="s">
        <v>10730</v>
      </c>
      <c r="ZA10" t="s">
        <v>10740</v>
      </c>
      <c r="ZB10" t="s">
        <v>10756</v>
      </c>
      <c r="ZC10" t="s">
        <v>10769</v>
      </c>
      <c r="ZD10" t="s">
        <v>10786</v>
      </c>
      <c r="ZE10" t="s">
        <v>10806</v>
      </c>
      <c r="ZF10" t="s">
        <v>10818</v>
      </c>
      <c r="ZG10" t="s">
        <v>10830</v>
      </c>
      <c r="ZH10" t="s">
        <v>10841</v>
      </c>
      <c r="ZI10" t="s">
        <v>10852</v>
      </c>
      <c r="ZJ10" t="s">
        <v>10872</v>
      </c>
      <c r="ZK10" t="s">
        <v>10883</v>
      </c>
      <c r="ZL10" t="s">
        <v>10901</v>
      </c>
      <c r="ZM10" t="s">
        <v>10916</v>
      </c>
      <c r="ZN10" t="s">
        <v>10928</v>
      </c>
      <c r="ZO10" t="s">
        <v>10939</v>
      </c>
      <c r="ZP10" t="s">
        <v>10956</v>
      </c>
      <c r="ZQ10" t="s">
        <v>10974</v>
      </c>
      <c r="ZR10" t="s">
        <v>10986</v>
      </c>
      <c r="ZS10" t="s">
        <v>10995</v>
      </c>
      <c r="ZT10" t="s">
        <v>11012</v>
      </c>
      <c r="ZU10" t="s">
        <v>11031</v>
      </c>
      <c r="ZV10" t="s">
        <v>11048</v>
      </c>
      <c r="ZW10" t="s">
        <v>11061</v>
      </c>
    </row>
    <row r="11" spans="1:699" x14ac:dyDescent="0.25">
      <c r="A11" t="s">
        <v>1240</v>
      </c>
      <c r="C11" t="s">
        <v>1261</v>
      </c>
      <c r="D11" t="s">
        <v>1272</v>
      </c>
      <c r="E11" t="s">
        <v>1287</v>
      </c>
      <c r="F11" t="s">
        <v>1305</v>
      </c>
      <c r="G11" t="s">
        <v>1326</v>
      </c>
      <c r="I11" t="s">
        <v>1351</v>
      </c>
      <c r="L11" t="s">
        <v>1389</v>
      </c>
      <c r="M11" t="s">
        <v>1404</v>
      </c>
      <c r="N11" t="s">
        <v>1418</v>
      </c>
      <c r="P11" t="s">
        <v>1451</v>
      </c>
      <c r="Q11" t="s">
        <v>1463</v>
      </c>
      <c r="R11" t="s">
        <v>1485</v>
      </c>
      <c r="S11" t="s">
        <v>1505</v>
      </c>
      <c r="T11" t="s">
        <v>1523</v>
      </c>
      <c r="U11" t="s">
        <v>1537</v>
      </c>
      <c r="V11" t="s">
        <v>1574</v>
      </c>
      <c r="W11" t="s">
        <v>1589</v>
      </c>
      <c r="X11" t="s">
        <v>1601</v>
      </c>
      <c r="Y11" t="s">
        <v>1617</v>
      </c>
      <c r="Z11" t="s">
        <v>1631</v>
      </c>
      <c r="AA11" t="s">
        <v>1657</v>
      </c>
      <c r="AC11" t="s">
        <v>1676</v>
      </c>
      <c r="AE11" t="s">
        <v>1701</v>
      </c>
      <c r="AF11" t="s">
        <v>1715</v>
      </c>
      <c r="AG11" t="s">
        <v>1725</v>
      </c>
      <c r="AH11" t="s">
        <v>1745</v>
      </c>
      <c r="AI11" t="s">
        <v>1758</v>
      </c>
      <c r="AJ11" t="s">
        <v>1778</v>
      </c>
      <c r="AK11" t="s">
        <v>1791</v>
      </c>
      <c r="AM11" t="s">
        <v>1814</v>
      </c>
      <c r="AO11" t="s">
        <v>1834</v>
      </c>
      <c r="AP11" t="s">
        <v>1851</v>
      </c>
      <c r="AQ11" t="s">
        <v>1867</v>
      </c>
      <c r="AS11" t="s">
        <v>1886</v>
      </c>
      <c r="AT11" t="s">
        <v>1908</v>
      </c>
      <c r="AU11" t="s">
        <v>1925</v>
      </c>
      <c r="AV11" t="s">
        <v>1940</v>
      </c>
      <c r="AW11" t="s">
        <v>1972</v>
      </c>
      <c r="AX11" t="s">
        <v>1985</v>
      </c>
      <c r="AY11" t="s">
        <v>1998</v>
      </c>
      <c r="AZ11" t="s">
        <v>2009</v>
      </c>
      <c r="BA11" t="s">
        <v>2036</v>
      </c>
      <c r="BC11" t="s">
        <v>2060</v>
      </c>
      <c r="BD11" t="s">
        <v>2079</v>
      </c>
      <c r="BE11" t="s">
        <v>2115</v>
      </c>
      <c r="BF11" t="s">
        <v>2133</v>
      </c>
      <c r="BG11" t="s">
        <v>2143</v>
      </c>
      <c r="BH11" t="s">
        <v>2158</v>
      </c>
      <c r="BI11" t="s">
        <v>2168</v>
      </c>
      <c r="BJ11" t="s">
        <v>2188</v>
      </c>
      <c r="BM11" t="s">
        <v>2224</v>
      </c>
      <c r="BN11" t="s">
        <v>2239</v>
      </c>
      <c r="BO11" t="s">
        <v>2258</v>
      </c>
      <c r="BP11" t="s">
        <v>2272</v>
      </c>
      <c r="BQ11" t="s">
        <v>2286</v>
      </c>
      <c r="BR11" t="s">
        <v>2309</v>
      </c>
      <c r="BS11" t="s">
        <v>2320</v>
      </c>
      <c r="BT11" t="s">
        <v>2344</v>
      </c>
      <c r="BU11" t="s">
        <v>2359</v>
      </c>
      <c r="BV11" t="s">
        <v>2379</v>
      </c>
      <c r="BX11" t="s">
        <v>2402</v>
      </c>
      <c r="BY11" t="s">
        <v>2416</v>
      </c>
      <c r="CA11" t="s">
        <v>2442</v>
      </c>
      <c r="CB11" t="s">
        <v>2454</v>
      </c>
      <c r="CC11" t="s">
        <v>2476</v>
      </c>
      <c r="CD11" t="s">
        <v>2491</v>
      </c>
      <c r="CF11" t="s">
        <v>2510</v>
      </c>
      <c r="CG11" t="s">
        <v>2531</v>
      </c>
      <c r="CI11" t="s">
        <v>2551</v>
      </c>
      <c r="CM11" t="s">
        <v>2578</v>
      </c>
      <c r="CO11" t="s">
        <v>2599</v>
      </c>
      <c r="CS11" t="s">
        <v>2636</v>
      </c>
      <c r="CT11" t="s">
        <v>2651</v>
      </c>
      <c r="CU11" t="s">
        <v>2662</v>
      </c>
      <c r="CV11" t="s">
        <v>2681</v>
      </c>
      <c r="CW11" t="s">
        <v>2698</v>
      </c>
      <c r="CX11" t="s">
        <v>2729</v>
      </c>
      <c r="CY11" t="s">
        <v>2740</v>
      </c>
      <c r="CZ11" t="s">
        <v>2750</v>
      </c>
      <c r="DA11" t="s">
        <v>2761</v>
      </c>
      <c r="DB11" t="s">
        <v>2793</v>
      </c>
      <c r="DD11" t="s">
        <v>2813</v>
      </c>
      <c r="DE11" t="s">
        <v>2825</v>
      </c>
      <c r="DF11" t="s">
        <v>2847</v>
      </c>
      <c r="DG11" t="s">
        <v>2884</v>
      </c>
      <c r="DH11" t="s">
        <v>2897</v>
      </c>
      <c r="DJ11" t="s">
        <v>2918</v>
      </c>
      <c r="DK11" t="s">
        <v>2940</v>
      </c>
      <c r="DM11" t="s">
        <v>2959</v>
      </c>
      <c r="DN11" t="s">
        <v>2972</v>
      </c>
      <c r="DO11" t="s">
        <v>2985</v>
      </c>
      <c r="DP11" t="s">
        <v>2997</v>
      </c>
      <c r="DR11" t="s">
        <v>3021</v>
      </c>
      <c r="DS11" t="s">
        <v>3040</v>
      </c>
      <c r="DT11" t="s">
        <v>3057</v>
      </c>
      <c r="DW11" t="s">
        <v>3089</v>
      </c>
      <c r="DX11" t="s">
        <v>3104</v>
      </c>
      <c r="DY11" t="s">
        <v>3120</v>
      </c>
      <c r="DZ11" t="s">
        <v>3133</v>
      </c>
      <c r="EA11" t="s">
        <v>3152</v>
      </c>
      <c r="EB11" t="s">
        <v>3165</v>
      </c>
      <c r="EC11" t="s">
        <v>3184</v>
      </c>
      <c r="ED11" t="s">
        <v>3212</v>
      </c>
      <c r="EF11" t="s">
        <v>3236</v>
      </c>
      <c r="EH11" t="s">
        <v>3266</v>
      </c>
      <c r="EI11" t="s">
        <v>3286</v>
      </c>
      <c r="EJ11" t="s">
        <v>3297</v>
      </c>
      <c r="EK11" t="s">
        <v>3312</v>
      </c>
      <c r="EN11" t="s">
        <v>3343</v>
      </c>
      <c r="EQ11" t="s">
        <v>3377</v>
      </c>
      <c r="ER11" t="s">
        <v>3403</v>
      </c>
      <c r="ES11" t="s">
        <v>3423</v>
      </c>
      <c r="EV11" t="s">
        <v>3455</v>
      </c>
      <c r="EW11" t="s">
        <v>3466</v>
      </c>
      <c r="FB11" t="s">
        <v>3507</v>
      </c>
      <c r="FC11" t="s">
        <v>3519</v>
      </c>
      <c r="FD11" t="s">
        <v>3529</v>
      </c>
      <c r="FE11" t="s">
        <v>3545</v>
      </c>
      <c r="FF11" t="s">
        <v>3555</v>
      </c>
      <c r="FG11" t="s">
        <v>3569</v>
      </c>
      <c r="FH11" t="s">
        <v>3579</v>
      </c>
      <c r="FI11" t="s">
        <v>3599</v>
      </c>
      <c r="FJ11" t="s">
        <v>3610</v>
      </c>
      <c r="FK11" t="s">
        <v>3622</v>
      </c>
      <c r="FM11" t="s">
        <v>3651</v>
      </c>
      <c r="FN11" t="s">
        <v>3662</v>
      </c>
      <c r="FO11" t="s">
        <v>3673</v>
      </c>
      <c r="FQ11" t="s">
        <v>3695</v>
      </c>
      <c r="FS11" t="s">
        <v>3724</v>
      </c>
      <c r="FT11" t="s">
        <v>3736</v>
      </c>
      <c r="FU11" t="s">
        <v>3752</v>
      </c>
      <c r="FV11" t="s">
        <v>3769</v>
      </c>
      <c r="FX11" t="s">
        <v>3792</v>
      </c>
      <c r="FZ11" t="s">
        <v>3818</v>
      </c>
      <c r="GE11" t="s">
        <v>3862</v>
      </c>
      <c r="GF11" t="s">
        <v>3872</v>
      </c>
      <c r="GG11" t="s">
        <v>3891</v>
      </c>
      <c r="GJ11" t="s">
        <v>3919</v>
      </c>
      <c r="GK11" t="s">
        <v>3932</v>
      </c>
      <c r="GL11" t="s">
        <v>3950</v>
      </c>
      <c r="GM11" t="s">
        <v>3960</v>
      </c>
      <c r="GN11" t="s">
        <v>3970</v>
      </c>
      <c r="GO11" t="s">
        <v>3994</v>
      </c>
      <c r="GP11" t="s">
        <v>4013</v>
      </c>
      <c r="GR11" t="s">
        <v>4060</v>
      </c>
      <c r="GS11" t="s">
        <v>4070</v>
      </c>
      <c r="GT11" t="s">
        <v>4084</v>
      </c>
      <c r="GU11" t="s">
        <v>4107</v>
      </c>
      <c r="GV11" t="s">
        <v>4117</v>
      </c>
      <c r="GW11" t="s">
        <v>4150</v>
      </c>
      <c r="GX11" t="s">
        <v>4171</v>
      </c>
      <c r="GY11" t="s">
        <v>4188</v>
      </c>
      <c r="HA11" t="s">
        <v>4209</v>
      </c>
      <c r="HB11" t="s">
        <v>4222</v>
      </c>
      <c r="HC11" t="s">
        <v>4233</v>
      </c>
      <c r="HD11" t="s">
        <v>4247</v>
      </c>
      <c r="HE11" t="s">
        <v>4263</v>
      </c>
      <c r="HF11" t="s">
        <v>4292</v>
      </c>
      <c r="HG11" t="s">
        <v>4304</v>
      </c>
      <c r="HI11" t="s">
        <v>4342</v>
      </c>
      <c r="HJ11" t="s">
        <v>4365</v>
      </c>
      <c r="HK11" t="s">
        <v>4385</v>
      </c>
      <c r="HL11" t="s">
        <v>4398</v>
      </c>
      <c r="HP11" t="s">
        <v>4435</v>
      </c>
      <c r="HQ11" t="s">
        <v>4450</v>
      </c>
      <c r="HR11" t="s">
        <v>4466</v>
      </c>
      <c r="HT11" t="s">
        <v>4498</v>
      </c>
      <c r="HU11" t="s">
        <v>4525</v>
      </c>
      <c r="HW11" t="s">
        <v>4542</v>
      </c>
      <c r="HY11" t="s">
        <v>4561</v>
      </c>
      <c r="IA11" t="s">
        <v>4585</v>
      </c>
      <c r="IE11" t="s">
        <v>4622</v>
      </c>
      <c r="IF11" t="s">
        <v>4632</v>
      </c>
      <c r="II11" t="s">
        <v>4662</v>
      </c>
      <c r="IJ11" t="s">
        <v>4680</v>
      </c>
      <c r="IK11" t="s">
        <v>4704</v>
      </c>
      <c r="IN11" t="s">
        <v>4727</v>
      </c>
      <c r="IO11" t="s">
        <v>4746</v>
      </c>
      <c r="IQ11" t="s">
        <v>4786</v>
      </c>
      <c r="IR11" t="s">
        <v>4803</v>
      </c>
      <c r="IS11" t="s">
        <v>4824</v>
      </c>
      <c r="IT11" t="s">
        <v>4835</v>
      </c>
      <c r="IU11" t="s">
        <v>4845</v>
      </c>
      <c r="IV11" t="s">
        <v>4856</v>
      </c>
      <c r="IW11" t="s">
        <v>4871</v>
      </c>
      <c r="IX11" t="s">
        <v>4882</v>
      </c>
      <c r="JA11" t="s">
        <v>4905</v>
      </c>
      <c r="JB11" t="s">
        <v>4930</v>
      </c>
      <c r="JC11" t="s">
        <v>4940</v>
      </c>
      <c r="JD11" t="s">
        <v>4950</v>
      </c>
      <c r="JF11" t="s">
        <v>4968</v>
      </c>
      <c r="JH11" t="s">
        <v>4991</v>
      </c>
      <c r="JI11" t="s">
        <v>5003</v>
      </c>
      <c r="JJ11" t="s">
        <v>5022</v>
      </c>
      <c r="JK11" t="s">
        <v>5033</v>
      </c>
      <c r="JL11" t="s">
        <v>5055</v>
      </c>
      <c r="JM11" t="s">
        <v>5077</v>
      </c>
      <c r="JN11" t="s">
        <v>5088</v>
      </c>
      <c r="JO11" t="s">
        <v>5111</v>
      </c>
      <c r="JP11" t="s">
        <v>5126</v>
      </c>
      <c r="JR11" t="s">
        <v>5145</v>
      </c>
      <c r="JS11" t="s">
        <v>5165</v>
      </c>
      <c r="JW11" t="s">
        <v>5196</v>
      </c>
      <c r="JX11" t="s">
        <v>5206</v>
      </c>
      <c r="JY11" t="s">
        <v>5220</v>
      </c>
      <c r="KA11" t="s">
        <v>5244</v>
      </c>
      <c r="KC11" t="s">
        <v>5261</v>
      </c>
      <c r="KH11" t="s">
        <v>5306</v>
      </c>
      <c r="KI11" t="s">
        <v>5320</v>
      </c>
      <c r="KK11" t="s">
        <v>5339</v>
      </c>
      <c r="KL11" t="s">
        <v>5367</v>
      </c>
      <c r="KM11" t="s">
        <v>5381</v>
      </c>
      <c r="KN11" t="s">
        <v>5395</v>
      </c>
      <c r="KO11" t="s">
        <v>5415</v>
      </c>
      <c r="KP11" t="s">
        <v>5431</v>
      </c>
      <c r="KQ11" t="s">
        <v>5449</v>
      </c>
      <c r="KR11" t="s">
        <v>5466</v>
      </c>
      <c r="KS11" t="s">
        <v>5479</v>
      </c>
      <c r="KU11" t="s">
        <v>5497</v>
      </c>
      <c r="KV11" t="s">
        <v>5509</v>
      </c>
      <c r="KY11" t="s">
        <v>5537</v>
      </c>
      <c r="KZ11" t="s">
        <v>5562</v>
      </c>
      <c r="LA11" t="s">
        <v>5573</v>
      </c>
      <c r="LB11" t="s">
        <v>5588</v>
      </c>
      <c r="LC11" t="s">
        <v>5601</v>
      </c>
      <c r="LE11" t="s">
        <v>5626</v>
      </c>
      <c r="LF11" t="s">
        <v>5647</v>
      </c>
      <c r="LG11" t="s">
        <v>5676</v>
      </c>
      <c r="LI11" t="s">
        <v>5694</v>
      </c>
      <c r="LK11" t="s">
        <v>5715</v>
      </c>
      <c r="LL11" t="s">
        <v>5727</v>
      </c>
      <c r="LN11" t="s">
        <v>5750</v>
      </c>
      <c r="LO11" t="s">
        <v>5767</v>
      </c>
      <c r="LP11" t="s">
        <v>5780</v>
      </c>
      <c r="LS11" t="s">
        <v>5819</v>
      </c>
      <c r="LT11" t="s">
        <v>5842</v>
      </c>
      <c r="LU11" t="s">
        <v>5852</v>
      </c>
      <c r="LV11" t="s">
        <v>5862</v>
      </c>
      <c r="LW11" t="s">
        <v>5875</v>
      </c>
      <c r="LX11" t="s">
        <v>5889</v>
      </c>
      <c r="LY11" t="s">
        <v>5902</v>
      </c>
      <c r="LZ11" t="s">
        <v>5912</v>
      </c>
      <c r="MA11" t="s">
        <v>5938</v>
      </c>
      <c r="MB11" t="s">
        <v>5951</v>
      </c>
      <c r="MC11" t="s">
        <v>5964</v>
      </c>
      <c r="MG11" t="s">
        <v>6002</v>
      </c>
      <c r="MI11" t="s">
        <v>6022</v>
      </c>
      <c r="MK11" t="s">
        <v>6058</v>
      </c>
      <c r="MN11" t="s">
        <v>6089</v>
      </c>
      <c r="MO11" t="s">
        <v>6099</v>
      </c>
      <c r="MS11" t="s">
        <v>6129</v>
      </c>
      <c r="MT11" t="s">
        <v>6142</v>
      </c>
      <c r="MW11" t="s">
        <v>6175</v>
      </c>
      <c r="MX11" t="s">
        <v>6189</v>
      </c>
      <c r="MY11" t="s">
        <v>6202</v>
      </c>
      <c r="MZ11" t="s">
        <v>6212</v>
      </c>
      <c r="NA11" t="s">
        <v>6228</v>
      </c>
      <c r="ND11" t="s">
        <v>6254</v>
      </c>
      <c r="NE11" t="s">
        <v>6271</v>
      </c>
      <c r="NF11" t="s">
        <v>6292</v>
      </c>
      <c r="NG11" t="s">
        <v>6302</v>
      </c>
      <c r="NH11" t="s">
        <v>6325</v>
      </c>
      <c r="NI11" t="s">
        <v>6338</v>
      </c>
      <c r="NJ11" t="s">
        <v>6355</v>
      </c>
      <c r="NK11" t="s">
        <v>6370</v>
      </c>
      <c r="NL11" t="s">
        <v>6390</v>
      </c>
      <c r="NM11" t="s">
        <v>6408</v>
      </c>
      <c r="NN11" t="s">
        <v>6431</v>
      </c>
      <c r="NO11" t="s">
        <v>6453</v>
      </c>
      <c r="NP11" t="s">
        <v>6469</v>
      </c>
      <c r="NR11" t="s">
        <v>6502</v>
      </c>
      <c r="NS11" t="s">
        <v>6519</v>
      </c>
      <c r="NT11" t="s">
        <v>6529</v>
      </c>
      <c r="NV11" t="s">
        <v>6546</v>
      </c>
      <c r="NX11" t="s">
        <v>6564</v>
      </c>
      <c r="NZ11" t="s">
        <v>6587</v>
      </c>
      <c r="OA11" t="s">
        <v>6602</v>
      </c>
      <c r="OB11" t="s">
        <v>6613</v>
      </c>
      <c r="OC11" t="s">
        <v>6634</v>
      </c>
      <c r="OE11" t="s">
        <v>6655</v>
      </c>
      <c r="OF11" t="s">
        <v>6666</v>
      </c>
      <c r="OG11" t="s">
        <v>6681</v>
      </c>
      <c r="OH11" t="s">
        <v>6703</v>
      </c>
      <c r="OI11" t="s">
        <v>6729</v>
      </c>
      <c r="OJ11" t="s">
        <v>6743</v>
      </c>
      <c r="OK11" t="s">
        <v>6760</v>
      </c>
      <c r="OL11" t="s">
        <v>6778</v>
      </c>
      <c r="OM11" t="s">
        <v>6792</v>
      </c>
      <c r="OO11" t="s">
        <v>6809</v>
      </c>
      <c r="OP11" t="s">
        <v>6820</v>
      </c>
      <c r="OQ11" t="s">
        <v>6830</v>
      </c>
      <c r="OU11" t="s">
        <v>6869</v>
      </c>
      <c r="OV11" t="s">
        <v>6887</v>
      </c>
      <c r="OW11" t="s">
        <v>6903</v>
      </c>
      <c r="OY11" t="s">
        <v>6931</v>
      </c>
      <c r="PA11" t="s">
        <v>6952</v>
      </c>
      <c r="PC11" t="s">
        <v>6985</v>
      </c>
      <c r="PD11" t="s">
        <v>7000</v>
      </c>
      <c r="PE11" t="s">
        <v>7012</v>
      </c>
      <c r="PF11" t="s">
        <v>7025</v>
      </c>
      <c r="PG11" t="s">
        <v>7040</v>
      </c>
      <c r="PH11" t="s">
        <v>7052</v>
      </c>
      <c r="PI11" t="s">
        <v>7064</v>
      </c>
      <c r="PJ11" t="s">
        <v>7075</v>
      </c>
      <c r="PL11" t="s">
        <v>7092</v>
      </c>
      <c r="PN11" t="s">
        <v>7129</v>
      </c>
      <c r="PO11" t="s">
        <v>7142</v>
      </c>
      <c r="PP11" t="s">
        <v>7154</v>
      </c>
      <c r="PQ11" t="s">
        <v>7169</v>
      </c>
      <c r="PR11" t="s">
        <v>7193</v>
      </c>
      <c r="PS11" t="s">
        <v>7209</v>
      </c>
      <c r="PT11" t="s">
        <v>7222</v>
      </c>
      <c r="PV11" t="s">
        <v>7253</v>
      </c>
      <c r="PX11" t="s">
        <v>7271</v>
      </c>
      <c r="PY11" t="s">
        <v>7287</v>
      </c>
      <c r="PZ11" t="s">
        <v>7301</v>
      </c>
      <c r="QB11" t="s">
        <v>7323</v>
      </c>
      <c r="QC11" t="s">
        <v>7341</v>
      </c>
      <c r="QE11" t="s">
        <v>7361</v>
      </c>
      <c r="QF11" t="s">
        <v>7380</v>
      </c>
      <c r="QG11" t="s">
        <v>7396</v>
      </c>
      <c r="QI11" t="s">
        <v>7415</v>
      </c>
      <c r="QL11" t="s">
        <v>7453</v>
      </c>
      <c r="QM11" t="s">
        <v>7476</v>
      </c>
      <c r="QN11" t="s">
        <v>7488</v>
      </c>
      <c r="QO11" t="s">
        <v>7519</v>
      </c>
      <c r="QP11" t="s">
        <v>7534</v>
      </c>
      <c r="QQ11" t="s">
        <v>7544</v>
      </c>
      <c r="QR11" t="s">
        <v>7564</v>
      </c>
      <c r="QS11" t="s">
        <v>7574</v>
      </c>
      <c r="QT11" t="s">
        <v>7610</v>
      </c>
      <c r="QV11" t="s">
        <v>7629</v>
      </c>
      <c r="QW11" t="s">
        <v>7640</v>
      </c>
      <c r="QY11" t="s">
        <v>7665</v>
      </c>
      <c r="QZ11" t="s">
        <v>7685</v>
      </c>
      <c r="RA11" t="s">
        <v>7700</v>
      </c>
      <c r="RB11" t="s">
        <v>7716</v>
      </c>
      <c r="RC11" t="s">
        <v>7731</v>
      </c>
      <c r="RE11" t="s">
        <v>7772</v>
      </c>
      <c r="RF11" t="s">
        <v>7785</v>
      </c>
      <c r="RI11" t="s">
        <v>7818</v>
      </c>
      <c r="RJ11" t="s">
        <v>7828</v>
      </c>
      <c r="RM11" t="s">
        <v>7859</v>
      </c>
      <c r="RN11" t="s">
        <v>7875</v>
      </c>
      <c r="RP11" t="s">
        <v>7898</v>
      </c>
      <c r="RQ11" t="s">
        <v>7912</v>
      </c>
      <c r="RU11" t="s">
        <v>7954</v>
      </c>
      <c r="RV11" t="s">
        <v>7967</v>
      </c>
      <c r="RW11" t="s">
        <v>7991</v>
      </c>
      <c r="RX11" t="s">
        <v>8002</v>
      </c>
      <c r="RY11" t="s">
        <v>8012</v>
      </c>
      <c r="RZ11" t="s">
        <v>8023</v>
      </c>
      <c r="SB11" t="s">
        <v>8063</v>
      </c>
      <c r="SC11" t="s">
        <v>8075</v>
      </c>
      <c r="SD11" t="s">
        <v>8088</v>
      </c>
      <c r="SF11" t="s">
        <v>8119</v>
      </c>
      <c r="SH11" t="s">
        <v>8149</v>
      </c>
      <c r="SI11" t="s">
        <v>8178</v>
      </c>
      <c r="SJ11" t="s">
        <v>8192</v>
      </c>
      <c r="SL11" t="s">
        <v>8221</v>
      </c>
      <c r="SP11" t="s">
        <v>8255</v>
      </c>
      <c r="SS11" t="s">
        <v>8284</v>
      </c>
      <c r="ST11" t="s">
        <v>8298</v>
      </c>
      <c r="SU11" t="s">
        <v>8314</v>
      </c>
      <c r="SW11" t="s">
        <v>8349</v>
      </c>
      <c r="SX11" t="s">
        <v>8362</v>
      </c>
      <c r="SY11" t="s">
        <v>8381</v>
      </c>
      <c r="SZ11" t="s">
        <v>8391</v>
      </c>
      <c r="TB11" t="s">
        <v>8411</v>
      </c>
      <c r="TC11" t="s">
        <v>8422</v>
      </c>
      <c r="TD11" t="s">
        <v>8433</v>
      </c>
      <c r="TE11" t="s">
        <v>8462</v>
      </c>
      <c r="TH11" t="s">
        <v>8483</v>
      </c>
      <c r="TI11" t="s">
        <v>8496</v>
      </c>
      <c r="TK11" t="s">
        <v>8513</v>
      </c>
      <c r="TL11" t="s">
        <v>8523</v>
      </c>
      <c r="TM11" t="s">
        <v>8538</v>
      </c>
      <c r="TN11" t="s">
        <v>8550</v>
      </c>
      <c r="TO11" t="s">
        <v>8560</v>
      </c>
      <c r="TP11" t="s">
        <v>8578</v>
      </c>
      <c r="TQ11" t="s">
        <v>8590</v>
      </c>
      <c r="TR11" t="s">
        <v>8604</v>
      </c>
      <c r="TS11" t="s">
        <v>8640</v>
      </c>
      <c r="TT11" t="s">
        <v>8652</v>
      </c>
      <c r="TU11" t="s">
        <v>8667</v>
      </c>
      <c r="TV11" t="s">
        <v>8677</v>
      </c>
      <c r="TW11" t="s">
        <v>8697</v>
      </c>
      <c r="TX11" t="s">
        <v>8714</v>
      </c>
      <c r="TY11" t="s">
        <v>8724</v>
      </c>
      <c r="TZ11" t="s">
        <v>8736</v>
      </c>
      <c r="UB11" t="s">
        <v>8761</v>
      </c>
      <c r="UC11" t="s">
        <v>8781</v>
      </c>
      <c r="UF11" t="s">
        <v>8816</v>
      </c>
      <c r="UG11" t="s">
        <v>8840</v>
      </c>
      <c r="UH11" t="s">
        <v>8856</v>
      </c>
      <c r="UI11" t="s">
        <v>8892</v>
      </c>
      <c r="UJ11" t="s">
        <v>8905</v>
      </c>
      <c r="UK11" t="s">
        <v>8938</v>
      </c>
      <c r="UL11" t="s">
        <v>8954</v>
      </c>
      <c r="UN11" t="s">
        <v>8974</v>
      </c>
      <c r="UO11" t="s">
        <v>8987</v>
      </c>
      <c r="UQ11" t="s">
        <v>9016</v>
      </c>
      <c r="UR11" t="s">
        <v>9032</v>
      </c>
      <c r="US11" t="s">
        <v>9057</v>
      </c>
      <c r="UT11" t="s">
        <v>9073</v>
      </c>
      <c r="UV11" t="s">
        <v>9097</v>
      </c>
      <c r="UW11" t="s">
        <v>9127</v>
      </c>
      <c r="UX11" t="s">
        <v>9138</v>
      </c>
      <c r="UY11" t="s">
        <v>9154</v>
      </c>
      <c r="UZ11" t="s">
        <v>9177</v>
      </c>
      <c r="VC11" t="s">
        <v>9210</v>
      </c>
      <c r="VD11" t="s">
        <v>9222</v>
      </c>
      <c r="VE11" t="s">
        <v>9234</v>
      </c>
      <c r="VF11" t="s">
        <v>9255</v>
      </c>
      <c r="VG11" t="s">
        <v>9272</v>
      </c>
      <c r="VH11" t="s">
        <v>9283</v>
      </c>
      <c r="VI11" t="s">
        <v>9299</v>
      </c>
      <c r="VJ11" t="s">
        <v>9319</v>
      </c>
      <c r="VK11" t="s">
        <v>9335</v>
      </c>
      <c r="VL11" t="s">
        <v>9351</v>
      </c>
      <c r="VN11" t="s">
        <v>9370</v>
      </c>
      <c r="VQ11" t="s">
        <v>9394</v>
      </c>
      <c r="VR11" t="s">
        <v>9408</v>
      </c>
      <c r="VS11" t="s">
        <v>9429</v>
      </c>
      <c r="VT11" t="s">
        <v>9445</v>
      </c>
      <c r="VX11" t="s">
        <v>9499</v>
      </c>
      <c r="VY11" t="s">
        <v>9511</v>
      </c>
      <c r="WC11" t="s">
        <v>9561</v>
      </c>
      <c r="WD11" t="s">
        <v>9577</v>
      </c>
      <c r="WF11" t="s">
        <v>9619</v>
      </c>
      <c r="WG11" t="s">
        <v>9634</v>
      </c>
      <c r="WH11" t="s">
        <v>9647</v>
      </c>
      <c r="WI11" t="s">
        <v>9660</v>
      </c>
      <c r="WJ11" t="s">
        <v>9672</v>
      </c>
      <c r="WK11" t="s">
        <v>9692</v>
      </c>
      <c r="WL11" t="s">
        <v>9702</v>
      </c>
      <c r="WM11" t="s">
        <v>9722</v>
      </c>
      <c r="WN11" t="s">
        <v>9735</v>
      </c>
      <c r="WR11" t="s">
        <v>9772</v>
      </c>
      <c r="WS11" t="s">
        <v>9800</v>
      </c>
      <c r="WU11" t="s">
        <v>9842</v>
      </c>
      <c r="WV11" t="s">
        <v>9869</v>
      </c>
      <c r="WW11" t="s">
        <v>9886</v>
      </c>
      <c r="WX11" t="s">
        <v>9899</v>
      </c>
      <c r="WY11" t="s">
        <v>9918</v>
      </c>
      <c r="WZ11" t="s">
        <v>9934</v>
      </c>
      <c r="XA11" t="s">
        <v>9944</v>
      </c>
      <c r="XB11" t="s">
        <v>9966</v>
      </c>
      <c r="XC11" t="s">
        <v>9980</v>
      </c>
      <c r="XD11" t="s">
        <v>10000</v>
      </c>
      <c r="XE11" t="s">
        <v>10014</v>
      </c>
      <c r="XF11" t="s">
        <v>10030</v>
      </c>
      <c r="XG11" t="s">
        <v>10050</v>
      </c>
      <c r="XH11" t="s">
        <v>10066</v>
      </c>
      <c r="XI11" t="s">
        <v>10084</v>
      </c>
      <c r="XJ11" t="s">
        <v>10102</v>
      </c>
      <c r="XK11" t="s">
        <v>10112</v>
      </c>
      <c r="XL11" t="s">
        <v>10125</v>
      </c>
      <c r="XM11" t="s">
        <v>10142</v>
      </c>
      <c r="XO11" t="s">
        <v>10171</v>
      </c>
      <c r="XP11" t="s">
        <v>10183</v>
      </c>
      <c r="XQ11" t="s">
        <v>10195</v>
      </c>
      <c r="XR11" t="s">
        <v>10205</v>
      </c>
      <c r="XS11" t="s">
        <v>10226</v>
      </c>
      <c r="XT11" t="s">
        <v>10237</v>
      </c>
      <c r="XV11" t="s">
        <v>10261</v>
      </c>
      <c r="XW11" t="s">
        <v>10271</v>
      </c>
      <c r="XX11" t="s">
        <v>10285</v>
      </c>
      <c r="XY11" t="s">
        <v>10297</v>
      </c>
      <c r="XZ11" t="s">
        <v>10315</v>
      </c>
      <c r="YA11" t="s">
        <v>10328</v>
      </c>
      <c r="YB11" t="s">
        <v>10340</v>
      </c>
      <c r="YC11" t="s">
        <v>10360</v>
      </c>
      <c r="YD11" t="s">
        <v>10389</v>
      </c>
      <c r="YE11" t="s">
        <v>10409</v>
      </c>
      <c r="YG11" t="s">
        <v>10435</v>
      </c>
      <c r="YH11" t="s">
        <v>10449</v>
      </c>
      <c r="YI11" t="s">
        <v>10461</v>
      </c>
      <c r="YJ11" t="s">
        <v>10474</v>
      </c>
      <c r="YK11" t="s">
        <v>10497</v>
      </c>
      <c r="YM11" t="s">
        <v>10516</v>
      </c>
      <c r="YO11" t="s">
        <v>10538</v>
      </c>
      <c r="YP11" t="s">
        <v>10552</v>
      </c>
      <c r="YQ11" t="s">
        <v>10567</v>
      </c>
      <c r="YR11" t="s">
        <v>10583</v>
      </c>
      <c r="YS11" t="s">
        <v>10603</v>
      </c>
      <c r="YT11" t="s">
        <v>10617</v>
      </c>
      <c r="YU11" t="s">
        <v>10641</v>
      </c>
      <c r="YV11" t="s">
        <v>10661</v>
      </c>
      <c r="YW11" t="s">
        <v>10674</v>
      </c>
      <c r="YX11" t="s">
        <v>10694</v>
      </c>
      <c r="YY11" t="s">
        <v>10710</v>
      </c>
      <c r="YZ11" t="s">
        <v>10731</v>
      </c>
      <c r="ZA11" t="s">
        <v>10741</v>
      </c>
      <c r="ZB11" t="s">
        <v>10757</v>
      </c>
      <c r="ZC11" t="s">
        <v>10770</v>
      </c>
      <c r="ZD11" t="s">
        <v>10787</v>
      </c>
      <c r="ZE11" t="s">
        <v>10807</v>
      </c>
      <c r="ZF11" t="s">
        <v>10819</v>
      </c>
      <c r="ZG11" t="s">
        <v>10831</v>
      </c>
      <c r="ZH11" t="s">
        <v>10842</v>
      </c>
      <c r="ZI11" t="s">
        <v>10853</v>
      </c>
      <c r="ZJ11" t="s">
        <v>10873</v>
      </c>
      <c r="ZK11" t="s">
        <v>10884</v>
      </c>
      <c r="ZL11" t="s">
        <v>10902</v>
      </c>
      <c r="ZM11" t="s">
        <v>10917</v>
      </c>
      <c r="ZN11" t="s">
        <v>10929</v>
      </c>
      <c r="ZO11" t="s">
        <v>10940</v>
      </c>
      <c r="ZP11" t="s">
        <v>10957</v>
      </c>
      <c r="ZQ11" t="s">
        <v>10975</v>
      </c>
      <c r="ZS11" t="s">
        <v>10996</v>
      </c>
      <c r="ZT11" t="s">
        <v>11013</v>
      </c>
      <c r="ZU11" t="s">
        <v>11032</v>
      </c>
      <c r="ZV11" t="s">
        <v>11049</v>
      </c>
      <c r="ZW11" t="s">
        <v>11062</v>
      </c>
    </row>
    <row r="12" spans="1:699" x14ac:dyDescent="0.25">
      <c r="A12" t="s">
        <v>1241</v>
      </c>
      <c r="C12" t="s">
        <v>1262</v>
      </c>
      <c r="D12" t="s">
        <v>1273</v>
      </c>
      <c r="E12" t="s">
        <v>1288</v>
      </c>
      <c r="F12" t="s">
        <v>1306</v>
      </c>
      <c r="G12" t="s">
        <v>1327</v>
      </c>
      <c r="I12" t="s">
        <v>1352</v>
      </c>
      <c r="L12" t="s">
        <v>1390</v>
      </c>
      <c r="M12" t="s">
        <v>1405</v>
      </c>
      <c r="N12" t="s">
        <v>1419</v>
      </c>
      <c r="P12" t="s">
        <v>1452</v>
      </c>
      <c r="Q12" t="s">
        <v>1464</v>
      </c>
      <c r="R12" t="s">
        <v>1486</v>
      </c>
      <c r="S12" t="s">
        <v>1506</v>
      </c>
      <c r="T12" t="s">
        <v>1524</v>
      </c>
      <c r="U12" t="s">
        <v>1538</v>
      </c>
      <c r="V12" t="s">
        <v>1575</v>
      </c>
      <c r="W12" t="s">
        <v>1590</v>
      </c>
      <c r="X12" t="s">
        <v>1602</v>
      </c>
      <c r="Y12" t="s">
        <v>1618</v>
      </c>
      <c r="Z12" t="s">
        <v>1632</v>
      </c>
      <c r="AC12" t="s">
        <v>1677</v>
      </c>
      <c r="AE12" t="s">
        <v>1702</v>
      </c>
      <c r="AG12" t="s">
        <v>1726</v>
      </c>
      <c r="AH12" t="s">
        <v>1746</v>
      </c>
      <c r="AI12" t="s">
        <v>1759</v>
      </c>
      <c r="AJ12" t="s">
        <v>1779</v>
      </c>
      <c r="AK12" t="s">
        <v>1792</v>
      </c>
      <c r="AM12" t="s">
        <v>1815</v>
      </c>
      <c r="AO12" t="s">
        <v>1835</v>
      </c>
      <c r="AP12" t="s">
        <v>1852</v>
      </c>
      <c r="AS12" t="s">
        <v>1887</v>
      </c>
      <c r="AT12" t="s">
        <v>1909</v>
      </c>
      <c r="AU12" t="s">
        <v>1926</v>
      </c>
      <c r="AV12" t="s">
        <v>1941</v>
      </c>
      <c r="AW12" t="s">
        <v>1973</v>
      </c>
      <c r="AX12" t="s">
        <v>1986</v>
      </c>
      <c r="AY12" t="s">
        <v>1999</v>
      </c>
      <c r="AZ12" t="s">
        <v>2010</v>
      </c>
      <c r="BA12" t="s">
        <v>2037</v>
      </c>
      <c r="BC12" t="s">
        <v>2061</v>
      </c>
      <c r="BD12" t="s">
        <v>2080</v>
      </c>
      <c r="BE12" t="s">
        <v>2116</v>
      </c>
      <c r="BG12" t="s">
        <v>2144</v>
      </c>
      <c r="BI12" t="s">
        <v>2169</v>
      </c>
      <c r="BJ12" t="s">
        <v>2189</v>
      </c>
      <c r="BM12" t="s">
        <v>2225</v>
      </c>
      <c r="BN12" t="s">
        <v>2240</v>
      </c>
      <c r="BO12" t="s">
        <v>2259</v>
      </c>
      <c r="BP12" t="s">
        <v>2273</v>
      </c>
      <c r="BQ12" t="s">
        <v>2287</v>
      </c>
      <c r="BR12" t="s">
        <v>2310</v>
      </c>
      <c r="BS12" t="s">
        <v>2321</v>
      </c>
      <c r="BT12" t="s">
        <v>2345</v>
      </c>
      <c r="BU12" t="s">
        <v>2360</v>
      </c>
      <c r="BV12" t="s">
        <v>2380</v>
      </c>
      <c r="BX12" t="s">
        <v>2403</v>
      </c>
      <c r="BY12" t="s">
        <v>2417</v>
      </c>
      <c r="CA12" t="s">
        <v>2443</v>
      </c>
      <c r="CB12" t="s">
        <v>2455</v>
      </c>
      <c r="CC12" t="s">
        <v>2477</v>
      </c>
      <c r="CD12" t="s">
        <v>2492</v>
      </c>
      <c r="CF12" t="s">
        <v>2511</v>
      </c>
      <c r="CG12" t="s">
        <v>2532</v>
      </c>
      <c r="CM12" t="s">
        <v>2579</v>
      </c>
      <c r="CO12" t="s">
        <v>2600</v>
      </c>
      <c r="CS12" t="s">
        <v>2637</v>
      </c>
      <c r="CT12" t="s">
        <v>2652</v>
      </c>
      <c r="CU12" t="s">
        <v>2663</v>
      </c>
      <c r="CV12" t="s">
        <v>2682</v>
      </c>
      <c r="CW12" t="s">
        <v>2699</v>
      </c>
      <c r="CX12" t="s">
        <v>2730</v>
      </c>
      <c r="CZ12" t="s">
        <v>2751</v>
      </c>
      <c r="DA12" t="s">
        <v>2762</v>
      </c>
      <c r="DB12" t="s">
        <v>2794</v>
      </c>
      <c r="DD12" t="s">
        <v>2814</v>
      </c>
      <c r="DE12" t="s">
        <v>2826</v>
      </c>
      <c r="DF12" t="s">
        <v>2848</v>
      </c>
      <c r="DG12" t="s">
        <v>2885</v>
      </c>
      <c r="DH12" t="s">
        <v>2898</v>
      </c>
      <c r="DJ12" t="s">
        <v>2919</v>
      </c>
      <c r="DK12" t="s">
        <v>2941</v>
      </c>
      <c r="DM12" t="s">
        <v>2960</v>
      </c>
      <c r="DN12" t="s">
        <v>2973</v>
      </c>
      <c r="DO12" t="s">
        <v>2986</v>
      </c>
      <c r="DP12" t="s">
        <v>2998</v>
      </c>
      <c r="DR12" t="s">
        <v>3022</v>
      </c>
      <c r="DS12" t="s">
        <v>3041</v>
      </c>
      <c r="DT12" t="s">
        <v>3058</v>
      </c>
      <c r="DW12" t="s">
        <v>3090</v>
      </c>
      <c r="DX12" t="s">
        <v>3105</v>
      </c>
      <c r="DY12" t="s">
        <v>3121</v>
      </c>
      <c r="DZ12" t="s">
        <v>3134</v>
      </c>
      <c r="EA12" t="s">
        <v>3153</v>
      </c>
      <c r="EB12" t="s">
        <v>3166</v>
      </c>
      <c r="EC12" t="s">
        <v>3185</v>
      </c>
      <c r="ED12" t="s">
        <v>3213</v>
      </c>
      <c r="EF12" t="s">
        <v>3237</v>
      </c>
      <c r="EH12" t="s">
        <v>3267</v>
      </c>
      <c r="EI12" t="s">
        <v>3287</v>
      </c>
      <c r="EJ12" t="s">
        <v>3298</v>
      </c>
      <c r="EK12" t="s">
        <v>3313</v>
      </c>
      <c r="EN12" t="s">
        <v>3344</v>
      </c>
      <c r="EQ12" t="s">
        <v>3378</v>
      </c>
      <c r="ER12" t="s">
        <v>3404</v>
      </c>
      <c r="ES12" t="s">
        <v>3424</v>
      </c>
      <c r="EV12" t="s">
        <v>3456</v>
      </c>
      <c r="EW12" t="s">
        <v>3467</v>
      </c>
      <c r="FB12" t="s">
        <v>3508</v>
      </c>
      <c r="FD12" t="s">
        <v>3530</v>
      </c>
      <c r="FF12" t="s">
        <v>3556</v>
      </c>
      <c r="FH12" t="s">
        <v>3580</v>
      </c>
      <c r="FI12" t="s">
        <v>3600</v>
      </c>
      <c r="FJ12" t="s">
        <v>3611</v>
      </c>
      <c r="FK12" t="s">
        <v>3623</v>
      </c>
      <c r="FM12" t="s">
        <v>3652</v>
      </c>
      <c r="FN12" t="s">
        <v>3663</v>
      </c>
      <c r="FO12" t="s">
        <v>3674</v>
      </c>
      <c r="FQ12" t="s">
        <v>3696</v>
      </c>
      <c r="FS12" t="s">
        <v>3725</v>
      </c>
      <c r="FT12" t="s">
        <v>3737</v>
      </c>
      <c r="FU12" t="s">
        <v>3753</v>
      </c>
      <c r="FV12" t="s">
        <v>3770</v>
      </c>
      <c r="FX12" t="s">
        <v>3793</v>
      </c>
      <c r="FZ12" t="s">
        <v>3819</v>
      </c>
      <c r="GF12" t="s">
        <v>3873</v>
      </c>
      <c r="GG12" t="s">
        <v>3892</v>
      </c>
      <c r="GJ12" t="s">
        <v>3920</v>
      </c>
      <c r="GK12" t="s">
        <v>3933</v>
      </c>
      <c r="GN12" t="s">
        <v>3971</v>
      </c>
      <c r="GO12" t="s">
        <v>3995</v>
      </c>
      <c r="GP12" t="s">
        <v>4014</v>
      </c>
      <c r="GS12" t="s">
        <v>4071</v>
      </c>
      <c r="GT12" t="s">
        <v>4085</v>
      </c>
      <c r="GV12" t="s">
        <v>4118</v>
      </c>
      <c r="GW12" t="s">
        <v>4151</v>
      </c>
      <c r="GX12" t="s">
        <v>4172</v>
      </c>
      <c r="GY12" t="s">
        <v>4189</v>
      </c>
      <c r="HA12" t="s">
        <v>4210</v>
      </c>
      <c r="HB12" t="s">
        <v>4223</v>
      </c>
      <c r="HC12" t="s">
        <v>4234</v>
      </c>
      <c r="HD12" t="s">
        <v>4248</v>
      </c>
      <c r="HE12" t="s">
        <v>4264</v>
      </c>
      <c r="HF12" t="s">
        <v>4293</v>
      </c>
      <c r="HG12" t="s">
        <v>4305</v>
      </c>
      <c r="HI12" t="s">
        <v>4343</v>
      </c>
      <c r="HJ12" t="s">
        <v>4366</v>
      </c>
      <c r="HK12" t="s">
        <v>4386</v>
      </c>
      <c r="HL12" t="s">
        <v>4399</v>
      </c>
      <c r="HP12" t="s">
        <v>4436</v>
      </c>
      <c r="HQ12" t="s">
        <v>4451</v>
      </c>
      <c r="HR12" t="s">
        <v>4467</v>
      </c>
      <c r="HT12" t="s">
        <v>4499</v>
      </c>
      <c r="HY12" t="s">
        <v>4562</v>
      </c>
      <c r="IA12" t="s">
        <v>4586</v>
      </c>
      <c r="IF12" t="s">
        <v>4633</v>
      </c>
      <c r="II12" t="s">
        <v>4663</v>
      </c>
      <c r="IJ12" t="s">
        <v>4681</v>
      </c>
      <c r="IK12" t="s">
        <v>4705</v>
      </c>
      <c r="IN12" t="s">
        <v>4728</v>
      </c>
      <c r="IO12" t="s">
        <v>4747</v>
      </c>
      <c r="IQ12" t="s">
        <v>4787</v>
      </c>
      <c r="IR12" t="s">
        <v>4804</v>
      </c>
      <c r="IS12" t="s">
        <v>4825</v>
      </c>
      <c r="IU12" t="s">
        <v>4846</v>
      </c>
      <c r="IV12" t="s">
        <v>4857</v>
      </c>
      <c r="IW12" t="s">
        <v>4872</v>
      </c>
      <c r="IX12" t="s">
        <v>4883</v>
      </c>
      <c r="JA12" t="s">
        <v>4906</v>
      </c>
      <c r="JF12" t="s">
        <v>4969</v>
      </c>
      <c r="JH12" t="s">
        <v>4992</v>
      </c>
      <c r="JI12" t="s">
        <v>5004</v>
      </c>
      <c r="JJ12" t="s">
        <v>5023</v>
      </c>
      <c r="JK12" t="s">
        <v>5034</v>
      </c>
      <c r="JL12" t="s">
        <v>5056</v>
      </c>
      <c r="JM12" t="s">
        <v>5078</v>
      </c>
      <c r="JN12" t="s">
        <v>5089</v>
      </c>
      <c r="JO12" t="s">
        <v>5112</v>
      </c>
      <c r="JP12" t="s">
        <v>5127</v>
      </c>
      <c r="JR12" t="s">
        <v>5146</v>
      </c>
      <c r="JS12" t="s">
        <v>5166</v>
      </c>
      <c r="JX12" t="s">
        <v>5207</v>
      </c>
      <c r="JY12" t="s">
        <v>5221</v>
      </c>
      <c r="KC12" t="s">
        <v>5262</v>
      </c>
      <c r="KH12" t="s">
        <v>5307</v>
      </c>
      <c r="KI12" t="s">
        <v>5321</v>
      </c>
      <c r="KK12" t="s">
        <v>5340</v>
      </c>
      <c r="KL12" t="s">
        <v>5368</v>
      </c>
      <c r="KM12" t="s">
        <v>5382</v>
      </c>
      <c r="KN12" t="s">
        <v>5396</v>
      </c>
      <c r="KO12" t="s">
        <v>5416</v>
      </c>
      <c r="KP12" t="s">
        <v>5432</v>
      </c>
      <c r="KQ12" t="s">
        <v>5450</v>
      </c>
      <c r="KR12" t="s">
        <v>5467</v>
      </c>
      <c r="KS12" t="s">
        <v>5480</v>
      </c>
      <c r="KU12" t="s">
        <v>5498</v>
      </c>
      <c r="KV12" t="s">
        <v>5510</v>
      </c>
      <c r="KY12" t="s">
        <v>5538</v>
      </c>
      <c r="KZ12" t="s">
        <v>5563</v>
      </c>
      <c r="LA12" t="s">
        <v>5574</v>
      </c>
      <c r="LB12" t="s">
        <v>5589</v>
      </c>
      <c r="LC12" t="s">
        <v>5602</v>
      </c>
      <c r="LE12" t="s">
        <v>5627</v>
      </c>
      <c r="LF12" t="s">
        <v>5648</v>
      </c>
      <c r="LI12" t="s">
        <v>5695</v>
      </c>
      <c r="LK12" t="s">
        <v>5716</v>
      </c>
      <c r="LL12" t="s">
        <v>5728</v>
      </c>
      <c r="LN12" t="s">
        <v>5751</v>
      </c>
      <c r="LO12" t="s">
        <v>5768</v>
      </c>
      <c r="LP12" t="s">
        <v>5781</v>
      </c>
      <c r="LS12" t="s">
        <v>5820</v>
      </c>
      <c r="LV12" t="s">
        <v>5863</v>
      </c>
      <c r="LW12" t="s">
        <v>5876</v>
      </c>
      <c r="LX12" t="s">
        <v>5890</v>
      </c>
      <c r="LZ12" t="s">
        <v>5913</v>
      </c>
      <c r="MA12" t="s">
        <v>5939</v>
      </c>
      <c r="MB12" t="s">
        <v>5952</v>
      </c>
      <c r="MC12" t="s">
        <v>5965</v>
      </c>
      <c r="MG12" t="s">
        <v>6003</v>
      </c>
      <c r="MI12" t="s">
        <v>6023</v>
      </c>
      <c r="MK12" t="s">
        <v>6059</v>
      </c>
      <c r="MO12" t="s">
        <v>6100</v>
      </c>
      <c r="MS12" t="s">
        <v>6130</v>
      </c>
      <c r="MT12" t="s">
        <v>6143</v>
      </c>
      <c r="MW12" t="s">
        <v>6176</v>
      </c>
      <c r="MX12" t="s">
        <v>6190</v>
      </c>
      <c r="MZ12" t="s">
        <v>6213</v>
      </c>
      <c r="NA12" t="s">
        <v>6229</v>
      </c>
      <c r="ND12" t="s">
        <v>6255</v>
      </c>
      <c r="NE12" t="s">
        <v>6272</v>
      </c>
      <c r="NG12" t="s">
        <v>6303</v>
      </c>
      <c r="NH12" t="s">
        <v>6326</v>
      </c>
      <c r="NI12" t="s">
        <v>6339</v>
      </c>
      <c r="NJ12" t="s">
        <v>6356</v>
      </c>
      <c r="NK12" t="s">
        <v>6371</v>
      </c>
      <c r="NL12" t="s">
        <v>6391</v>
      </c>
      <c r="NM12" t="s">
        <v>6409</v>
      </c>
      <c r="NN12" t="s">
        <v>6432</v>
      </c>
      <c r="NO12" t="s">
        <v>6454</v>
      </c>
      <c r="NP12" t="s">
        <v>6470</v>
      </c>
      <c r="NR12" t="s">
        <v>6503</v>
      </c>
      <c r="NV12" t="s">
        <v>6547</v>
      </c>
      <c r="NX12" t="s">
        <v>6565</v>
      </c>
      <c r="NZ12" t="s">
        <v>6588</v>
      </c>
      <c r="OA12" t="s">
        <v>6603</v>
      </c>
      <c r="OB12" t="s">
        <v>6614</v>
      </c>
      <c r="OC12" t="s">
        <v>6635</v>
      </c>
      <c r="OE12" t="s">
        <v>6656</v>
      </c>
      <c r="OF12" t="s">
        <v>6667</v>
      </c>
      <c r="OG12" t="s">
        <v>6682</v>
      </c>
      <c r="OH12" t="s">
        <v>6704</v>
      </c>
      <c r="OI12" t="s">
        <v>6730</v>
      </c>
      <c r="OJ12" t="s">
        <v>6744</v>
      </c>
      <c r="OK12" t="s">
        <v>6761</v>
      </c>
      <c r="OL12" t="s">
        <v>6779</v>
      </c>
      <c r="OO12" t="s">
        <v>6810</v>
      </c>
      <c r="OQ12" t="s">
        <v>6831</v>
      </c>
      <c r="OU12" t="s">
        <v>6870</v>
      </c>
      <c r="OV12" t="s">
        <v>6888</v>
      </c>
      <c r="OW12" t="s">
        <v>6904</v>
      </c>
      <c r="OY12" t="s">
        <v>6932</v>
      </c>
      <c r="PA12" t="s">
        <v>6953</v>
      </c>
      <c r="PC12" t="s">
        <v>6986</v>
      </c>
      <c r="PD12" t="s">
        <v>7001</v>
      </c>
      <c r="PE12" t="s">
        <v>7013</v>
      </c>
      <c r="PF12" t="s">
        <v>7026</v>
      </c>
      <c r="PG12" t="s">
        <v>7041</v>
      </c>
      <c r="PH12" t="s">
        <v>7053</v>
      </c>
      <c r="PI12" t="s">
        <v>7065</v>
      </c>
      <c r="PJ12" t="s">
        <v>7076</v>
      </c>
      <c r="PL12" t="s">
        <v>7093</v>
      </c>
      <c r="PN12" t="s">
        <v>7130</v>
      </c>
      <c r="PO12" t="s">
        <v>7143</v>
      </c>
      <c r="PP12" t="s">
        <v>7155</v>
      </c>
      <c r="PQ12" t="s">
        <v>7170</v>
      </c>
      <c r="PR12" t="s">
        <v>7194</v>
      </c>
      <c r="PS12" t="s">
        <v>7210</v>
      </c>
      <c r="PT12" t="s">
        <v>7223</v>
      </c>
      <c r="PV12" t="s">
        <v>7254</v>
      </c>
      <c r="PX12" t="s">
        <v>7272</v>
      </c>
      <c r="PY12" t="s">
        <v>7288</v>
      </c>
      <c r="PZ12" t="s">
        <v>7302</v>
      </c>
      <c r="QB12" t="s">
        <v>7324</v>
      </c>
      <c r="QC12" t="s">
        <v>7342</v>
      </c>
      <c r="QE12" t="s">
        <v>7362</v>
      </c>
      <c r="QF12" t="s">
        <v>7381</v>
      </c>
      <c r="QG12" t="s">
        <v>7397</v>
      </c>
      <c r="QI12" t="s">
        <v>7416</v>
      </c>
      <c r="QL12" t="s">
        <v>7454</v>
      </c>
      <c r="QM12" t="s">
        <v>7477</v>
      </c>
      <c r="QN12" t="s">
        <v>7489</v>
      </c>
      <c r="QO12" t="s">
        <v>7520</v>
      </c>
      <c r="QQ12" t="s">
        <v>7545</v>
      </c>
      <c r="QS12" t="s">
        <v>7575</v>
      </c>
      <c r="QV12" t="s">
        <v>7630</v>
      </c>
      <c r="QW12" t="s">
        <v>7641</v>
      </c>
      <c r="QY12" t="s">
        <v>7666</v>
      </c>
      <c r="QZ12" t="s">
        <v>7686</v>
      </c>
      <c r="RA12" t="s">
        <v>7701</v>
      </c>
      <c r="RB12" t="s">
        <v>7717</v>
      </c>
      <c r="RC12" t="s">
        <v>7732</v>
      </c>
      <c r="RE12" t="s">
        <v>7773</v>
      </c>
      <c r="RF12" t="s">
        <v>7786</v>
      </c>
      <c r="RJ12" t="s">
        <v>7829</v>
      </c>
      <c r="RM12" t="s">
        <v>7860</v>
      </c>
      <c r="RN12" t="s">
        <v>7876</v>
      </c>
      <c r="RP12" t="s">
        <v>7899</v>
      </c>
      <c r="RQ12" t="s">
        <v>7913</v>
      </c>
      <c r="RU12" t="s">
        <v>7955</v>
      </c>
      <c r="RV12" t="s">
        <v>7968</v>
      </c>
      <c r="RW12" t="s">
        <v>7992</v>
      </c>
      <c r="RY12" t="s">
        <v>8013</v>
      </c>
      <c r="RZ12" t="s">
        <v>8024</v>
      </c>
      <c r="SB12" t="s">
        <v>8064</v>
      </c>
      <c r="SC12" t="s">
        <v>8076</v>
      </c>
      <c r="SD12" t="s">
        <v>8089</v>
      </c>
      <c r="SF12" t="s">
        <v>8120</v>
      </c>
      <c r="SH12" t="s">
        <v>8150</v>
      </c>
      <c r="SI12" t="s">
        <v>8179</v>
      </c>
      <c r="SJ12" t="s">
        <v>8193</v>
      </c>
      <c r="SP12" t="s">
        <v>8256</v>
      </c>
      <c r="SS12" t="s">
        <v>8285</v>
      </c>
      <c r="ST12" t="s">
        <v>8299</v>
      </c>
      <c r="SU12" t="s">
        <v>8315</v>
      </c>
      <c r="SW12" t="s">
        <v>8350</v>
      </c>
      <c r="SX12" t="s">
        <v>8363</v>
      </c>
      <c r="SZ12" t="s">
        <v>8392</v>
      </c>
      <c r="TB12" t="s">
        <v>8412</v>
      </c>
      <c r="TC12" t="s">
        <v>8423</v>
      </c>
      <c r="TD12" t="s">
        <v>8434</v>
      </c>
      <c r="TE12" t="s">
        <v>8463</v>
      </c>
      <c r="TH12" t="s">
        <v>8484</v>
      </c>
      <c r="TL12" t="s">
        <v>8524</v>
      </c>
      <c r="TM12" t="s">
        <v>8539</v>
      </c>
      <c r="TO12" t="s">
        <v>8561</v>
      </c>
      <c r="TP12" t="s">
        <v>8579</v>
      </c>
      <c r="TQ12" t="s">
        <v>8591</v>
      </c>
      <c r="TR12" t="s">
        <v>8605</v>
      </c>
      <c r="TS12" t="s">
        <v>8641</v>
      </c>
      <c r="TT12" t="s">
        <v>8653</v>
      </c>
      <c r="TV12" t="s">
        <v>8678</v>
      </c>
      <c r="TW12" t="s">
        <v>8698</v>
      </c>
      <c r="TY12" t="s">
        <v>8725</v>
      </c>
      <c r="TZ12" t="s">
        <v>8737</v>
      </c>
      <c r="UB12" t="s">
        <v>8762</v>
      </c>
      <c r="UC12" t="s">
        <v>8782</v>
      </c>
      <c r="UF12" t="s">
        <v>8817</v>
      </c>
      <c r="UG12" t="s">
        <v>8841</v>
      </c>
      <c r="UH12" t="s">
        <v>8857</v>
      </c>
      <c r="UI12" t="s">
        <v>8893</v>
      </c>
      <c r="UJ12" t="s">
        <v>8906</v>
      </c>
      <c r="UK12" t="s">
        <v>8939</v>
      </c>
      <c r="UL12" t="s">
        <v>8955</v>
      </c>
      <c r="UN12" t="s">
        <v>8975</v>
      </c>
      <c r="UO12" t="s">
        <v>8988</v>
      </c>
      <c r="UQ12" t="s">
        <v>9017</v>
      </c>
      <c r="UR12" t="s">
        <v>9033</v>
      </c>
      <c r="US12" t="s">
        <v>9058</v>
      </c>
      <c r="UT12" t="s">
        <v>9074</v>
      </c>
      <c r="UV12" t="s">
        <v>9098</v>
      </c>
      <c r="UW12" t="s">
        <v>9128</v>
      </c>
      <c r="UX12" t="s">
        <v>9139</v>
      </c>
      <c r="UY12" t="s">
        <v>9155</v>
      </c>
      <c r="UZ12" t="s">
        <v>9178</v>
      </c>
      <c r="VC12" t="s">
        <v>9211</v>
      </c>
      <c r="VD12" t="s">
        <v>9223</v>
      </c>
      <c r="VE12" t="s">
        <v>9235</v>
      </c>
      <c r="VF12" t="s">
        <v>9256</v>
      </c>
      <c r="VG12" t="s">
        <v>9273</v>
      </c>
      <c r="VH12" t="s">
        <v>9284</v>
      </c>
      <c r="VI12" t="s">
        <v>9300</v>
      </c>
      <c r="VJ12" t="s">
        <v>9320</v>
      </c>
      <c r="VK12" t="s">
        <v>9336</v>
      </c>
      <c r="VL12" t="s">
        <v>9352</v>
      </c>
      <c r="VN12" t="s">
        <v>9371</v>
      </c>
      <c r="VQ12" t="s">
        <v>9395</v>
      </c>
      <c r="VR12" t="s">
        <v>9409</v>
      </c>
      <c r="VS12" t="s">
        <v>9430</v>
      </c>
      <c r="VT12" t="s">
        <v>9446</v>
      </c>
      <c r="VX12" t="s">
        <v>9500</v>
      </c>
      <c r="VY12" t="s">
        <v>9512</v>
      </c>
      <c r="WC12" t="s">
        <v>9562</v>
      </c>
      <c r="WD12" t="s">
        <v>9578</v>
      </c>
      <c r="WF12" t="s">
        <v>9620</v>
      </c>
      <c r="WG12" t="s">
        <v>9635</v>
      </c>
      <c r="WH12" t="s">
        <v>9648</v>
      </c>
      <c r="WI12" t="s">
        <v>9661</v>
      </c>
      <c r="WJ12" t="s">
        <v>9673</v>
      </c>
      <c r="WL12" t="s">
        <v>9703</v>
      </c>
      <c r="WM12" t="s">
        <v>9723</v>
      </c>
      <c r="WN12" t="s">
        <v>9736</v>
      </c>
      <c r="WR12" t="s">
        <v>9773</v>
      </c>
      <c r="WS12" t="s">
        <v>9801</v>
      </c>
      <c r="WU12" t="s">
        <v>9843</v>
      </c>
      <c r="WV12" t="s">
        <v>9870</v>
      </c>
      <c r="WW12" t="s">
        <v>9887</v>
      </c>
      <c r="WX12" t="s">
        <v>9900</v>
      </c>
      <c r="WY12" t="s">
        <v>9919</v>
      </c>
      <c r="XA12" t="s">
        <v>9945</v>
      </c>
      <c r="XB12" t="s">
        <v>9967</v>
      </c>
      <c r="XC12" t="s">
        <v>9981</v>
      </c>
      <c r="XD12" t="s">
        <v>10001</v>
      </c>
      <c r="XE12" t="s">
        <v>10015</v>
      </c>
      <c r="XF12" t="s">
        <v>10031</v>
      </c>
      <c r="XG12" t="s">
        <v>10051</v>
      </c>
      <c r="XH12" t="s">
        <v>10067</v>
      </c>
      <c r="XI12" t="s">
        <v>10085</v>
      </c>
      <c r="XK12" t="s">
        <v>10113</v>
      </c>
      <c r="XL12" t="s">
        <v>10126</v>
      </c>
      <c r="XM12" t="s">
        <v>10143</v>
      </c>
      <c r="XO12" t="s">
        <v>10172</v>
      </c>
      <c r="XP12" t="s">
        <v>10184</v>
      </c>
      <c r="XR12" t="s">
        <v>10206</v>
      </c>
      <c r="XS12" t="s">
        <v>10227</v>
      </c>
      <c r="XT12" t="s">
        <v>10238</v>
      </c>
      <c r="XW12" t="s">
        <v>10272</v>
      </c>
      <c r="XX12" t="s">
        <v>10286</v>
      </c>
      <c r="XY12" t="s">
        <v>10298</v>
      </c>
      <c r="XZ12" t="s">
        <v>10316</v>
      </c>
      <c r="YA12" t="s">
        <v>10329</v>
      </c>
      <c r="YB12" t="s">
        <v>10341</v>
      </c>
      <c r="YC12" t="s">
        <v>10361</v>
      </c>
      <c r="YD12" t="s">
        <v>10390</v>
      </c>
      <c r="YE12" t="s">
        <v>10410</v>
      </c>
      <c r="YG12" t="s">
        <v>10436</v>
      </c>
      <c r="YH12" t="s">
        <v>10450</v>
      </c>
      <c r="YI12" t="s">
        <v>10462</v>
      </c>
      <c r="YJ12" t="s">
        <v>10475</v>
      </c>
      <c r="YM12" t="s">
        <v>10517</v>
      </c>
      <c r="YO12" t="s">
        <v>10539</v>
      </c>
      <c r="YP12" t="s">
        <v>10553</v>
      </c>
      <c r="YQ12" t="s">
        <v>10568</v>
      </c>
      <c r="YR12" t="s">
        <v>10584</v>
      </c>
      <c r="YS12" t="s">
        <v>10604</v>
      </c>
      <c r="YT12" t="s">
        <v>10618</v>
      </c>
      <c r="YU12" t="s">
        <v>10642</v>
      </c>
      <c r="YV12" t="s">
        <v>10662</v>
      </c>
      <c r="YW12" t="s">
        <v>10675</v>
      </c>
      <c r="YX12" t="s">
        <v>10695</v>
      </c>
      <c r="YY12" t="s">
        <v>10711</v>
      </c>
      <c r="ZA12" t="s">
        <v>10742</v>
      </c>
      <c r="ZB12" t="s">
        <v>10758</v>
      </c>
      <c r="ZC12" t="s">
        <v>10771</v>
      </c>
      <c r="ZD12" t="s">
        <v>10788</v>
      </c>
      <c r="ZE12" t="s">
        <v>10808</v>
      </c>
      <c r="ZF12" t="s">
        <v>10820</v>
      </c>
      <c r="ZG12" t="s">
        <v>10832</v>
      </c>
      <c r="ZH12" t="s">
        <v>10843</v>
      </c>
      <c r="ZI12" t="s">
        <v>10854</v>
      </c>
      <c r="ZJ12" t="s">
        <v>10874</v>
      </c>
      <c r="ZK12" t="s">
        <v>10885</v>
      </c>
      <c r="ZL12" t="s">
        <v>10903</v>
      </c>
      <c r="ZM12" t="s">
        <v>10918</v>
      </c>
      <c r="ZN12" t="s">
        <v>10930</v>
      </c>
      <c r="ZO12" t="s">
        <v>10941</v>
      </c>
      <c r="ZP12" t="s">
        <v>10958</v>
      </c>
      <c r="ZQ12" t="s">
        <v>10976</v>
      </c>
      <c r="ZS12" t="s">
        <v>10997</v>
      </c>
      <c r="ZT12" t="s">
        <v>11014</v>
      </c>
      <c r="ZU12" t="s">
        <v>11033</v>
      </c>
      <c r="ZV12" t="s">
        <v>11050</v>
      </c>
      <c r="ZW12" t="s">
        <v>11063</v>
      </c>
    </row>
    <row r="13" spans="1:699" x14ac:dyDescent="0.25">
      <c r="A13" t="s">
        <v>1242</v>
      </c>
      <c r="D13" t="s">
        <v>1274</v>
      </c>
      <c r="E13" t="s">
        <v>1289</v>
      </c>
      <c r="F13" t="s">
        <v>1307</v>
      </c>
      <c r="G13" t="s">
        <v>1328</v>
      </c>
      <c r="I13" t="s">
        <v>1353</v>
      </c>
      <c r="L13" t="s">
        <v>1391</v>
      </c>
      <c r="M13" t="s">
        <v>1406</v>
      </c>
      <c r="N13" t="s">
        <v>1420</v>
      </c>
      <c r="P13" t="s">
        <v>1453</v>
      </c>
      <c r="Q13" t="s">
        <v>1465</v>
      </c>
      <c r="R13" t="s">
        <v>1487</v>
      </c>
      <c r="S13" t="s">
        <v>1507</v>
      </c>
      <c r="T13" t="s">
        <v>1525</v>
      </c>
      <c r="U13" t="s">
        <v>1539</v>
      </c>
      <c r="V13" t="s">
        <v>1576</v>
      </c>
      <c r="W13" t="s">
        <v>1591</v>
      </c>
      <c r="X13" t="s">
        <v>1603</v>
      </c>
      <c r="Y13" t="s">
        <v>1619</v>
      </c>
      <c r="Z13" t="s">
        <v>1633</v>
      </c>
      <c r="AC13" t="s">
        <v>1678</v>
      </c>
      <c r="AE13" t="s">
        <v>1703</v>
      </c>
      <c r="AG13" t="s">
        <v>1727</v>
      </c>
      <c r="AH13" t="s">
        <v>1747</v>
      </c>
      <c r="AI13" t="s">
        <v>1760</v>
      </c>
      <c r="AJ13" t="s">
        <v>1780</v>
      </c>
      <c r="AK13" t="s">
        <v>1793</v>
      </c>
      <c r="AM13" t="s">
        <v>1816</v>
      </c>
      <c r="AO13" t="s">
        <v>1836</v>
      </c>
      <c r="AP13" t="s">
        <v>1853</v>
      </c>
      <c r="AS13" t="s">
        <v>1888</v>
      </c>
      <c r="AT13" t="s">
        <v>1910</v>
      </c>
      <c r="AU13" t="s">
        <v>1927</v>
      </c>
      <c r="AV13" t="s">
        <v>1942</v>
      </c>
      <c r="AW13" t="s">
        <v>1974</v>
      </c>
      <c r="AX13" t="s">
        <v>1987</v>
      </c>
      <c r="AZ13" t="s">
        <v>2011</v>
      </c>
      <c r="BA13" t="s">
        <v>2038</v>
      </c>
      <c r="BC13" t="s">
        <v>2062</v>
      </c>
      <c r="BD13" t="s">
        <v>2081</v>
      </c>
      <c r="BE13" t="s">
        <v>2117</v>
      </c>
      <c r="BG13" t="s">
        <v>2145</v>
      </c>
      <c r="BI13" t="s">
        <v>2170</v>
      </c>
      <c r="BJ13" t="s">
        <v>2190</v>
      </c>
      <c r="BM13" t="s">
        <v>2226</v>
      </c>
      <c r="BN13" t="s">
        <v>2241</v>
      </c>
      <c r="BO13" t="s">
        <v>2260</v>
      </c>
      <c r="BP13" t="s">
        <v>2274</v>
      </c>
      <c r="BQ13" t="s">
        <v>2288</v>
      </c>
      <c r="BS13" t="s">
        <v>2322</v>
      </c>
      <c r="BT13" t="s">
        <v>2346</v>
      </c>
      <c r="BU13" t="s">
        <v>2361</v>
      </c>
      <c r="BV13" t="s">
        <v>2381</v>
      </c>
      <c r="BX13" t="s">
        <v>2404</v>
      </c>
      <c r="BY13" t="s">
        <v>2418</v>
      </c>
      <c r="CA13" t="s">
        <v>2444</v>
      </c>
      <c r="CB13" t="s">
        <v>2456</v>
      </c>
      <c r="CC13" t="s">
        <v>2478</v>
      </c>
      <c r="CD13" t="s">
        <v>2493</v>
      </c>
      <c r="CF13" t="s">
        <v>2512</v>
      </c>
      <c r="CG13" t="s">
        <v>2533</v>
      </c>
      <c r="CM13" t="s">
        <v>2580</v>
      </c>
      <c r="CO13" t="s">
        <v>2601</v>
      </c>
      <c r="CS13" t="s">
        <v>2638</v>
      </c>
      <c r="CU13" t="s">
        <v>2664</v>
      </c>
      <c r="CV13" t="s">
        <v>2683</v>
      </c>
      <c r="CW13" t="s">
        <v>2700</v>
      </c>
      <c r="DA13" t="s">
        <v>2763</v>
      </c>
      <c r="DD13" t="s">
        <v>2815</v>
      </c>
      <c r="DE13" t="s">
        <v>2827</v>
      </c>
      <c r="DF13" t="s">
        <v>2849</v>
      </c>
      <c r="DG13" t="s">
        <v>2886</v>
      </c>
      <c r="DH13" t="s">
        <v>2899</v>
      </c>
      <c r="DJ13" t="s">
        <v>2920</v>
      </c>
      <c r="DM13" t="s">
        <v>2961</v>
      </c>
      <c r="DN13" t="s">
        <v>2974</v>
      </c>
      <c r="DO13" t="s">
        <v>2987</v>
      </c>
      <c r="DP13" t="s">
        <v>2999</v>
      </c>
      <c r="DR13" t="s">
        <v>3023</v>
      </c>
      <c r="DS13" t="s">
        <v>3042</v>
      </c>
      <c r="DT13" t="s">
        <v>3059</v>
      </c>
      <c r="DW13" t="s">
        <v>3091</v>
      </c>
      <c r="DX13" t="s">
        <v>3106</v>
      </c>
      <c r="DY13" t="s">
        <v>3122</v>
      </c>
      <c r="DZ13" t="s">
        <v>3135</v>
      </c>
      <c r="EA13" t="s">
        <v>3154</v>
      </c>
      <c r="EB13" t="s">
        <v>3167</v>
      </c>
      <c r="EC13" t="s">
        <v>3186</v>
      </c>
      <c r="ED13" t="s">
        <v>3214</v>
      </c>
      <c r="EF13" t="s">
        <v>3238</v>
      </c>
      <c r="EH13" t="s">
        <v>3268</v>
      </c>
      <c r="EJ13" t="s">
        <v>3299</v>
      </c>
      <c r="EK13" t="s">
        <v>3314</v>
      </c>
      <c r="EN13" t="s">
        <v>3345</v>
      </c>
      <c r="EQ13" t="s">
        <v>3379</v>
      </c>
      <c r="ER13" t="s">
        <v>3405</v>
      </c>
      <c r="ES13" t="s">
        <v>3425</v>
      </c>
      <c r="EW13" t="s">
        <v>3468</v>
      </c>
      <c r="FB13" t="s">
        <v>3509</v>
      </c>
      <c r="FD13" t="s">
        <v>3531</v>
      </c>
      <c r="FF13" t="s">
        <v>3557</v>
      </c>
      <c r="FH13" t="s">
        <v>3581</v>
      </c>
      <c r="FJ13" t="s">
        <v>3612</v>
      </c>
      <c r="FK13" t="s">
        <v>3624</v>
      </c>
      <c r="FO13" t="s">
        <v>3675</v>
      </c>
      <c r="FQ13" t="s">
        <v>3697</v>
      </c>
      <c r="FS13" t="s">
        <v>3726</v>
      </c>
      <c r="FT13" t="s">
        <v>3738</v>
      </c>
      <c r="FU13" t="s">
        <v>3754</v>
      </c>
      <c r="FV13" t="s">
        <v>3771</v>
      </c>
      <c r="FX13" t="s">
        <v>3794</v>
      </c>
      <c r="FZ13" t="s">
        <v>3820</v>
      </c>
      <c r="GF13" t="s">
        <v>3874</v>
      </c>
      <c r="GG13" t="s">
        <v>3893</v>
      </c>
      <c r="GJ13" t="s">
        <v>3921</v>
      </c>
      <c r="GK13" t="s">
        <v>3934</v>
      </c>
      <c r="GN13" t="s">
        <v>3972</v>
      </c>
      <c r="GO13" t="s">
        <v>3996</v>
      </c>
      <c r="GP13" t="s">
        <v>4015</v>
      </c>
      <c r="GS13" t="s">
        <v>4072</v>
      </c>
      <c r="GT13" t="s">
        <v>4086</v>
      </c>
      <c r="GV13" t="s">
        <v>4119</v>
      </c>
      <c r="GW13" t="s">
        <v>4152</v>
      </c>
      <c r="GX13" t="s">
        <v>4173</v>
      </c>
      <c r="GY13" t="s">
        <v>4190</v>
      </c>
      <c r="HA13" t="s">
        <v>4211</v>
      </c>
      <c r="HC13" t="s">
        <v>4235</v>
      </c>
      <c r="HD13" t="s">
        <v>4249</v>
      </c>
      <c r="HE13" t="s">
        <v>4265</v>
      </c>
      <c r="HF13" t="s">
        <v>4294</v>
      </c>
      <c r="HG13" t="s">
        <v>4306</v>
      </c>
      <c r="HI13" t="s">
        <v>4344</v>
      </c>
      <c r="HJ13" t="s">
        <v>4367</v>
      </c>
      <c r="HK13" t="s">
        <v>4387</v>
      </c>
      <c r="HL13" t="s">
        <v>4400</v>
      </c>
      <c r="HP13" t="s">
        <v>4437</v>
      </c>
      <c r="HQ13" t="s">
        <v>4452</v>
      </c>
      <c r="HR13" t="s">
        <v>4468</v>
      </c>
      <c r="HT13" t="s">
        <v>4500</v>
      </c>
      <c r="HY13" t="s">
        <v>4563</v>
      </c>
      <c r="IA13" t="s">
        <v>4587</v>
      </c>
      <c r="IF13" t="s">
        <v>4634</v>
      </c>
      <c r="II13" t="s">
        <v>4664</v>
      </c>
      <c r="IJ13" t="s">
        <v>4682</v>
      </c>
      <c r="IN13" t="s">
        <v>4729</v>
      </c>
      <c r="IO13" t="s">
        <v>4748</v>
      </c>
      <c r="IQ13" t="s">
        <v>4788</v>
      </c>
      <c r="IR13" t="s">
        <v>4805</v>
      </c>
      <c r="IV13" t="s">
        <v>4858</v>
      </c>
      <c r="JA13" t="s">
        <v>4907</v>
      </c>
      <c r="JF13" t="s">
        <v>4970</v>
      </c>
      <c r="JH13" t="s">
        <v>4993</v>
      </c>
      <c r="JI13" t="s">
        <v>5005</v>
      </c>
      <c r="JK13" t="s">
        <v>5035</v>
      </c>
      <c r="JL13" t="s">
        <v>5057</v>
      </c>
      <c r="JN13" t="s">
        <v>5090</v>
      </c>
      <c r="JO13" t="s">
        <v>5113</v>
      </c>
      <c r="JP13" t="s">
        <v>5128</v>
      </c>
      <c r="JR13" t="s">
        <v>5147</v>
      </c>
      <c r="JX13" t="s">
        <v>5208</v>
      </c>
      <c r="JY13" t="s">
        <v>5222</v>
      </c>
      <c r="KC13" t="s">
        <v>5263</v>
      </c>
      <c r="KH13" t="s">
        <v>5308</v>
      </c>
      <c r="KI13" t="s">
        <v>5322</v>
      </c>
      <c r="KK13" t="s">
        <v>5341</v>
      </c>
      <c r="KL13" t="s">
        <v>5369</v>
      </c>
      <c r="KM13" t="s">
        <v>5383</v>
      </c>
      <c r="KN13" t="s">
        <v>5397</v>
      </c>
      <c r="KO13" t="s">
        <v>5417</v>
      </c>
      <c r="KP13" t="s">
        <v>5433</v>
      </c>
      <c r="KQ13" t="s">
        <v>5451</v>
      </c>
      <c r="KR13" t="s">
        <v>5468</v>
      </c>
      <c r="KS13" t="s">
        <v>5481</v>
      </c>
      <c r="KU13" t="s">
        <v>5499</v>
      </c>
      <c r="KV13" t="s">
        <v>5511</v>
      </c>
      <c r="KY13" t="s">
        <v>5539</v>
      </c>
      <c r="LA13" t="s">
        <v>5575</v>
      </c>
      <c r="LB13" t="s">
        <v>5590</v>
      </c>
      <c r="LC13" t="s">
        <v>5603</v>
      </c>
      <c r="LE13" t="s">
        <v>5628</v>
      </c>
      <c r="LF13" t="s">
        <v>5649</v>
      </c>
      <c r="LI13" t="s">
        <v>5696</v>
      </c>
      <c r="LK13" t="s">
        <v>5717</v>
      </c>
      <c r="LL13" t="s">
        <v>5729</v>
      </c>
      <c r="LN13" t="s">
        <v>5752</v>
      </c>
      <c r="LO13" t="s">
        <v>5769</v>
      </c>
      <c r="LP13" t="s">
        <v>5782</v>
      </c>
      <c r="LS13" t="s">
        <v>5821</v>
      </c>
      <c r="LV13" t="s">
        <v>5864</v>
      </c>
      <c r="LW13" t="s">
        <v>5877</v>
      </c>
      <c r="LX13" t="s">
        <v>5891</v>
      </c>
      <c r="LZ13" t="s">
        <v>5914</v>
      </c>
      <c r="MA13" t="s">
        <v>5940</v>
      </c>
      <c r="MB13" t="s">
        <v>5953</v>
      </c>
      <c r="MC13" t="s">
        <v>5966</v>
      </c>
      <c r="MG13" t="s">
        <v>6004</v>
      </c>
      <c r="MI13" t="s">
        <v>6024</v>
      </c>
      <c r="MK13" t="s">
        <v>6060</v>
      </c>
      <c r="MS13" t="s">
        <v>6131</v>
      </c>
      <c r="MT13" t="s">
        <v>6144</v>
      </c>
      <c r="MW13" t="s">
        <v>6177</v>
      </c>
      <c r="MX13" t="s">
        <v>6191</v>
      </c>
      <c r="MZ13" t="s">
        <v>6214</v>
      </c>
      <c r="NA13" t="s">
        <v>6230</v>
      </c>
      <c r="ND13" t="s">
        <v>6256</v>
      </c>
      <c r="NE13" t="s">
        <v>6273</v>
      </c>
      <c r="NG13" t="s">
        <v>6304</v>
      </c>
      <c r="NH13" t="s">
        <v>6327</v>
      </c>
      <c r="NI13" t="s">
        <v>6340</v>
      </c>
      <c r="NJ13" t="s">
        <v>6357</v>
      </c>
      <c r="NK13" t="s">
        <v>6372</v>
      </c>
      <c r="NL13" t="s">
        <v>6392</v>
      </c>
      <c r="NM13" t="s">
        <v>6410</v>
      </c>
      <c r="NN13" t="s">
        <v>6433</v>
      </c>
      <c r="NO13" t="s">
        <v>6455</v>
      </c>
      <c r="NP13" t="s">
        <v>6471</v>
      </c>
      <c r="NR13" t="s">
        <v>6504</v>
      </c>
      <c r="NV13" t="s">
        <v>6548</v>
      </c>
      <c r="NX13" t="s">
        <v>6566</v>
      </c>
      <c r="NZ13" t="s">
        <v>6589</v>
      </c>
      <c r="OB13" t="s">
        <v>6615</v>
      </c>
      <c r="OC13" t="s">
        <v>6636</v>
      </c>
      <c r="OF13" t="s">
        <v>6668</v>
      </c>
      <c r="OG13" t="s">
        <v>6683</v>
      </c>
      <c r="OH13" t="s">
        <v>6705</v>
      </c>
      <c r="OI13" t="s">
        <v>6731</v>
      </c>
      <c r="OJ13" t="s">
        <v>6745</v>
      </c>
      <c r="OK13" t="s">
        <v>6762</v>
      </c>
      <c r="OL13" t="s">
        <v>6780</v>
      </c>
      <c r="OQ13" t="s">
        <v>6832</v>
      </c>
      <c r="OU13" t="s">
        <v>6871</v>
      </c>
      <c r="OV13" t="s">
        <v>6889</v>
      </c>
      <c r="OW13" t="s">
        <v>6905</v>
      </c>
      <c r="OY13" t="s">
        <v>6933</v>
      </c>
      <c r="PA13" t="s">
        <v>6954</v>
      </c>
      <c r="PC13" t="s">
        <v>6987</v>
      </c>
      <c r="PD13" t="s">
        <v>7002</v>
      </c>
      <c r="PE13" t="s">
        <v>7014</v>
      </c>
      <c r="PF13" t="s">
        <v>7027</v>
      </c>
      <c r="PG13" t="s">
        <v>7042</v>
      </c>
      <c r="PH13" t="s">
        <v>7054</v>
      </c>
      <c r="PL13" t="s">
        <v>7094</v>
      </c>
      <c r="PN13" t="s">
        <v>7131</v>
      </c>
      <c r="PO13" t="s">
        <v>7144</v>
      </c>
      <c r="PP13" t="s">
        <v>7156</v>
      </c>
      <c r="PQ13" t="s">
        <v>7171</v>
      </c>
      <c r="PR13" t="s">
        <v>7195</v>
      </c>
      <c r="PS13" t="s">
        <v>7211</v>
      </c>
      <c r="PT13" t="s">
        <v>7224</v>
      </c>
      <c r="PV13" t="s">
        <v>7255</v>
      </c>
      <c r="PX13" t="s">
        <v>7273</v>
      </c>
      <c r="PY13" t="s">
        <v>7289</v>
      </c>
      <c r="PZ13" t="s">
        <v>7303</v>
      </c>
      <c r="QB13" t="s">
        <v>7325</v>
      </c>
      <c r="QE13" t="s">
        <v>7363</v>
      </c>
      <c r="QF13" t="s">
        <v>7382</v>
      </c>
      <c r="QG13" t="s">
        <v>7398</v>
      </c>
      <c r="QI13" t="s">
        <v>7417</v>
      </c>
      <c r="QL13" t="s">
        <v>7455</v>
      </c>
      <c r="QM13" t="s">
        <v>7478</v>
      </c>
      <c r="QN13" t="s">
        <v>7490</v>
      </c>
      <c r="QO13" t="s">
        <v>7521</v>
      </c>
      <c r="QQ13" t="s">
        <v>7546</v>
      </c>
      <c r="QS13" t="s">
        <v>7576</v>
      </c>
      <c r="QW13" t="s">
        <v>7642</v>
      </c>
      <c r="QY13" t="s">
        <v>7667</v>
      </c>
      <c r="QZ13" t="s">
        <v>7687</v>
      </c>
      <c r="RA13" t="s">
        <v>7702</v>
      </c>
      <c r="RB13" t="s">
        <v>7718</v>
      </c>
      <c r="RC13" t="s">
        <v>7733</v>
      </c>
      <c r="RE13" t="s">
        <v>7774</v>
      </c>
      <c r="RF13" t="s">
        <v>7787</v>
      </c>
      <c r="RJ13" t="s">
        <v>7830</v>
      </c>
      <c r="RM13" t="s">
        <v>7861</v>
      </c>
      <c r="RN13" t="s">
        <v>7877</v>
      </c>
      <c r="RP13" t="s">
        <v>7900</v>
      </c>
      <c r="RQ13" t="s">
        <v>7914</v>
      </c>
      <c r="RU13" t="s">
        <v>7956</v>
      </c>
      <c r="RV13" t="s">
        <v>7969</v>
      </c>
      <c r="RZ13" t="s">
        <v>8025</v>
      </c>
      <c r="SB13" t="s">
        <v>8065</v>
      </c>
      <c r="SC13" t="s">
        <v>8077</v>
      </c>
      <c r="SD13" t="s">
        <v>8090</v>
      </c>
      <c r="SF13" t="s">
        <v>8121</v>
      </c>
      <c r="SH13" t="s">
        <v>8151</v>
      </c>
      <c r="SI13" t="s">
        <v>8180</v>
      </c>
      <c r="SJ13" t="s">
        <v>8194</v>
      </c>
      <c r="SP13" t="s">
        <v>8257</v>
      </c>
      <c r="SS13" t="s">
        <v>8286</v>
      </c>
      <c r="ST13" t="s">
        <v>8300</v>
      </c>
      <c r="SU13" t="s">
        <v>8316</v>
      </c>
      <c r="SW13" t="s">
        <v>8351</v>
      </c>
      <c r="SX13" t="s">
        <v>8364</v>
      </c>
      <c r="SZ13" t="s">
        <v>8393</v>
      </c>
      <c r="TD13" t="s">
        <v>8435</v>
      </c>
      <c r="TE13" t="s">
        <v>8464</v>
      </c>
      <c r="TH13" t="s">
        <v>8485</v>
      </c>
      <c r="TL13" t="s">
        <v>8525</v>
      </c>
      <c r="TM13" t="s">
        <v>8540</v>
      </c>
      <c r="TO13" t="s">
        <v>8562</v>
      </c>
      <c r="TP13" t="s">
        <v>8580</v>
      </c>
      <c r="TQ13" t="s">
        <v>8592</v>
      </c>
      <c r="TR13" t="s">
        <v>8606</v>
      </c>
      <c r="TS13" t="s">
        <v>8642</v>
      </c>
      <c r="TT13" t="s">
        <v>8654</v>
      </c>
      <c r="TV13" t="s">
        <v>8679</v>
      </c>
      <c r="TW13" t="s">
        <v>8699</v>
      </c>
      <c r="TY13" t="s">
        <v>8726</v>
      </c>
      <c r="TZ13" t="s">
        <v>8738</v>
      </c>
      <c r="UB13" t="s">
        <v>8763</v>
      </c>
      <c r="UC13" t="s">
        <v>8783</v>
      </c>
      <c r="UF13" t="s">
        <v>8818</v>
      </c>
      <c r="UG13" t="s">
        <v>8842</v>
      </c>
      <c r="UH13" t="s">
        <v>8858</v>
      </c>
      <c r="UI13" t="s">
        <v>8894</v>
      </c>
      <c r="UJ13" t="s">
        <v>8907</v>
      </c>
      <c r="UK13" t="s">
        <v>8940</v>
      </c>
      <c r="UL13" t="s">
        <v>8956</v>
      </c>
      <c r="UN13" t="s">
        <v>8976</v>
      </c>
      <c r="UO13" t="s">
        <v>8989</v>
      </c>
      <c r="UQ13" t="s">
        <v>9018</v>
      </c>
      <c r="UR13" t="s">
        <v>9034</v>
      </c>
      <c r="US13" t="s">
        <v>9059</v>
      </c>
      <c r="UT13" t="s">
        <v>9075</v>
      </c>
      <c r="UV13" t="s">
        <v>9099</v>
      </c>
      <c r="UX13" t="s">
        <v>9140</v>
      </c>
      <c r="UY13" t="s">
        <v>9156</v>
      </c>
      <c r="UZ13" t="s">
        <v>9179</v>
      </c>
      <c r="VC13" t="s">
        <v>9212</v>
      </c>
      <c r="VD13" t="s">
        <v>9224</v>
      </c>
      <c r="VE13" t="s">
        <v>9236</v>
      </c>
      <c r="VF13" t="s">
        <v>9257</v>
      </c>
      <c r="VH13" t="s">
        <v>9285</v>
      </c>
      <c r="VI13" t="s">
        <v>9301</v>
      </c>
      <c r="VJ13" t="s">
        <v>9321</v>
      </c>
      <c r="VK13" t="s">
        <v>9337</v>
      </c>
      <c r="VN13" t="s">
        <v>9372</v>
      </c>
      <c r="VQ13" t="s">
        <v>9396</v>
      </c>
      <c r="VR13" t="s">
        <v>9410</v>
      </c>
      <c r="VS13" t="s">
        <v>9431</v>
      </c>
      <c r="VT13" t="s">
        <v>9447</v>
      </c>
      <c r="VX13" t="s">
        <v>9501</v>
      </c>
      <c r="VY13" t="s">
        <v>9513</v>
      </c>
      <c r="WC13" t="s">
        <v>9563</v>
      </c>
      <c r="WD13" t="s">
        <v>9579</v>
      </c>
      <c r="WF13" t="s">
        <v>9621</v>
      </c>
      <c r="WG13" t="s">
        <v>9636</v>
      </c>
      <c r="WH13" t="s">
        <v>9649</v>
      </c>
      <c r="WI13" t="s">
        <v>9662</v>
      </c>
      <c r="WJ13" t="s">
        <v>9674</v>
      </c>
      <c r="WL13" t="s">
        <v>9704</v>
      </c>
      <c r="WM13" t="s">
        <v>9724</v>
      </c>
      <c r="WN13" t="s">
        <v>9737</v>
      </c>
      <c r="WR13" t="s">
        <v>9774</v>
      </c>
      <c r="WS13" t="s">
        <v>9802</v>
      </c>
      <c r="WU13" t="s">
        <v>9844</v>
      </c>
      <c r="WV13" t="s">
        <v>9871</v>
      </c>
      <c r="WW13" t="s">
        <v>9888</v>
      </c>
      <c r="WX13" t="s">
        <v>9901</v>
      </c>
      <c r="WY13" t="s">
        <v>9920</v>
      </c>
      <c r="XA13" t="s">
        <v>9946</v>
      </c>
      <c r="XB13" t="s">
        <v>9968</v>
      </c>
      <c r="XC13" t="s">
        <v>9982</v>
      </c>
      <c r="XD13" t="s">
        <v>10002</v>
      </c>
      <c r="XE13" t="s">
        <v>10016</v>
      </c>
      <c r="XF13" t="s">
        <v>10032</v>
      </c>
      <c r="XG13" t="s">
        <v>10052</v>
      </c>
      <c r="XH13" t="s">
        <v>10068</v>
      </c>
      <c r="XI13" t="s">
        <v>10086</v>
      </c>
      <c r="XK13" t="s">
        <v>10114</v>
      </c>
      <c r="XL13" t="s">
        <v>10127</v>
      </c>
      <c r="XM13" t="s">
        <v>10144</v>
      </c>
      <c r="XO13" t="s">
        <v>10173</v>
      </c>
      <c r="XP13" t="s">
        <v>10185</v>
      </c>
      <c r="XR13" t="s">
        <v>10207</v>
      </c>
      <c r="XT13" t="s">
        <v>10239</v>
      </c>
      <c r="XW13" t="s">
        <v>10273</v>
      </c>
      <c r="XX13" t="s">
        <v>10287</v>
      </c>
      <c r="XY13" t="s">
        <v>10299</v>
      </c>
      <c r="XZ13" t="s">
        <v>10317</v>
      </c>
      <c r="YA13" t="s">
        <v>10330</v>
      </c>
      <c r="YB13" t="s">
        <v>10342</v>
      </c>
      <c r="YC13" t="s">
        <v>10362</v>
      </c>
      <c r="YD13" t="s">
        <v>10391</v>
      </c>
      <c r="YE13" t="s">
        <v>10411</v>
      </c>
      <c r="YG13" t="s">
        <v>10437</v>
      </c>
      <c r="YH13" t="s">
        <v>10451</v>
      </c>
      <c r="YI13" t="s">
        <v>10463</v>
      </c>
      <c r="YJ13" t="s">
        <v>10476</v>
      </c>
      <c r="YM13" t="s">
        <v>10518</v>
      </c>
      <c r="YO13" t="s">
        <v>10540</v>
      </c>
      <c r="YP13" t="s">
        <v>10554</v>
      </c>
      <c r="YQ13" t="s">
        <v>10569</v>
      </c>
      <c r="YR13" t="s">
        <v>10585</v>
      </c>
      <c r="YS13" t="s">
        <v>10605</v>
      </c>
      <c r="YT13" t="s">
        <v>10619</v>
      </c>
      <c r="YU13" t="s">
        <v>10643</v>
      </c>
      <c r="YV13" t="s">
        <v>10663</v>
      </c>
      <c r="YW13" t="s">
        <v>10676</v>
      </c>
      <c r="YX13" t="s">
        <v>10696</v>
      </c>
      <c r="YY13" t="s">
        <v>10712</v>
      </c>
      <c r="ZA13" t="s">
        <v>10743</v>
      </c>
      <c r="ZB13" t="s">
        <v>10759</v>
      </c>
      <c r="ZC13" t="s">
        <v>10772</v>
      </c>
      <c r="ZD13" t="s">
        <v>10789</v>
      </c>
      <c r="ZE13" t="s">
        <v>10809</v>
      </c>
      <c r="ZF13" t="s">
        <v>10821</v>
      </c>
      <c r="ZI13" t="s">
        <v>10855</v>
      </c>
      <c r="ZK13" t="s">
        <v>10886</v>
      </c>
      <c r="ZL13" t="s">
        <v>10904</v>
      </c>
      <c r="ZM13" t="s">
        <v>10919</v>
      </c>
      <c r="ZO13" t="s">
        <v>10942</v>
      </c>
      <c r="ZP13" t="s">
        <v>10959</v>
      </c>
      <c r="ZQ13" t="s">
        <v>10977</v>
      </c>
      <c r="ZS13" t="s">
        <v>10998</v>
      </c>
      <c r="ZT13" t="s">
        <v>11015</v>
      </c>
      <c r="ZU13" t="s">
        <v>11034</v>
      </c>
      <c r="ZV13" t="s">
        <v>11051</v>
      </c>
      <c r="ZW13" t="s">
        <v>11064</v>
      </c>
    </row>
    <row r="14" spans="1:699" x14ac:dyDescent="0.25">
      <c r="D14" t="s">
        <v>1275</v>
      </c>
      <c r="E14" t="s">
        <v>1290</v>
      </c>
      <c r="F14" t="s">
        <v>1308</v>
      </c>
      <c r="G14" t="s">
        <v>1329</v>
      </c>
      <c r="I14" t="s">
        <v>1354</v>
      </c>
      <c r="L14" t="s">
        <v>1392</v>
      </c>
      <c r="M14" t="s">
        <v>1407</v>
      </c>
      <c r="N14" t="s">
        <v>1421</v>
      </c>
      <c r="Q14" t="s">
        <v>1466</v>
      </c>
      <c r="R14" t="s">
        <v>1488</v>
      </c>
      <c r="S14" t="s">
        <v>1508</v>
      </c>
      <c r="T14" t="s">
        <v>1526</v>
      </c>
      <c r="U14" t="s">
        <v>1540</v>
      </c>
      <c r="V14" t="s">
        <v>1577</v>
      </c>
      <c r="X14" t="s">
        <v>1604</v>
      </c>
      <c r="Y14" t="s">
        <v>1620</v>
      </c>
      <c r="Z14" t="s">
        <v>1634</v>
      </c>
      <c r="AC14" t="s">
        <v>1679</v>
      </c>
      <c r="AE14" t="s">
        <v>1704</v>
      </c>
      <c r="AG14" t="s">
        <v>1728</v>
      </c>
      <c r="AH14" t="s">
        <v>1748</v>
      </c>
      <c r="AI14" t="s">
        <v>1761</v>
      </c>
      <c r="AJ14" t="s">
        <v>1781</v>
      </c>
      <c r="AK14" t="s">
        <v>1794</v>
      </c>
      <c r="AM14" t="s">
        <v>1817</v>
      </c>
      <c r="AO14" t="s">
        <v>1837</v>
      </c>
      <c r="AP14" t="s">
        <v>1854</v>
      </c>
      <c r="AS14" t="s">
        <v>1889</v>
      </c>
      <c r="AT14" t="s">
        <v>1911</v>
      </c>
      <c r="AU14" t="s">
        <v>1928</v>
      </c>
      <c r="AV14" t="s">
        <v>1943</v>
      </c>
      <c r="AW14" t="s">
        <v>1975</v>
      </c>
      <c r="AX14" t="s">
        <v>1988</v>
      </c>
      <c r="AZ14" t="s">
        <v>2012</v>
      </c>
      <c r="BA14" t="s">
        <v>2039</v>
      </c>
      <c r="BC14" t="s">
        <v>2063</v>
      </c>
      <c r="BD14" t="s">
        <v>2082</v>
      </c>
      <c r="BE14" t="s">
        <v>2118</v>
      </c>
      <c r="BG14" t="s">
        <v>2146</v>
      </c>
      <c r="BI14" t="s">
        <v>2171</v>
      </c>
      <c r="BJ14" t="s">
        <v>2191</v>
      </c>
      <c r="BM14" t="s">
        <v>2227</v>
      </c>
      <c r="BN14" t="s">
        <v>2242</v>
      </c>
      <c r="BO14" t="s">
        <v>2261</v>
      </c>
      <c r="BP14" t="s">
        <v>2275</v>
      </c>
      <c r="BQ14" t="s">
        <v>2289</v>
      </c>
      <c r="BS14" t="s">
        <v>2323</v>
      </c>
      <c r="BT14" t="s">
        <v>2347</v>
      </c>
      <c r="BU14" t="s">
        <v>2362</v>
      </c>
      <c r="BV14" t="s">
        <v>2382</v>
      </c>
      <c r="BX14" t="s">
        <v>2405</v>
      </c>
      <c r="BY14" t="s">
        <v>2419</v>
      </c>
      <c r="CB14" t="s">
        <v>2457</v>
      </c>
      <c r="CC14" t="s">
        <v>2479</v>
      </c>
      <c r="CD14" t="s">
        <v>2494</v>
      </c>
      <c r="CF14" t="s">
        <v>2513</v>
      </c>
      <c r="CM14" t="s">
        <v>2581</v>
      </c>
      <c r="CO14" t="s">
        <v>2602</v>
      </c>
      <c r="CS14" t="s">
        <v>2639</v>
      </c>
      <c r="CU14" t="s">
        <v>2665</v>
      </c>
      <c r="CV14" t="s">
        <v>2684</v>
      </c>
      <c r="CW14" t="s">
        <v>2701</v>
      </c>
      <c r="DA14" t="s">
        <v>2764</v>
      </c>
      <c r="DE14" t="s">
        <v>2828</v>
      </c>
      <c r="DF14" t="s">
        <v>2850</v>
      </c>
      <c r="DG14" t="s">
        <v>2887</v>
      </c>
      <c r="DH14" t="s">
        <v>2900</v>
      </c>
      <c r="DJ14" t="s">
        <v>2921</v>
      </c>
      <c r="DM14" t="s">
        <v>2962</v>
      </c>
      <c r="DN14" t="s">
        <v>2975</v>
      </c>
      <c r="DP14" t="s">
        <v>3000</v>
      </c>
      <c r="DR14" t="s">
        <v>3024</v>
      </c>
      <c r="DS14" t="s">
        <v>3043</v>
      </c>
      <c r="DT14" t="s">
        <v>3060</v>
      </c>
      <c r="DW14" t="s">
        <v>3092</v>
      </c>
      <c r="DX14" t="s">
        <v>3107</v>
      </c>
      <c r="DY14" t="s">
        <v>3123</v>
      </c>
      <c r="DZ14" t="s">
        <v>3136</v>
      </c>
      <c r="EA14" t="s">
        <v>3155</v>
      </c>
      <c r="EB14" t="s">
        <v>3168</v>
      </c>
      <c r="EC14" t="s">
        <v>3187</v>
      </c>
      <c r="ED14" t="s">
        <v>3215</v>
      </c>
      <c r="EF14" t="s">
        <v>3239</v>
      </c>
      <c r="EH14" t="s">
        <v>3269</v>
      </c>
      <c r="EJ14" t="s">
        <v>3300</v>
      </c>
      <c r="EK14" t="s">
        <v>3315</v>
      </c>
      <c r="EN14" t="s">
        <v>3346</v>
      </c>
      <c r="EQ14" t="s">
        <v>3380</v>
      </c>
      <c r="ER14" t="s">
        <v>3406</v>
      </c>
      <c r="ES14" t="s">
        <v>3426</v>
      </c>
      <c r="EW14" t="s">
        <v>3469</v>
      </c>
      <c r="FD14" t="s">
        <v>3532</v>
      </c>
      <c r="FF14" t="s">
        <v>3558</v>
      </c>
      <c r="FH14" t="s">
        <v>3582</v>
      </c>
      <c r="FK14" t="s">
        <v>3625</v>
      </c>
      <c r="FO14" t="s">
        <v>3676</v>
      </c>
      <c r="FQ14" t="s">
        <v>3698</v>
      </c>
      <c r="FT14" t="s">
        <v>3739</v>
      </c>
      <c r="FU14" t="s">
        <v>3755</v>
      </c>
      <c r="FV14" t="s">
        <v>3772</v>
      </c>
      <c r="FX14" t="s">
        <v>3795</v>
      </c>
      <c r="FZ14" t="s">
        <v>3821</v>
      </c>
      <c r="GF14" t="s">
        <v>3875</v>
      </c>
      <c r="GJ14" t="s">
        <v>3922</v>
      </c>
      <c r="GK14" t="s">
        <v>3935</v>
      </c>
      <c r="GN14" t="s">
        <v>3973</v>
      </c>
      <c r="GO14" t="s">
        <v>3997</v>
      </c>
      <c r="GP14" t="s">
        <v>4016</v>
      </c>
      <c r="GS14" t="s">
        <v>4073</v>
      </c>
      <c r="GT14" t="s">
        <v>4087</v>
      </c>
      <c r="GV14" t="s">
        <v>4120</v>
      </c>
      <c r="GW14" t="s">
        <v>4153</v>
      </c>
      <c r="GX14" t="s">
        <v>4174</v>
      </c>
      <c r="HA14" t="s">
        <v>4212</v>
      </c>
      <c r="HC14" t="s">
        <v>4236</v>
      </c>
      <c r="HD14" t="s">
        <v>4250</v>
      </c>
      <c r="HE14" t="s">
        <v>4266</v>
      </c>
      <c r="HG14" t="s">
        <v>4307</v>
      </c>
      <c r="HI14" t="s">
        <v>4345</v>
      </c>
      <c r="HJ14" t="s">
        <v>4368</v>
      </c>
      <c r="HK14" t="s">
        <v>4388</v>
      </c>
      <c r="HL14" t="s">
        <v>4401</v>
      </c>
      <c r="HP14" t="s">
        <v>4438</v>
      </c>
      <c r="HQ14" t="s">
        <v>4453</v>
      </c>
      <c r="HR14" t="s">
        <v>4469</v>
      </c>
      <c r="HT14" t="s">
        <v>4501</v>
      </c>
      <c r="HY14" t="s">
        <v>4564</v>
      </c>
      <c r="IA14" t="s">
        <v>4588</v>
      </c>
      <c r="IF14" t="s">
        <v>4635</v>
      </c>
      <c r="II14" t="s">
        <v>4665</v>
      </c>
      <c r="IJ14" t="s">
        <v>4683</v>
      </c>
      <c r="IN14" t="s">
        <v>4730</v>
      </c>
      <c r="IO14" t="s">
        <v>4749</v>
      </c>
      <c r="IQ14" t="s">
        <v>4789</v>
      </c>
      <c r="IR14" t="s">
        <v>4806</v>
      </c>
      <c r="IV14" t="s">
        <v>4859</v>
      </c>
      <c r="JA14" t="s">
        <v>4908</v>
      </c>
      <c r="JF14" t="s">
        <v>4971</v>
      </c>
      <c r="JI14" t="s">
        <v>5006</v>
      </c>
      <c r="JK14" t="s">
        <v>5036</v>
      </c>
      <c r="JL14" t="s">
        <v>5058</v>
      </c>
      <c r="JN14" t="s">
        <v>5091</v>
      </c>
      <c r="JO14" t="s">
        <v>5114</v>
      </c>
      <c r="JP14" t="s">
        <v>5129</v>
      </c>
      <c r="JR14" t="s">
        <v>5148</v>
      </c>
      <c r="JX14" t="s">
        <v>5209</v>
      </c>
      <c r="JY14" t="s">
        <v>5223</v>
      </c>
      <c r="KH14" t="s">
        <v>5309</v>
      </c>
      <c r="KK14" t="s">
        <v>5342</v>
      </c>
      <c r="KL14" t="s">
        <v>5370</v>
      </c>
      <c r="KM14" t="s">
        <v>5384</v>
      </c>
      <c r="KN14" t="s">
        <v>5398</v>
      </c>
      <c r="KO14" t="s">
        <v>5418</v>
      </c>
      <c r="KP14" t="s">
        <v>5434</v>
      </c>
      <c r="KQ14" t="s">
        <v>5452</v>
      </c>
      <c r="KR14" t="s">
        <v>5469</v>
      </c>
      <c r="KS14" t="s">
        <v>5482</v>
      </c>
      <c r="KV14" t="s">
        <v>5512</v>
      </c>
      <c r="KY14" t="s">
        <v>5540</v>
      </c>
      <c r="LA14" t="s">
        <v>5576</v>
      </c>
      <c r="LB14" t="s">
        <v>5591</v>
      </c>
      <c r="LC14" t="s">
        <v>5604</v>
      </c>
      <c r="LE14" t="s">
        <v>5629</v>
      </c>
      <c r="LF14" t="s">
        <v>5650</v>
      </c>
      <c r="LL14" t="s">
        <v>5730</v>
      </c>
      <c r="LN14" t="s">
        <v>5753</v>
      </c>
      <c r="LO14" t="s">
        <v>5770</v>
      </c>
      <c r="LP14" t="s">
        <v>5783</v>
      </c>
      <c r="LS14" t="s">
        <v>5822</v>
      </c>
      <c r="LV14" t="s">
        <v>5865</v>
      </c>
      <c r="LW14" t="s">
        <v>5878</v>
      </c>
      <c r="LX14" t="s">
        <v>5892</v>
      </c>
      <c r="LZ14" t="s">
        <v>5915</v>
      </c>
      <c r="MA14" t="s">
        <v>5941</v>
      </c>
      <c r="MB14" t="s">
        <v>5954</v>
      </c>
      <c r="MC14" t="s">
        <v>5967</v>
      </c>
      <c r="MG14" t="s">
        <v>6005</v>
      </c>
      <c r="MI14" t="s">
        <v>6025</v>
      </c>
      <c r="MK14" t="s">
        <v>6061</v>
      </c>
      <c r="MS14" t="s">
        <v>6132</v>
      </c>
      <c r="MT14" t="s">
        <v>6145</v>
      </c>
      <c r="MW14" t="s">
        <v>6178</v>
      </c>
      <c r="MX14" t="s">
        <v>6192</v>
      </c>
      <c r="MZ14" t="s">
        <v>6215</v>
      </c>
      <c r="NA14" t="s">
        <v>6231</v>
      </c>
      <c r="ND14" t="s">
        <v>6257</v>
      </c>
      <c r="NE14" t="s">
        <v>6274</v>
      </c>
      <c r="NG14" t="s">
        <v>6305</v>
      </c>
      <c r="NH14" t="s">
        <v>6328</v>
      </c>
      <c r="NI14" t="s">
        <v>6341</v>
      </c>
      <c r="NJ14" t="s">
        <v>6358</v>
      </c>
      <c r="NK14" t="s">
        <v>6373</v>
      </c>
      <c r="NL14" t="s">
        <v>6393</v>
      </c>
      <c r="NM14" t="s">
        <v>6411</v>
      </c>
      <c r="NN14" t="s">
        <v>6434</v>
      </c>
      <c r="NO14" t="s">
        <v>6456</v>
      </c>
      <c r="NP14" t="s">
        <v>6472</v>
      </c>
      <c r="NR14" t="s">
        <v>6505</v>
      </c>
      <c r="NV14" t="s">
        <v>6549</v>
      </c>
      <c r="NX14" t="s">
        <v>6567</v>
      </c>
      <c r="NZ14" t="s">
        <v>6590</v>
      </c>
      <c r="OB14" t="s">
        <v>6616</v>
      </c>
      <c r="OC14" t="s">
        <v>6637</v>
      </c>
      <c r="OF14" t="s">
        <v>6669</v>
      </c>
      <c r="OG14" t="s">
        <v>6684</v>
      </c>
      <c r="OH14" t="s">
        <v>6706</v>
      </c>
      <c r="OI14" t="s">
        <v>6732</v>
      </c>
      <c r="OJ14" t="s">
        <v>6746</v>
      </c>
      <c r="OK14" t="s">
        <v>6763</v>
      </c>
      <c r="OL14" t="s">
        <v>6781</v>
      </c>
      <c r="OQ14" t="s">
        <v>6833</v>
      </c>
      <c r="OU14" t="s">
        <v>6872</v>
      </c>
      <c r="OV14" t="s">
        <v>6890</v>
      </c>
      <c r="OW14" t="s">
        <v>6906</v>
      </c>
      <c r="OY14" t="s">
        <v>6934</v>
      </c>
      <c r="PA14" t="s">
        <v>6955</v>
      </c>
      <c r="PC14" t="s">
        <v>6988</v>
      </c>
      <c r="PE14" t="s">
        <v>7015</v>
      </c>
      <c r="PF14" t="s">
        <v>7028</v>
      </c>
      <c r="PL14" t="s">
        <v>7095</v>
      </c>
      <c r="PN14" t="s">
        <v>7132</v>
      </c>
      <c r="PP14" t="s">
        <v>7157</v>
      </c>
      <c r="PQ14" t="s">
        <v>7172</v>
      </c>
      <c r="PR14" t="s">
        <v>7196</v>
      </c>
      <c r="PS14" t="s">
        <v>7212</v>
      </c>
      <c r="PT14" t="s">
        <v>7225</v>
      </c>
      <c r="PV14" t="s">
        <v>7256</v>
      </c>
      <c r="PX14" t="s">
        <v>7274</v>
      </c>
      <c r="PY14" t="s">
        <v>7290</v>
      </c>
      <c r="PZ14" t="s">
        <v>7304</v>
      </c>
      <c r="QB14" t="s">
        <v>7326</v>
      </c>
      <c r="QE14" t="s">
        <v>7364</v>
      </c>
      <c r="QF14" t="s">
        <v>7383</v>
      </c>
      <c r="QI14" t="s">
        <v>7418</v>
      </c>
      <c r="QL14" t="s">
        <v>7456</v>
      </c>
      <c r="QN14" t="s">
        <v>7491</v>
      </c>
      <c r="QO14" t="s">
        <v>7522</v>
      </c>
      <c r="QQ14" t="s">
        <v>7547</v>
      </c>
      <c r="QS14" t="s">
        <v>7577</v>
      </c>
      <c r="QW14" t="s">
        <v>7643</v>
      </c>
      <c r="QY14" t="s">
        <v>7668</v>
      </c>
      <c r="QZ14" t="s">
        <v>7688</v>
      </c>
      <c r="RA14" t="s">
        <v>7703</v>
      </c>
      <c r="RB14" t="s">
        <v>7719</v>
      </c>
      <c r="RC14" t="s">
        <v>7734</v>
      </c>
      <c r="RE14" t="s">
        <v>7775</v>
      </c>
      <c r="RF14" t="s">
        <v>7788</v>
      </c>
      <c r="RJ14" t="s">
        <v>7831</v>
      </c>
      <c r="RM14" t="s">
        <v>7862</v>
      </c>
      <c r="RN14" t="s">
        <v>7878</v>
      </c>
      <c r="RP14" t="s">
        <v>7901</v>
      </c>
      <c r="RQ14" t="s">
        <v>7915</v>
      </c>
      <c r="RU14" t="s">
        <v>7957</v>
      </c>
      <c r="RV14" t="s">
        <v>7970</v>
      </c>
      <c r="RZ14" t="s">
        <v>8026</v>
      </c>
      <c r="SC14" t="s">
        <v>8078</v>
      </c>
      <c r="SD14" t="s">
        <v>8091</v>
      </c>
      <c r="SF14" t="s">
        <v>8122</v>
      </c>
      <c r="SH14" t="s">
        <v>8152</v>
      </c>
      <c r="SI14" t="s">
        <v>8181</v>
      </c>
      <c r="SJ14" t="s">
        <v>8195</v>
      </c>
      <c r="SP14" t="s">
        <v>8258</v>
      </c>
      <c r="SS14" t="s">
        <v>8287</v>
      </c>
      <c r="ST14" t="s">
        <v>8301</v>
      </c>
      <c r="SU14" t="s">
        <v>8317</v>
      </c>
      <c r="SW14" t="s">
        <v>8352</v>
      </c>
      <c r="SX14" t="s">
        <v>8365</v>
      </c>
      <c r="SZ14" t="s">
        <v>8394</v>
      </c>
      <c r="TD14" t="s">
        <v>8436</v>
      </c>
      <c r="TE14" t="s">
        <v>8465</v>
      </c>
      <c r="TH14" t="s">
        <v>8486</v>
      </c>
      <c r="TL14" t="s">
        <v>8526</v>
      </c>
      <c r="TO14" t="s">
        <v>8563</v>
      </c>
      <c r="TQ14" t="s">
        <v>8593</v>
      </c>
      <c r="TR14" t="s">
        <v>8607</v>
      </c>
      <c r="TT14" t="s">
        <v>8655</v>
      </c>
      <c r="TV14" t="s">
        <v>8680</v>
      </c>
      <c r="TW14" t="s">
        <v>8700</v>
      </c>
      <c r="TZ14" t="s">
        <v>8739</v>
      </c>
      <c r="UB14" t="s">
        <v>8764</v>
      </c>
      <c r="UC14" t="s">
        <v>8784</v>
      </c>
      <c r="UF14" t="s">
        <v>8819</v>
      </c>
      <c r="UG14" t="s">
        <v>8843</v>
      </c>
      <c r="UH14" t="s">
        <v>8859</v>
      </c>
      <c r="UI14" t="s">
        <v>8895</v>
      </c>
      <c r="UJ14" t="s">
        <v>8908</v>
      </c>
      <c r="UK14" t="s">
        <v>8941</v>
      </c>
      <c r="UN14" t="s">
        <v>8977</v>
      </c>
      <c r="UO14" t="s">
        <v>8990</v>
      </c>
      <c r="UQ14" t="s">
        <v>9019</v>
      </c>
      <c r="UR14" t="s">
        <v>9035</v>
      </c>
      <c r="US14" t="s">
        <v>9060</v>
      </c>
      <c r="UT14" t="s">
        <v>9076</v>
      </c>
      <c r="UV14" t="s">
        <v>9100</v>
      </c>
      <c r="UX14" t="s">
        <v>9141</v>
      </c>
      <c r="UY14" t="s">
        <v>9157</v>
      </c>
      <c r="UZ14" t="s">
        <v>9180</v>
      </c>
      <c r="VE14" t="s">
        <v>9237</v>
      </c>
      <c r="VF14" t="s">
        <v>9258</v>
      </c>
      <c r="VH14" t="s">
        <v>9286</v>
      </c>
      <c r="VI14" t="s">
        <v>9302</v>
      </c>
      <c r="VJ14" t="s">
        <v>9322</v>
      </c>
      <c r="VK14" t="s">
        <v>9338</v>
      </c>
      <c r="VQ14" t="s">
        <v>9397</v>
      </c>
      <c r="VR14" t="s">
        <v>9411</v>
      </c>
      <c r="VS14" t="s">
        <v>9432</v>
      </c>
      <c r="VT14" t="s">
        <v>9448</v>
      </c>
      <c r="VY14" t="s">
        <v>9514</v>
      </c>
      <c r="WC14" t="s">
        <v>9564</v>
      </c>
      <c r="WD14" t="s">
        <v>9580</v>
      </c>
      <c r="WF14" t="s">
        <v>9622</v>
      </c>
      <c r="WG14" t="s">
        <v>9637</v>
      </c>
      <c r="WH14" t="s">
        <v>9650</v>
      </c>
      <c r="WJ14" t="s">
        <v>9675</v>
      </c>
      <c r="WL14" t="s">
        <v>9705</v>
      </c>
      <c r="WM14" t="s">
        <v>9725</v>
      </c>
      <c r="WN14" t="s">
        <v>9738</v>
      </c>
      <c r="WR14" t="s">
        <v>9775</v>
      </c>
      <c r="WS14" t="s">
        <v>9803</v>
      </c>
      <c r="WU14" t="s">
        <v>9845</v>
      </c>
      <c r="WV14" t="s">
        <v>9872</v>
      </c>
      <c r="WW14" t="s">
        <v>9889</v>
      </c>
      <c r="WX14" t="s">
        <v>9902</v>
      </c>
      <c r="WY14" t="s">
        <v>9921</v>
      </c>
      <c r="XA14" t="s">
        <v>9947</v>
      </c>
      <c r="XB14" t="s">
        <v>9969</v>
      </c>
      <c r="XC14" t="s">
        <v>9983</v>
      </c>
      <c r="XD14" t="s">
        <v>10003</v>
      </c>
      <c r="XE14" t="s">
        <v>10017</v>
      </c>
      <c r="XF14" t="s">
        <v>10033</v>
      </c>
      <c r="XG14" t="s">
        <v>10053</v>
      </c>
      <c r="XH14" t="s">
        <v>10069</v>
      </c>
      <c r="XI14" t="s">
        <v>10087</v>
      </c>
      <c r="XK14" t="s">
        <v>10115</v>
      </c>
      <c r="XL14" t="s">
        <v>10128</v>
      </c>
      <c r="XM14" t="s">
        <v>10145</v>
      </c>
      <c r="XR14" t="s">
        <v>10208</v>
      </c>
      <c r="XT14" t="s">
        <v>10240</v>
      </c>
      <c r="XW14" t="s">
        <v>10274</v>
      </c>
      <c r="XY14" t="s">
        <v>10300</v>
      </c>
      <c r="XZ14" t="s">
        <v>10318</v>
      </c>
      <c r="YB14" t="s">
        <v>10343</v>
      </c>
      <c r="YC14" t="s">
        <v>10363</v>
      </c>
      <c r="YD14" t="s">
        <v>10392</v>
      </c>
      <c r="YE14" t="s">
        <v>10412</v>
      </c>
      <c r="YG14" t="s">
        <v>10438</v>
      </c>
      <c r="YI14" t="s">
        <v>10464</v>
      </c>
      <c r="YJ14" t="s">
        <v>10477</v>
      </c>
      <c r="YM14" t="s">
        <v>10519</v>
      </c>
      <c r="YO14" t="s">
        <v>10541</v>
      </c>
      <c r="YP14" t="s">
        <v>10555</v>
      </c>
      <c r="YQ14" t="s">
        <v>10570</v>
      </c>
      <c r="YR14" t="s">
        <v>10586</v>
      </c>
      <c r="YS14" t="s">
        <v>10606</v>
      </c>
      <c r="YT14" t="s">
        <v>10620</v>
      </c>
      <c r="YU14" t="s">
        <v>10644</v>
      </c>
      <c r="YV14" t="s">
        <v>10664</v>
      </c>
      <c r="YW14" t="s">
        <v>10677</v>
      </c>
      <c r="YX14" t="s">
        <v>10697</v>
      </c>
      <c r="YY14" t="s">
        <v>10713</v>
      </c>
      <c r="ZA14" t="s">
        <v>10744</v>
      </c>
      <c r="ZB14" t="s">
        <v>10760</v>
      </c>
      <c r="ZC14" t="s">
        <v>10773</v>
      </c>
      <c r="ZD14" t="s">
        <v>10790</v>
      </c>
      <c r="ZI14" t="s">
        <v>10856</v>
      </c>
      <c r="ZK14" t="s">
        <v>10887</v>
      </c>
      <c r="ZL14" t="s">
        <v>10905</v>
      </c>
      <c r="ZO14" t="s">
        <v>10943</v>
      </c>
      <c r="ZP14" t="s">
        <v>10960</v>
      </c>
      <c r="ZS14" t="s">
        <v>10999</v>
      </c>
      <c r="ZT14" t="s">
        <v>11016</v>
      </c>
      <c r="ZU14" t="s">
        <v>11035</v>
      </c>
      <c r="ZV14" t="s">
        <v>11052</v>
      </c>
      <c r="ZW14" t="s">
        <v>11065</v>
      </c>
    </row>
    <row r="15" spans="1:699" x14ac:dyDescent="0.25">
      <c r="D15" t="s">
        <v>1276</v>
      </c>
      <c r="E15" t="s">
        <v>1291</v>
      </c>
      <c r="F15" t="s">
        <v>1309</v>
      </c>
      <c r="G15" t="s">
        <v>1330</v>
      </c>
      <c r="I15" t="s">
        <v>1355</v>
      </c>
      <c r="L15" t="s">
        <v>1393</v>
      </c>
      <c r="M15" t="s">
        <v>1408</v>
      </c>
      <c r="N15" t="s">
        <v>1422</v>
      </c>
      <c r="Q15" t="s">
        <v>1467</v>
      </c>
      <c r="R15" t="s">
        <v>1489</v>
      </c>
      <c r="S15" t="s">
        <v>1509</v>
      </c>
      <c r="T15" t="s">
        <v>1527</v>
      </c>
      <c r="U15" t="s">
        <v>1541</v>
      </c>
      <c r="V15" t="s">
        <v>1578</v>
      </c>
      <c r="X15" t="s">
        <v>1605</v>
      </c>
      <c r="Y15" t="s">
        <v>1621</v>
      </c>
      <c r="Z15" t="s">
        <v>1635</v>
      </c>
      <c r="AC15" t="s">
        <v>1680</v>
      </c>
      <c r="AE15" t="s">
        <v>1705</v>
      </c>
      <c r="AG15" t="s">
        <v>1729</v>
      </c>
      <c r="AI15" t="s">
        <v>1762</v>
      </c>
      <c r="AK15" t="s">
        <v>1795</v>
      </c>
      <c r="AM15" t="s">
        <v>1818</v>
      </c>
      <c r="AO15" t="s">
        <v>1838</v>
      </c>
      <c r="AP15" t="s">
        <v>1855</v>
      </c>
      <c r="AS15" t="s">
        <v>1890</v>
      </c>
      <c r="AT15" t="s">
        <v>1912</v>
      </c>
      <c r="AU15" t="s">
        <v>1929</v>
      </c>
      <c r="AV15" t="s">
        <v>1944</v>
      </c>
      <c r="AZ15" t="s">
        <v>2013</v>
      </c>
      <c r="BA15" t="s">
        <v>2040</v>
      </c>
      <c r="BC15" t="s">
        <v>2064</v>
      </c>
      <c r="BD15" t="s">
        <v>2083</v>
      </c>
      <c r="BE15" t="s">
        <v>2119</v>
      </c>
      <c r="BG15" t="s">
        <v>2147</v>
      </c>
      <c r="BI15" t="s">
        <v>2172</v>
      </c>
      <c r="BJ15" t="s">
        <v>2192</v>
      </c>
      <c r="BM15" t="s">
        <v>2228</v>
      </c>
      <c r="BN15" t="s">
        <v>2243</v>
      </c>
      <c r="BO15" t="s">
        <v>2262</v>
      </c>
      <c r="BP15" t="s">
        <v>2276</v>
      </c>
      <c r="BQ15" t="s">
        <v>2290</v>
      </c>
      <c r="BS15" t="s">
        <v>2324</v>
      </c>
      <c r="BT15" t="s">
        <v>2348</v>
      </c>
      <c r="BU15" t="s">
        <v>2363</v>
      </c>
      <c r="BV15" t="s">
        <v>2383</v>
      </c>
      <c r="BX15" t="s">
        <v>2406</v>
      </c>
      <c r="BY15" t="s">
        <v>2420</v>
      </c>
      <c r="CB15" t="s">
        <v>2458</v>
      </c>
      <c r="CC15" t="s">
        <v>2480</v>
      </c>
      <c r="CF15" t="s">
        <v>2514</v>
      </c>
      <c r="CM15" t="s">
        <v>2582</v>
      </c>
      <c r="CO15" t="s">
        <v>2603</v>
      </c>
      <c r="CS15" t="s">
        <v>2640</v>
      </c>
      <c r="CU15" t="s">
        <v>2666</v>
      </c>
      <c r="CV15" t="s">
        <v>2685</v>
      </c>
      <c r="CW15" t="s">
        <v>2702</v>
      </c>
      <c r="DA15" t="s">
        <v>2765</v>
      </c>
      <c r="DE15" t="s">
        <v>2829</v>
      </c>
      <c r="DF15" t="s">
        <v>2851</v>
      </c>
      <c r="DH15" t="s">
        <v>2901</v>
      </c>
      <c r="DJ15" t="s">
        <v>2922</v>
      </c>
      <c r="DP15" t="s">
        <v>3001</v>
      </c>
      <c r="DR15" t="s">
        <v>3025</v>
      </c>
      <c r="DS15" t="s">
        <v>3044</v>
      </c>
      <c r="DT15" t="s">
        <v>3061</v>
      </c>
      <c r="DW15" t="s">
        <v>3093</v>
      </c>
      <c r="DX15" t="s">
        <v>3108</v>
      </c>
      <c r="DZ15" t="s">
        <v>3137</v>
      </c>
      <c r="EB15" t="s">
        <v>3169</v>
      </c>
      <c r="EC15" t="s">
        <v>3188</v>
      </c>
      <c r="ED15" t="s">
        <v>3216</v>
      </c>
      <c r="EF15" t="s">
        <v>3240</v>
      </c>
      <c r="EH15" t="s">
        <v>3270</v>
      </c>
      <c r="EJ15" t="s">
        <v>3301</v>
      </c>
      <c r="EK15" t="s">
        <v>3316</v>
      </c>
      <c r="EN15" t="s">
        <v>3347</v>
      </c>
      <c r="EQ15" t="s">
        <v>3381</v>
      </c>
      <c r="ER15" t="s">
        <v>3407</v>
      </c>
      <c r="ES15" t="s">
        <v>3427</v>
      </c>
      <c r="EW15" t="s">
        <v>3470</v>
      </c>
      <c r="FD15" t="s">
        <v>3533</v>
      </c>
      <c r="FF15" t="s">
        <v>3559</v>
      </c>
      <c r="FH15" t="s">
        <v>3583</v>
      </c>
      <c r="FK15" t="s">
        <v>3626</v>
      </c>
      <c r="FO15" t="s">
        <v>3677</v>
      </c>
      <c r="FQ15" t="s">
        <v>3699</v>
      </c>
      <c r="FT15" t="s">
        <v>3740</v>
      </c>
      <c r="FU15" t="s">
        <v>3756</v>
      </c>
      <c r="FV15" t="s">
        <v>3773</v>
      </c>
      <c r="FX15" t="s">
        <v>3796</v>
      </c>
      <c r="FZ15" t="s">
        <v>3822</v>
      </c>
      <c r="GF15" t="s">
        <v>3876</v>
      </c>
      <c r="GK15" t="s">
        <v>3936</v>
      </c>
      <c r="GN15" t="s">
        <v>3974</v>
      </c>
      <c r="GO15" t="s">
        <v>3998</v>
      </c>
      <c r="GP15" t="s">
        <v>4017</v>
      </c>
      <c r="GS15" t="s">
        <v>4074</v>
      </c>
      <c r="GT15" t="s">
        <v>4088</v>
      </c>
      <c r="GV15" t="s">
        <v>4121</v>
      </c>
      <c r="GW15" t="s">
        <v>4154</v>
      </c>
      <c r="GX15" t="s">
        <v>4175</v>
      </c>
      <c r="HC15" t="s">
        <v>4237</v>
      </c>
      <c r="HD15" t="s">
        <v>4251</v>
      </c>
      <c r="HE15" t="s">
        <v>4267</v>
      </c>
      <c r="HG15" t="s">
        <v>4308</v>
      </c>
      <c r="HI15" t="s">
        <v>4346</v>
      </c>
      <c r="HJ15" t="s">
        <v>4369</v>
      </c>
      <c r="HL15" t="s">
        <v>4402</v>
      </c>
      <c r="HP15" t="s">
        <v>4439</v>
      </c>
      <c r="HQ15" t="s">
        <v>4454</v>
      </c>
      <c r="HR15" t="s">
        <v>4470</v>
      </c>
      <c r="HT15" t="s">
        <v>4502</v>
      </c>
      <c r="HY15" t="s">
        <v>4565</v>
      </c>
      <c r="IA15" t="s">
        <v>4589</v>
      </c>
      <c r="IF15" t="s">
        <v>4636</v>
      </c>
      <c r="II15" t="s">
        <v>4666</v>
      </c>
      <c r="IJ15" t="s">
        <v>4684</v>
      </c>
      <c r="IN15" t="s">
        <v>4731</v>
      </c>
      <c r="IO15" t="s">
        <v>4750</v>
      </c>
      <c r="IQ15" t="s">
        <v>4790</v>
      </c>
      <c r="IR15" t="s">
        <v>4807</v>
      </c>
      <c r="IV15" t="s">
        <v>4860</v>
      </c>
      <c r="JA15" t="s">
        <v>4909</v>
      </c>
      <c r="JF15" t="s">
        <v>4972</v>
      </c>
      <c r="JI15" t="s">
        <v>5007</v>
      </c>
      <c r="JK15" t="s">
        <v>5037</v>
      </c>
      <c r="JL15" t="s">
        <v>5059</v>
      </c>
      <c r="JN15" t="s">
        <v>5092</v>
      </c>
      <c r="JO15" t="s">
        <v>5115</v>
      </c>
      <c r="JP15" t="s">
        <v>5130</v>
      </c>
      <c r="JR15" t="s">
        <v>5149</v>
      </c>
      <c r="JX15" t="s">
        <v>5210</v>
      </c>
      <c r="JY15" t="s">
        <v>5224</v>
      </c>
      <c r="KH15" t="s">
        <v>5310</v>
      </c>
      <c r="KK15" t="s">
        <v>5343</v>
      </c>
      <c r="KL15" t="s">
        <v>5371</v>
      </c>
      <c r="KM15" t="s">
        <v>5385</v>
      </c>
      <c r="KN15" t="s">
        <v>5399</v>
      </c>
      <c r="KO15" t="s">
        <v>5419</v>
      </c>
      <c r="KP15" t="s">
        <v>5435</v>
      </c>
      <c r="KQ15" t="s">
        <v>5453</v>
      </c>
      <c r="KV15" t="s">
        <v>5513</v>
      </c>
      <c r="KY15" t="s">
        <v>5541</v>
      </c>
      <c r="LA15" t="s">
        <v>5577</v>
      </c>
      <c r="LC15" t="s">
        <v>5605</v>
      </c>
      <c r="LE15" t="s">
        <v>5630</v>
      </c>
      <c r="LF15" t="s">
        <v>5651</v>
      </c>
      <c r="LL15" t="s">
        <v>5731</v>
      </c>
      <c r="LN15" t="s">
        <v>5754</v>
      </c>
      <c r="LP15" t="s">
        <v>5784</v>
      </c>
      <c r="LS15" t="s">
        <v>5823</v>
      </c>
      <c r="LW15" t="s">
        <v>5879</v>
      </c>
      <c r="LZ15" t="s">
        <v>5916</v>
      </c>
      <c r="MC15" t="s">
        <v>5968</v>
      </c>
      <c r="MI15" t="s">
        <v>6026</v>
      </c>
      <c r="MT15" t="s">
        <v>6146</v>
      </c>
      <c r="MW15" t="s">
        <v>6179</v>
      </c>
      <c r="MZ15" t="s">
        <v>6216</v>
      </c>
      <c r="ND15" t="s">
        <v>6258</v>
      </c>
      <c r="NE15" t="s">
        <v>6275</v>
      </c>
      <c r="NG15" t="s">
        <v>6306</v>
      </c>
      <c r="NI15" t="s">
        <v>6342</v>
      </c>
      <c r="NJ15" t="s">
        <v>6359</v>
      </c>
      <c r="NK15" t="s">
        <v>6374</v>
      </c>
      <c r="NL15" t="s">
        <v>6394</v>
      </c>
      <c r="NM15" t="s">
        <v>6412</v>
      </c>
      <c r="NN15" t="s">
        <v>6435</v>
      </c>
      <c r="NO15" t="s">
        <v>6457</v>
      </c>
      <c r="NP15" t="s">
        <v>6473</v>
      </c>
      <c r="NR15" t="s">
        <v>6506</v>
      </c>
      <c r="NV15" t="s">
        <v>6550</v>
      </c>
      <c r="NX15" t="s">
        <v>6568</v>
      </c>
      <c r="NZ15" t="s">
        <v>6591</v>
      </c>
      <c r="OB15" t="s">
        <v>6617</v>
      </c>
      <c r="OC15" t="s">
        <v>6638</v>
      </c>
      <c r="OF15" t="s">
        <v>6670</v>
      </c>
      <c r="OG15" t="s">
        <v>6685</v>
      </c>
      <c r="OH15" t="s">
        <v>6707</v>
      </c>
      <c r="OI15" t="s">
        <v>6733</v>
      </c>
      <c r="OJ15" t="s">
        <v>6747</v>
      </c>
      <c r="OK15" t="s">
        <v>6764</v>
      </c>
      <c r="OL15" t="s">
        <v>6782</v>
      </c>
      <c r="OQ15" t="s">
        <v>6834</v>
      </c>
      <c r="OU15" t="s">
        <v>6873</v>
      </c>
      <c r="OV15" t="s">
        <v>6891</v>
      </c>
      <c r="OW15" t="s">
        <v>6907</v>
      </c>
      <c r="OY15" t="s">
        <v>6935</v>
      </c>
      <c r="PA15" t="s">
        <v>6956</v>
      </c>
      <c r="PC15" t="s">
        <v>6989</v>
      </c>
      <c r="PF15" t="s">
        <v>7029</v>
      </c>
      <c r="PL15" t="s">
        <v>7096</v>
      </c>
      <c r="PP15" t="s">
        <v>7158</v>
      </c>
      <c r="PQ15" t="s">
        <v>7173</v>
      </c>
      <c r="PR15" t="s">
        <v>7197</v>
      </c>
      <c r="PT15" t="s">
        <v>7226</v>
      </c>
      <c r="PV15" t="s">
        <v>7257</v>
      </c>
      <c r="PX15" t="s">
        <v>7275</v>
      </c>
      <c r="PY15" t="s">
        <v>7291</v>
      </c>
      <c r="QB15" t="s">
        <v>7327</v>
      </c>
      <c r="QE15" t="s">
        <v>7365</v>
      </c>
      <c r="QF15" t="s">
        <v>7384</v>
      </c>
      <c r="QI15" t="s">
        <v>7419</v>
      </c>
      <c r="QL15" t="s">
        <v>7457</v>
      </c>
      <c r="QN15" t="s">
        <v>7492</v>
      </c>
      <c r="QO15" t="s">
        <v>7523</v>
      </c>
      <c r="QQ15" t="s">
        <v>7548</v>
      </c>
      <c r="QS15" t="s">
        <v>7578</v>
      </c>
      <c r="QW15" t="s">
        <v>7644</v>
      </c>
      <c r="QY15" t="s">
        <v>7669</v>
      </c>
      <c r="QZ15" t="s">
        <v>7689</v>
      </c>
      <c r="RA15" t="s">
        <v>7704</v>
      </c>
      <c r="RB15" t="s">
        <v>7720</v>
      </c>
      <c r="RC15" t="s">
        <v>7735</v>
      </c>
      <c r="RF15" t="s">
        <v>7789</v>
      </c>
      <c r="RJ15" t="s">
        <v>7832</v>
      </c>
      <c r="RM15" t="s">
        <v>7863</v>
      </c>
      <c r="RN15" t="s">
        <v>7879</v>
      </c>
      <c r="RP15" t="s">
        <v>7902</v>
      </c>
      <c r="RQ15" t="s">
        <v>7916</v>
      </c>
      <c r="RV15" t="s">
        <v>7971</v>
      </c>
      <c r="RZ15" t="s">
        <v>8027</v>
      </c>
      <c r="SD15" t="s">
        <v>8092</v>
      </c>
      <c r="SF15" t="s">
        <v>8123</v>
      </c>
      <c r="SH15" t="s">
        <v>8153</v>
      </c>
      <c r="SI15" t="s">
        <v>8182</v>
      </c>
      <c r="SJ15" t="s">
        <v>8196</v>
      </c>
      <c r="SP15" t="s">
        <v>8259</v>
      </c>
      <c r="SS15" t="s">
        <v>8288</v>
      </c>
      <c r="ST15" t="s">
        <v>8302</v>
      </c>
      <c r="SU15" t="s">
        <v>8318</v>
      </c>
      <c r="SX15" t="s">
        <v>8366</v>
      </c>
      <c r="SZ15" t="s">
        <v>8395</v>
      </c>
      <c r="TD15" t="s">
        <v>8437</v>
      </c>
      <c r="TL15" t="s">
        <v>8527</v>
      </c>
      <c r="TO15" t="s">
        <v>8564</v>
      </c>
      <c r="TQ15" t="s">
        <v>8594</v>
      </c>
      <c r="TR15" t="s">
        <v>8608</v>
      </c>
      <c r="TT15" t="s">
        <v>8656</v>
      </c>
      <c r="TV15" t="s">
        <v>8681</v>
      </c>
      <c r="TW15" t="s">
        <v>8701</v>
      </c>
      <c r="TZ15" t="s">
        <v>8740</v>
      </c>
      <c r="UB15" t="s">
        <v>8765</v>
      </c>
      <c r="UC15" t="s">
        <v>8785</v>
      </c>
      <c r="UF15" t="s">
        <v>8820</v>
      </c>
      <c r="UG15" t="s">
        <v>8844</v>
      </c>
      <c r="UH15" t="s">
        <v>8860</v>
      </c>
      <c r="UJ15" t="s">
        <v>8909</v>
      </c>
      <c r="UK15" t="s">
        <v>8942</v>
      </c>
      <c r="UO15" t="s">
        <v>8991</v>
      </c>
      <c r="UQ15" t="s">
        <v>9020</v>
      </c>
      <c r="UR15" t="s">
        <v>9036</v>
      </c>
      <c r="US15" t="s">
        <v>9061</v>
      </c>
      <c r="UT15" t="s">
        <v>9077</v>
      </c>
      <c r="UV15" t="s">
        <v>9101</v>
      </c>
      <c r="UX15" t="s">
        <v>9142</v>
      </c>
      <c r="UY15" t="s">
        <v>9158</v>
      </c>
      <c r="UZ15" t="s">
        <v>9181</v>
      </c>
      <c r="VE15" t="s">
        <v>9238</v>
      </c>
      <c r="VF15" t="s">
        <v>9259</v>
      </c>
      <c r="VH15" t="s">
        <v>9287</v>
      </c>
      <c r="VI15" t="s">
        <v>9303</v>
      </c>
      <c r="VJ15" t="s">
        <v>9323</v>
      </c>
      <c r="VK15" t="s">
        <v>9339</v>
      </c>
      <c r="VQ15" t="s">
        <v>9398</v>
      </c>
      <c r="VR15" t="s">
        <v>9412</v>
      </c>
      <c r="VS15" t="s">
        <v>9433</v>
      </c>
      <c r="VT15" t="s">
        <v>9449</v>
      </c>
      <c r="VY15" t="s">
        <v>9515</v>
      </c>
      <c r="WC15" t="s">
        <v>9565</v>
      </c>
      <c r="WD15" t="s">
        <v>9581</v>
      </c>
      <c r="WF15" t="s">
        <v>9623</v>
      </c>
      <c r="WJ15" t="s">
        <v>9676</v>
      </c>
      <c r="WL15" t="s">
        <v>9706</v>
      </c>
      <c r="WR15" t="s">
        <v>9776</v>
      </c>
      <c r="WS15" t="s">
        <v>9804</v>
      </c>
      <c r="WU15" t="s">
        <v>9846</v>
      </c>
      <c r="WV15" t="s">
        <v>9873</v>
      </c>
      <c r="WX15" t="s">
        <v>9903</v>
      </c>
      <c r="WY15" t="s">
        <v>9922</v>
      </c>
      <c r="XA15" t="s">
        <v>9948</v>
      </c>
      <c r="XB15" t="s">
        <v>9970</v>
      </c>
      <c r="XC15" t="s">
        <v>9984</v>
      </c>
      <c r="XD15" t="s">
        <v>10004</v>
      </c>
      <c r="XE15" t="s">
        <v>10018</v>
      </c>
      <c r="XF15" t="s">
        <v>10034</v>
      </c>
      <c r="XG15" t="s">
        <v>10054</v>
      </c>
      <c r="XH15" t="s">
        <v>10070</v>
      </c>
      <c r="XI15" t="s">
        <v>10088</v>
      </c>
      <c r="XL15" t="s">
        <v>10129</v>
      </c>
      <c r="XM15" t="s">
        <v>10146</v>
      </c>
      <c r="XR15" t="s">
        <v>10209</v>
      </c>
      <c r="XT15" t="s">
        <v>10241</v>
      </c>
      <c r="XW15" t="s">
        <v>10275</v>
      </c>
      <c r="XY15" t="s">
        <v>10301</v>
      </c>
      <c r="YB15" t="s">
        <v>10344</v>
      </c>
      <c r="YC15" t="s">
        <v>10364</v>
      </c>
      <c r="YD15" t="s">
        <v>10393</v>
      </c>
      <c r="YE15" t="s">
        <v>10413</v>
      </c>
      <c r="YG15" t="s">
        <v>10439</v>
      </c>
      <c r="YJ15" t="s">
        <v>10478</v>
      </c>
      <c r="YM15" t="s">
        <v>10520</v>
      </c>
      <c r="YO15" t="s">
        <v>10542</v>
      </c>
      <c r="YP15" t="s">
        <v>10556</v>
      </c>
      <c r="YQ15" t="s">
        <v>10571</v>
      </c>
      <c r="YR15" t="s">
        <v>10587</v>
      </c>
      <c r="YS15" t="s">
        <v>10607</v>
      </c>
      <c r="YT15" t="s">
        <v>10621</v>
      </c>
      <c r="YU15" t="s">
        <v>10645</v>
      </c>
      <c r="YW15" t="s">
        <v>10678</v>
      </c>
      <c r="YX15" t="s">
        <v>10698</v>
      </c>
      <c r="YY15" t="s">
        <v>10714</v>
      </c>
      <c r="ZA15" t="s">
        <v>10745</v>
      </c>
      <c r="ZC15" t="s">
        <v>10774</v>
      </c>
      <c r="ZD15" t="s">
        <v>10791</v>
      </c>
      <c r="ZI15" t="s">
        <v>10857</v>
      </c>
      <c r="ZK15" t="s">
        <v>10888</v>
      </c>
      <c r="ZL15" t="s">
        <v>10906</v>
      </c>
      <c r="ZO15" t="s">
        <v>10944</v>
      </c>
      <c r="ZP15" t="s">
        <v>10961</v>
      </c>
      <c r="ZS15" t="s">
        <v>11000</v>
      </c>
      <c r="ZT15" t="s">
        <v>11017</v>
      </c>
      <c r="ZU15" t="s">
        <v>11036</v>
      </c>
      <c r="ZW15" t="s">
        <v>11066</v>
      </c>
    </row>
    <row r="16" spans="1:699" x14ac:dyDescent="0.25">
      <c r="D16" t="s">
        <v>1277</v>
      </c>
      <c r="E16" t="s">
        <v>1292</v>
      </c>
      <c r="F16" t="s">
        <v>1310</v>
      </c>
      <c r="G16" t="s">
        <v>1331</v>
      </c>
      <c r="I16" t="s">
        <v>1356</v>
      </c>
      <c r="L16" t="s">
        <v>1394</v>
      </c>
      <c r="N16" t="s">
        <v>1423</v>
      </c>
      <c r="Q16" t="s">
        <v>1468</v>
      </c>
      <c r="R16" t="s">
        <v>1490</v>
      </c>
      <c r="S16" t="s">
        <v>1510</v>
      </c>
      <c r="U16" t="s">
        <v>1542</v>
      </c>
      <c r="V16" t="s">
        <v>1579</v>
      </c>
      <c r="X16" t="s">
        <v>1606</v>
      </c>
      <c r="Z16" t="s">
        <v>1636</v>
      </c>
      <c r="AC16" t="s">
        <v>1681</v>
      </c>
      <c r="AG16" t="s">
        <v>1730</v>
      </c>
      <c r="AI16" t="s">
        <v>1763</v>
      </c>
      <c r="AK16" t="s">
        <v>1796</v>
      </c>
      <c r="AM16" t="s">
        <v>1819</v>
      </c>
      <c r="AO16" t="s">
        <v>1839</v>
      </c>
      <c r="AP16" t="s">
        <v>1856</v>
      </c>
      <c r="AS16" t="s">
        <v>1891</v>
      </c>
      <c r="AT16" t="s">
        <v>1913</v>
      </c>
      <c r="AU16" t="s">
        <v>1930</v>
      </c>
      <c r="AV16" t="s">
        <v>1945</v>
      </c>
      <c r="AZ16" t="s">
        <v>2014</v>
      </c>
      <c r="BA16" t="s">
        <v>2041</v>
      </c>
      <c r="BC16" t="s">
        <v>2065</v>
      </c>
      <c r="BD16" t="s">
        <v>2084</v>
      </c>
      <c r="BE16" t="s">
        <v>2120</v>
      </c>
      <c r="BG16" t="s">
        <v>2148</v>
      </c>
      <c r="BI16" t="s">
        <v>2173</v>
      </c>
      <c r="BJ16" t="s">
        <v>2193</v>
      </c>
      <c r="BM16" t="s">
        <v>2229</v>
      </c>
      <c r="BN16" t="s">
        <v>2244</v>
      </c>
      <c r="BQ16" t="s">
        <v>2291</v>
      </c>
      <c r="BS16" t="s">
        <v>2325</v>
      </c>
      <c r="BT16" t="s">
        <v>2349</v>
      </c>
      <c r="BU16" t="s">
        <v>2364</v>
      </c>
      <c r="BV16" t="s">
        <v>2384</v>
      </c>
      <c r="BY16" t="s">
        <v>2421</v>
      </c>
      <c r="CB16" t="s">
        <v>2459</v>
      </c>
      <c r="CC16" t="s">
        <v>2481</v>
      </c>
      <c r="CF16" t="s">
        <v>2515</v>
      </c>
      <c r="CO16" t="s">
        <v>2604</v>
      </c>
      <c r="CS16" t="s">
        <v>2641</v>
      </c>
      <c r="CU16" t="s">
        <v>2667</v>
      </c>
      <c r="CV16" t="s">
        <v>2686</v>
      </c>
      <c r="CW16" t="s">
        <v>2703</v>
      </c>
      <c r="DA16" t="s">
        <v>2766</v>
      </c>
      <c r="DE16" t="s">
        <v>2830</v>
      </c>
      <c r="DF16" t="s">
        <v>2852</v>
      </c>
      <c r="DH16" t="s">
        <v>2902</v>
      </c>
      <c r="DJ16" t="s">
        <v>2923</v>
      </c>
      <c r="DP16" t="s">
        <v>3002</v>
      </c>
      <c r="DR16" t="s">
        <v>3026</v>
      </c>
      <c r="DS16" t="s">
        <v>3045</v>
      </c>
      <c r="DT16" t="s">
        <v>3062</v>
      </c>
      <c r="DW16" t="s">
        <v>3094</v>
      </c>
      <c r="DX16" t="s">
        <v>3109</v>
      </c>
      <c r="DZ16" t="s">
        <v>3138</v>
      </c>
      <c r="EB16" t="s">
        <v>3170</v>
      </c>
      <c r="EC16" t="s">
        <v>3189</v>
      </c>
      <c r="ED16" t="s">
        <v>3217</v>
      </c>
      <c r="EF16" t="s">
        <v>3241</v>
      </c>
      <c r="EH16" t="s">
        <v>3271</v>
      </c>
      <c r="EJ16" t="s">
        <v>3302</v>
      </c>
      <c r="EK16" t="s">
        <v>3317</v>
      </c>
      <c r="EN16" t="s">
        <v>3348</v>
      </c>
      <c r="EQ16" t="s">
        <v>3382</v>
      </c>
      <c r="ER16" t="s">
        <v>3408</v>
      </c>
      <c r="ES16" t="s">
        <v>3428</v>
      </c>
      <c r="FD16" t="s">
        <v>3534</v>
      </c>
      <c r="FH16" t="s">
        <v>3584</v>
      </c>
      <c r="FK16" t="s">
        <v>3627</v>
      </c>
      <c r="FO16" t="s">
        <v>3678</v>
      </c>
      <c r="FQ16" t="s">
        <v>3700</v>
      </c>
      <c r="FT16" t="s">
        <v>3741</v>
      </c>
      <c r="FU16" t="s">
        <v>3757</v>
      </c>
      <c r="FV16" t="s">
        <v>3774</v>
      </c>
      <c r="FX16" t="s">
        <v>3797</v>
      </c>
      <c r="GF16" t="s">
        <v>3877</v>
      </c>
      <c r="GK16" t="s">
        <v>3937</v>
      </c>
      <c r="GN16" t="s">
        <v>3975</v>
      </c>
      <c r="GO16" t="s">
        <v>3999</v>
      </c>
      <c r="GP16" t="s">
        <v>4018</v>
      </c>
      <c r="GT16" t="s">
        <v>4089</v>
      </c>
      <c r="GV16" t="s">
        <v>4122</v>
      </c>
      <c r="GW16" t="s">
        <v>4155</v>
      </c>
      <c r="GX16" t="s">
        <v>4176</v>
      </c>
      <c r="HD16" t="s">
        <v>4252</v>
      </c>
      <c r="HE16" t="s">
        <v>4268</v>
      </c>
      <c r="HG16" t="s">
        <v>4309</v>
      </c>
      <c r="HI16" t="s">
        <v>4347</v>
      </c>
      <c r="HJ16" t="s">
        <v>4370</v>
      </c>
      <c r="HL16" t="s">
        <v>4403</v>
      </c>
      <c r="HP16" t="s">
        <v>4440</v>
      </c>
      <c r="HQ16" t="s">
        <v>4455</v>
      </c>
      <c r="HR16" t="s">
        <v>4471</v>
      </c>
      <c r="HT16" t="s">
        <v>4503</v>
      </c>
      <c r="HY16" t="s">
        <v>4566</v>
      </c>
      <c r="IF16" t="s">
        <v>4637</v>
      </c>
      <c r="II16" t="s">
        <v>4667</v>
      </c>
      <c r="IJ16" t="s">
        <v>4685</v>
      </c>
      <c r="IN16" t="s">
        <v>4732</v>
      </c>
      <c r="IO16" t="s">
        <v>4751</v>
      </c>
      <c r="IQ16" t="s">
        <v>4791</v>
      </c>
      <c r="IR16" t="s">
        <v>4808</v>
      </c>
      <c r="IV16" t="s">
        <v>4861</v>
      </c>
      <c r="JA16" t="s">
        <v>4910</v>
      </c>
      <c r="JF16" t="s">
        <v>4973</v>
      </c>
      <c r="JI16" t="s">
        <v>5008</v>
      </c>
      <c r="JK16" t="s">
        <v>5038</v>
      </c>
      <c r="JL16" t="s">
        <v>5060</v>
      </c>
      <c r="JN16" t="s">
        <v>5093</v>
      </c>
      <c r="JO16" t="s">
        <v>5116</v>
      </c>
      <c r="JP16" t="s">
        <v>5131</v>
      </c>
      <c r="JR16" t="s">
        <v>5150</v>
      </c>
      <c r="JY16" t="s">
        <v>5225</v>
      </c>
      <c r="KK16" t="s">
        <v>5344</v>
      </c>
      <c r="KN16" t="s">
        <v>5400</v>
      </c>
      <c r="KO16" t="s">
        <v>5420</v>
      </c>
      <c r="KP16" t="s">
        <v>5436</v>
      </c>
      <c r="KQ16" t="s">
        <v>5454</v>
      </c>
      <c r="KY16" t="s">
        <v>5542</v>
      </c>
      <c r="LA16" t="s">
        <v>5578</v>
      </c>
      <c r="LC16" t="s">
        <v>5606</v>
      </c>
      <c r="LE16" t="s">
        <v>5631</v>
      </c>
      <c r="LF16" t="s">
        <v>5652</v>
      </c>
      <c r="LL16" t="s">
        <v>5732</v>
      </c>
      <c r="LN16" t="s">
        <v>5755</v>
      </c>
      <c r="LP16" t="s">
        <v>5785</v>
      </c>
      <c r="LS16" t="s">
        <v>5824</v>
      </c>
      <c r="LZ16" t="s">
        <v>5917</v>
      </c>
      <c r="MC16" t="s">
        <v>5969</v>
      </c>
      <c r="MI16" t="s">
        <v>6027</v>
      </c>
      <c r="MT16" t="s">
        <v>6147</v>
      </c>
      <c r="MZ16" t="s">
        <v>6217</v>
      </c>
      <c r="ND16" t="s">
        <v>6259</v>
      </c>
      <c r="NE16" t="s">
        <v>6276</v>
      </c>
      <c r="NG16" t="s">
        <v>6307</v>
      </c>
      <c r="NI16" t="s">
        <v>6343</v>
      </c>
      <c r="NJ16" t="s">
        <v>6360</v>
      </c>
      <c r="NK16" t="s">
        <v>6375</v>
      </c>
      <c r="NL16" t="s">
        <v>6395</v>
      </c>
      <c r="NM16" t="s">
        <v>6413</v>
      </c>
      <c r="NN16" t="s">
        <v>6436</v>
      </c>
      <c r="NO16" t="s">
        <v>6458</v>
      </c>
      <c r="NP16" t="s">
        <v>6474</v>
      </c>
      <c r="NR16" t="s">
        <v>6507</v>
      </c>
      <c r="NV16" t="s">
        <v>6551</v>
      </c>
      <c r="NX16" t="s">
        <v>6569</v>
      </c>
      <c r="NZ16" t="s">
        <v>6592</v>
      </c>
      <c r="OB16" t="s">
        <v>6618</v>
      </c>
      <c r="OF16" t="s">
        <v>6671</v>
      </c>
      <c r="OG16" t="s">
        <v>6686</v>
      </c>
      <c r="OH16" t="s">
        <v>6708</v>
      </c>
      <c r="OJ16" t="s">
        <v>6748</v>
      </c>
      <c r="OK16" t="s">
        <v>6765</v>
      </c>
      <c r="OU16" t="s">
        <v>6874</v>
      </c>
      <c r="OV16" t="s">
        <v>6892</v>
      </c>
      <c r="OW16" t="s">
        <v>6908</v>
      </c>
      <c r="OY16" t="s">
        <v>6936</v>
      </c>
      <c r="PA16" t="s">
        <v>6957</v>
      </c>
      <c r="PC16" t="s">
        <v>6990</v>
      </c>
      <c r="PF16" t="s">
        <v>7030</v>
      </c>
      <c r="PL16" t="s">
        <v>7097</v>
      </c>
      <c r="PP16" t="s">
        <v>7159</v>
      </c>
      <c r="PQ16" t="s">
        <v>7174</v>
      </c>
      <c r="PR16" t="s">
        <v>7198</v>
      </c>
      <c r="PT16" t="s">
        <v>7227</v>
      </c>
      <c r="PV16" t="s">
        <v>7258</v>
      </c>
      <c r="PX16" t="s">
        <v>7276</v>
      </c>
      <c r="QB16" t="s">
        <v>7328</v>
      </c>
      <c r="QE16" t="s">
        <v>7366</v>
      </c>
      <c r="QF16" t="s">
        <v>7385</v>
      </c>
      <c r="QI16" t="s">
        <v>7420</v>
      </c>
      <c r="QL16" t="s">
        <v>7458</v>
      </c>
      <c r="QN16" t="s">
        <v>7493</v>
      </c>
      <c r="QO16" t="s">
        <v>7524</v>
      </c>
      <c r="QQ16" t="s">
        <v>7549</v>
      </c>
      <c r="QS16" t="s">
        <v>7579</v>
      </c>
      <c r="QW16" t="s">
        <v>7645</v>
      </c>
      <c r="QY16" t="s">
        <v>7670</v>
      </c>
      <c r="QZ16" t="s">
        <v>7690</v>
      </c>
      <c r="RA16" t="s">
        <v>7705</v>
      </c>
      <c r="RB16" t="s">
        <v>7721</v>
      </c>
      <c r="RC16" t="s">
        <v>7736</v>
      </c>
      <c r="RF16" t="s">
        <v>7790</v>
      </c>
      <c r="RJ16" t="s">
        <v>7833</v>
      </c>
      <c r="RM16" t="s">
        <v>7864</v>
      </c>
      <c r="RN16" t="s">
        <v>7880</v>
      </c>
      <c r="RQ16" t="s">
        <v>7917</v>
      </c>
      <c r="RV16" t="s">
        <v>7972</v>
      </c>
      <c r="RZ16" t="s">
        <v>8028</v>
      </c>
      <c r="SD16" t="s">
        <v>8093</v>
      </c>
      <c r="SF16" t="s">
        <v>8124</v>
      </c>
      <c r="SH16" t="s">
        <v>8154</v>
      </c>
      <c r="SJ16" t="s">
        <v>8197</v>
      </c>
      <c r="ST16" t="s">
        <v>8303</v>
      </c>
      <c r="SU16" t="s">
        <v>8319</v>
      </c>
      <c r="SX16" t="s">
        <v>8367</v>
      </c>
      <c r="SZ16" t="s">
        <v>8396</v>
      </c>
      <c r="TD16" t="s">
        <v>8438</v>
      </c>
      <c r="TL16" t="s">
        <v>8528</v>
      </c>
      <c r="TO16" t="s">
        <v>8565</v>
      </c>
      <c r="TR16" t="s">
        <v>8609</v>
      </c>
      <c r="TT16" t="s">
        <v>8657</v>
      </c>
      <c r="TV16" t="s">
        <v>8682</v>
      </c>
      <c r="TW16" t="s">
        <v>8702</v>
      </c>
      <c r="TZ16" t="s">
        <v>8741</v>
      </c>
      <c r="UB16" t="s">
        <v>8766</v>
      </c>
      <c r="UC16" t="s">
        <v>8786</v>
      </c>
      <c r="UF16" t="s">
        <v>8821</v>
      </c>
      <c r="UG16" t="s">
        <v>8845</v>
      </c>
      <c r="UH16" t="s">
        <v>8861</v>
      </c>
      <c r="UJ16" t="s">
        <v>8910</v>
      </c>
      <c r="UK16" t="s">
        <v>8943</v>
      </c>
      <c r="UO16" t="s">
        <v>8992</v>
      </c>
      <c r="UQ16" t="s">
        <v>9021</v>
      </c>
      <c r="UR16" t="s">
        <v>9037</v>
      </c>
      <c r="US16" t="s">
        <v>9062</v>
      </c>
      <c r="UT16" t="s">
        <v>9078</v>
      </c>
      <c r="UV16" t="s">
        <v>9102</v>
      </c>
      <c r="UX16" t="s">
        <v>9143</v>
      </c>
      <c r="UY16" t="s">
        <v>9159</v>
      </c>
      <c r="UZ16" t="s">
        <v>9182</v>
      </c>
      <c r="VE16" t="s">
        <v>9239</v>
      </c>
      <c r="VF16" t="s">
        <v>9260</v>
      </c>
      <c r="VH16" t="s">
        <v>9288</v>
      </c>
      <c r="VI16" t="s">
        <v>9304</v>
      </c>
      <c r="VJ16" t="s">
        <v>9324</v>
      </c>
      <c r="VK16" t="s">
        <v>9340</v>
      </c>
      <c r="VR16" t="s">
        <v>9413</v>
      </c>
      <c r="VS16" t="s">
        <v>9434</v>
      </c>
      <c r="VT16" t="s">
        <v>9450</v>
      </c>
      <c r="VY16" t="s">
        <v>9516</v>
      </c>
      <c r="WC16" t="s">
        <v>9566</v>
      </c>
      <c r="WD16" t="s">
        <v>9582</v>
      </c>
      <c r="WF16" t="s">
        <v>9624</v>
      </c>
      <c r="WJ16" t="s">
        <v>9677</v>
      </c>
      <c r="WL16" t="s">
        <v>9707</v>
      </c>
      <c r="WR16" t="s">
        <v>9777</v>
      </c>
      <c r="WS16" t="s">
        <v>9805</v>
      </c>
      <c r="WU16" t="s">
        <v>9847</v>
      </c>
      <c r="WV16" t="s">
        <v>9874</v>
      </c>
      <c r="WX16" t="s">
        <v>9904</v>
      </c>
      <c r="WY16" t="s">
        <v>9923</v>
      </c>
      <c r="XA16" t="s">
        <v>9949</v>
      </c>
      <c r="XC16" t="s">
        <v>9985</v>
      </c>
      <c r="XE16" t="s">
        <v>10019</v>
      </c>
      <c r="XF16" t="s">
        <v>10035</v>
      </c>
      <c r="XG16" t="s">
        <v>10055</v>
      </c>
      <c r="XH16" t="s">
        <v>10071</v>
      </c>
      <c r="XI16" t="s">
        <v>10089</v>
      </c>
      <c r="XL16" t="s">
        <v>10130</v>
      </c>
      <c r="XM16" t="s">
        <v>10147</v>
      </c>
      <c r="XR16" t="s">
        <v>10210</v>
      </c>
      <c r="XT16" t="s">
        <v>10242</v>
      </c>
      <c r="XY16" t="s">
        <v>10302</v>
      </c>
      <c r="YB16" t="s">
        <v>10345</v>
      </c>
      <c r="YC16" t="s">
        <v>10365</v>
      </c>
      <c r="YD16" t="s">
        <v>10394</v>
      </c>
      <c r="YE16" t="s">
        <v>10414</v>
      </c>
      <c r="YJ16" t="s">
        <v>10479</v>
      </c>
      <c r="YP16" t="s">
        <v>10557</v>
      </c>
      <c r="YQ16" t="s">
        <v>10572</v>
      </c>
      <c r="YR16" t="s">
        <v>10588</v>
      </c>
      <c r="YT16" t="s">
        <v>10622</v>
      </c>
      <c r="YU16" t="s">
        <v>10646</v>
      </c>
      <c r="YW16" t="s">
        <v>10679</v>
      </c>
      <c r="YX16" t="s">
        <v>10699</v>
      </c>
      <c r="YY16" t="s">
        <v>10715</v>
      </c>
      <c r="ZA16" t="s">
        <v>10746</v>
      </c>
      <c r="ZC16" t="s">
        <v>10775</v>
      </c>
      <c r="ZD16" t="s">
        <v>10792</v>
      </c>
      <c r="ZI16" t="s">
        <v>10858</v>
      </c>
      <c r="ZK16" t="s">
        <v>10889</v>
      </c>
      <c r="ZL16" t="s">
        <v>10907</v>
      </c>
      <c r="ZO16" t="s">
        <v>10945</v>
      </c>
      <c r="ZP16" t="s">
        <v>10962</v>
      </c>
      <c r="ZS16" t="s">
        <v>11001</v>
      </c>
      <c r="ZT16" t="s">
        <v>11018</v>
      </c>
      <c r="ZU16" t="s">
        <v>11037</v>
      </c>
      <c r="ZW16" t="s">
        <v>11067</v>
      </c>
    </row>
    <row r="17" spans="5:699" x14ac:dyDescent="0.25">
      <c r="E17" t="s">
        <v>1293</v>
      </c>
      <c r="F17" t="s">
        <v>1311</v>
      </c>
      <c r="G17" t="s">
        <v>1332</v>
      </c>
      <c r="I17" t="s">
        <v>1357</v>
      </c>
      <c r="N17" t="s">
        <v>1424</v>
      </c>
      <c r="Q17" t="s">
        <v>1469</v>
      </c>
      <c r="R17" t="s">
        <v>1491</v>
      </c>
      <c r="S17" t="s">
        <v>1511</v>
      </c>
      <c r="U17" t="s">
        <v>1543</v>
      </c>
      <c r="X17" t="s">
        <v>1607</v>
      </c>
      <c r="Z17" t="s">
        <v>1637</v>
      </c>
      <c r="AC17" t="s">
        <v>1682</v>
      </c>
      <c r="AG17" t="s">
        <v>1731</v>
      </c>
      <c r="AI17" t="s">
        <v>1764</v>
      </c>
      <c r="AK17" t="s">
        <v>1797</v>
      </c>
      <c r="AM17" t="s">
        <v>1820</v>
      </c>
      <c r="AO17" t="s">
        <v>1840</v>
      </c>
      <c r="AP17" t="s">
        <v>1857</v>
      </c>
      <c r="AS17" t="s">
        <v>1892</v>
      </c>
      <c r="AT17" t="s">
        <v>1914</v>
      </c>
      <c r="AV17" t="s">
        <v>1946</v>
      </c>
      <c r="AZ17" t="s">
        <v>2015</v>
      </c>
      <c r="BA17" t="s">
        <v>2042</v>
      </c>
      <c r="BC17" t="s">
        <v>2066</v>
      </c>
      <c r="BD17" t="s">
        <v>2085</v>
      </c>
      <c r="BE17" t="s">
        <v>2121</v>
      </c>
      <c r="BI17" t="s">
        <v>2174</v>
      </c>
      <c r="BJ17" t="s">
        <v>2194</v>
      </c>
      <c r="BN17" t="s">
        <v>2245</v>
      </c>
      <c r="BQ17" t="s">
        <v>2292</v>
      </c>
      <c r="BS17" t="s">
        <v>2326</v>
      </c>
      <c r="BU17" t="s">
        <v>2365</v>
      </c>
      <c r="BV17" t="s">
        <v>2385</v>
      </c>
      <c r="BY17" t="s">
        <v>2422</v>
      </c>
      <c r="CB17" t="s">
        <v>2460</v>
      </c>
      <c r="CF17" t="s">
        <v>2516</v>
      </c>
      <c r="CO17" t="s">
        <v>2605</v>
      </c>
      <c r="CU17" t="s">
        <v>2668</v>
      </c>
      <c r="CV17" t="s">
        <v>2687</v>
      </c>
      <c r="CW17" t="s">
        <v>2704</v>
      </c>
      <c r="DA17" t="s">
        <v>2767</v>
      </c>
      <c r="DE17" t="s">
        <v>2831</v>
      </c>
      <c r="DF17" t="s">
        <v>2853</v>
      </c>
      <c r="DH17" t="s">
        <v>2903</v>
      </c>
      <c r="DJ17" t="s">
        <v>2924</v>
      </c>
      <c r="DR17" t="s">
        <v>3027</v>
      </c>
      <c r="DS17" t="s">
        <v>3046</v>
      </c>
      <c r="DT17" t="s">
        <v>3063</v>
      </c>
      <c r="DX17" t="s">
        <v>3110</v>
      </c>
      <c r="DZ17" t="s">
        <v>3139</v>
      </c>
      <c r="EB17" t="s">
        <v>3171</v>
      </c>
      <c r="EC17" t="s">
        <v>3190</v>
      </c>
      <c r="EF17" t="s">
        <v>3242</v>
      </c>
      <c r="EH17" t="s">
        <v>3272</v>
      </c>
      <c r="EK17" t="s">
        <v>3318</v>
      </c>
      <c r="EN17" t="s">
        <v>3349</v>
      </c>
      <c r="EQ17" t="s">
        <v>3383</v>
      </c>
      <c r="ER17" t="s">
        <v>3409</v>
      </c>
      <c r="ES17" t="s">
        <v>3429</v>
      </c>
      <c r="FD17" t="s">
        <v>3535</v>
      </c>
      <c r="FH17" t="s">
        <v>3585</v>
      </c>
      <c r="FK17" t="s">
        <v>3628</v>
      </c>
      <c r="FO17" t="s">
        <v>3679</v>
      </c>
      <c r="FQ17" t="s">
        <v>3701</v>
      </c>
      <c r="FT17" t="s">
        <v>3742</v>
      </c>
      <c r="FU17" t="s">
        <v>3758</v>
      </c>
      <c r="FX17" t="s">
        <v>3798</v>
      </c>
      <c r="GF17" t="s">
        <v>3878</v>
      </c>
      <c r="GK17" t="s">
        <v>3938</v>
      </c>
      <c r="GN17" t="s">
        <v>3976</v>
      </c>
      <c r="GO17" t="s">
        <v>4000</v>
      </c>
      <c r="GP17" t="s">
        <v>4019</v>
      </c>
      <c r="GT17" t="s">
        <v>4090</v>
      </c>
      <c r="GV17" t="s">
        <v>4123</v>
      </c>
      <c r="GW17" t="s">
        <v>4156</v>
      </c>
      <c r="GX17" t="s">
        <v>4177</v>
      </c>
      <c r="HD17" t="s">
        <v>4253</v>
      </c>
      <c r="HE17" t="s">
        <v>4269</v>
      </c>
      <c r="HG17" t="s">
        <v>4310</v>
      </c>
      <c r="HI17" t="s">
        <v>4348</v>
      </c>
      <c r="HJ17" t="s">
        <v>4371</v>
      </c>
      <c r="HQ17" t="s">
        <v>4456</v>
      </c>
      <c r="HR17" t="s">
        <v>4472</v>
      </c>
      <c r="HT17" t="s">
        <v>4504</v>
      </c>
      <c r="HY17" t="s">
        <v>4567</v>
      </c>
      <c r="IF17" t="s">
        <v>4638</v>
      </c>
      <c r="II17" t="s">
        <v>4668</v>
      </c>
      <c r="IJ17" t="s">
        <v>4686</v>
      </c>
      <c r="IN17" t="s">
        <v>4733</v>
      </c>
      <c r="IO17" t="s">
        <v>4752</v>
      </c>
      <c r="IQ17" t="s">
        <v>4792</v>
      </c>
      <c r="IR17" t="s">
        <v>4809</v>
      </c>
      <c r="JA17" t="s">
        <v>4911</v>
      </c>
      <c r="JF17" t="s">
        <v>4974</v>
      </c>
      <c r="JI17" t="s">
        <v>5009</v>
      </c>
      <c r="JK17" t="s">
        <v>5039</v>
      </c>
      <c r="JL17" t="s">
        <v>5061</v>
      </c>
      <c r="JN17" t="s">
        <v>5094</v>
      </c>
      <c r="JP17" t="s">
        <v>5132</v>
      </c>
      <c r="JR17" t="s">
        <v>5151</v>
      </c>
      <c r="JY17" t="s">
        <v>5226</v>
      </c>
      <c r="KK17" t="s">
        <v>5345</v>
      </c>
      <c r="KN17" t="s">
        <v>5401</v>
      </c>
      <c r="KO17" t="s">
        <v>5421</v>
      </c>
      <c r="KP17" t="s">
        <v>5437</v>
      </c>
      <c r="KQ17" t="s">
        <v>5455</v>
      </c>
      <c r="KY17" t="s">
        <v>5543</v>
      </c>
      <c r="LC17" t="s">
        <v>5607</v>
      </c>
      <c r="LE17" t="s">
        <v>5632</v>
      </c>
      <c r="LF17" t="s">
        <v>5653</v>
      </c>
      <c r="LN17" t="s">
        <v>5756</v>
      </c>
      <c r="LP17" t="s">
        <v>5786</v>
      </c>
      <c r="LS17" t="s">
        <v>5825</v>
      </c>
      <c r="LZ17" t="s">
        <v>5918</v>
      </c>
      <c r="MI17" t="s">
        <v>6028</v>
      </c>
      <c r="MT17" t="s">
        <v>6148</v>
      </c>
      <c r="MZ17" t="s">
        <v>6218</v>
      </c>
      <c r="ND17" t="s">
        <v>6260</v>
      </c>
      <c r="NE17" t="s">
        <v>6277</v>
      </c>
      <c r="NG17" t="s">
        <v>6308</v>
      </c>
      <c r="NI17" t="s">
        <v>6344</v>
      </c>
      <c r="NK17" t="s">
        <v>6376</v>
      </c>
      <c r="NL17" t="s">
        <v>6396</v>
      </c>
      <c r="NM17" t="s">
        <v>6414</v>
      </c>
      <c r="NN17" t="s">
        <v>6437</v>
      </c>
      <c r="NO17" t="s">
        <v>6459</v>
      </c>
      <c r="NP17" t="s">
        <v>6475</v>
      </c>
      <c r="NR17" t="s">
        <v>6508</v>
      </c>
      <c r="NV17" t="s">
        <v>6552</v>
      </c>
      <c r="NX17" t="s">
        <v>6570</v>
      </c>
      <c r="OB17" t="s">
        <v>6619</v>
      </c>
      <c r="OG17" t="s">
        <v>6687</v>
      </c>
      <c r="OH17" t="s">
        <v>6709</v>
      </c>
      <c r="OJ17" t="s">
        <v>6749</v>
      </c>
      <c r="OK17" t="s">
        <v>6766</v>
      </c>
      <c r="OU17" t="s">
        <v>6875</v>
      </c>
      <c r="OV17" t="s">
        <v>6893</v>
      </c>
      <c r="OW17" t="s">
        <v>6909</v>
      </c>
      <c r="PA17" t="s">
        <v>6958</v>
      </c>
      <c r="PL17" t="s">
        <v>7098</v>
      </c>
      <c r="PQ17" t="s">
        <v>7175</v>
      </c>
      <c r="PR17" t="s">
        <v>7199</v>
      </c>
      <c r="PT17" t="s">
        <v>7228</v>
      </c>
      <c r="PX17" t="s">
        <v>7277</v>
      </c>
      <c r="QB17" t="s">
        <v>7329</v>
      </c>
      <c r="QE17" t="s">
        <v>7367</v>
      </c>
      <c r="QF17" t="s">
        <v>7386</v>
      </c>
      <c r="QI17" t="s">
        <v>7421</v>
      </c>
      <c r="QL17" t="s">
        <v>7459</v>
      </c>
      <c r="QN17" t="s">
        <v>7494</v>
      </c>
      <c r="QQ17" t="s">
        <v>7550</v>
      </c>
      <c r="QS17" t="s">
        <v>7580</v>
      </c>
      <c r="QW17" t="s">
        <v>7646</v>
      </c>
      <c r="QY17" t="s">
        <v>7671</v>
      </c>
      <c r="RA17" t="s">
        <v>7706</v>
      </c>
      <c r="RC17" t="s">
        <v>7737</v>
      </c>
      <c r="RF17" t="s">
        <v>7791</v>
      </c>
      <c r="RJ17" t="s">
        <v>7834</v>
      </c>
      <c r="RM17" t="s">
        <v>7865</v>
      </c>
      <c r="RN17" t="s">
        <v>7881</v>
      </c>
      <c r="RQ17" t="s">
        <v>7918</v>
      </c>
      <c r="RV17" t="s">
        <v>7973</v>
      </c>
      <c r="RZ17" t="s">
        <v>8029</v>
      </c>
      <c r="SD17" t="s">
        <v>8094</v>
      </c>
      <c r="SF17" t="s">
        <v>8125</v>
      </c>
      <c r="SH17" t="s">
        <v>8155</v>
      </c>
      <c r="SJ17" t="s">
        <v>8198</v>
      </c>
      <c r="ST17" t="s">
        <v>8304</v>
      </c>
      <c r="SU17" t="s">
        <v>8320</v>
      </c>
      <c r="SX17" t="s">
        <v>8368</v>
      </c>
      <c r="TD17" t="s">
        <v>8439</v>
      </c>
      <c r="TO17" t="s">
        <v>8566</v>
      </c>
      <c r="TR17" t="s">
        <v>8610</v>
      </c>
      <c r="TV17" t="s">
        <v>8683</v>
      </c>
      <c r="TW17" t="s">
        <v>8703</v>
      </c>
      <c r="TZ17" t="s">
        <v>8742</v>
      </c>
      <c r="UB17" t="s">
        <v>8767</v>
      </c>
      <c r="UC17" t="s">
        <v>8787</v>
      </c>
      <c r="UF17" t="s">
        <v>8822</v>
      </c>
      <c r="UG17" t="s">
        <v>8846</v>
      </c>
      <c r="UH17" t="s">
        <v>8862</v>
      </c>
      <c r="UJ17" t="s">
        <v>8911</v>
      </c>
      <c r="UK17" t="s">
        <v>8944</v>
      </c>
      <c r="UO17" t="s">
        <v>8993</v>
      </c>
      <c r="UQ17" t="s">
        <v>9022</v>
      </c>
      <c r="UR17" t="s">
        <v>9038</v>
      </c>
      <c r="US17" t="s">
        <v>9063</v>
      </c>
      <c r="UT17" t="s">
        <v>9079</v>
      </c>
      <c r="UV17" t="s">
        <v>9103</v>
      </c>
      <c r="UX17" t="s">
        <v>9144</v>
      </c>
      <c r="UY17" t="s">
        <v>9160</v>
      </c>
      <c r="UZ17" t="s">
        <v>9183</v>
      </c>
      <c r="VE17" t="s">
        <v>9240</v>
      </c>
      <c r="VF17" t="s">
        <v>9261</v>
      </c>
      <c r="VH17" t="s">
        <v>9289</v>
      </c>
      <c r="VI17" t="s">
        <v>9305</v>
      </c>
      <c r="VJ17" t="s">
        <v>9325</v>
      </c>
      <c r="VK17" t="s">
        <v>9341</v>
      </c>
      <c r="VR17" t="s">
        <v>9414</v>
      </c>
      <c r="VS17" t="s">
        <v>9435</v>
      </c>
      <c r="VT17" t="s">
        <v>9451</v>
      </c>
      <c r="VY17" t="s">
        <v>9517</v>
      </c>
      <c r="WC17" t="s">
        <v>9567</v>
      </c>
      <c r="WD17" t="s">
        <v>9583</v>
      </c>
      <c r="WJ17" t="s">
        <v>9678</v>
      </c>
      <c r="WL17" t="s">
        <v>9708</v>
      </c>
      <c r="WR17" t="s">
        <v>9778</v>
      </c>
      <c r="WS17" t="s">
        <v>9806</v>
      </c>
      <c r="WU17" t="s">
        <v>9848</v>
      </c>
      <c r="WV17" t="s">
        <v>9875</v>
      </c>
      <c r="WX17" t="s">
        <v>9905</v>
      </c>
      <c r="WY17" t="s">
        <v>9924</v>
      </c>
      <c r="XA17" t="s">
        <v>9950</v>
      </c>
      <c r="XC17" t="s">
        <v>9986</v>
      </c>
      <c r="XE17" t="s">
        <v>10020</v>
      </c>
      <c r="XF17" t="s">
        <v>10036</v>
      </c>
      <c r="XG17" t="s">
        <v>10056</v>
      </c>
      <c r="XH17" t="s">
        <v>10072</v>
      </c>
      <c r="XI17" t="s">
        <v>10090</v>
      </c>
      <c r="XL17" t="s">
        <v>10131</v>
      </c>
      <c r="XM17" t="s">
        <v>10148</v>
      </c>
      <c r="XR17" t="s">
        <v>10211</v>
      </c>
      <c r="XT17" t="s">
        <v>10243</v>
      </c>
      <c r="XY17" t="s">
        <v>10303</v>
      </c>
      <c r="YB17" t="s">
        <v>10346</v>
      </c>
      <c r="YC17" t="s">
        <v>10366</v>
      </c>
      <c r="YD17" t="s">
        <v>10395</v>
      </c>
      <c r="YE17" t="s">
        <v>10415</v>
      </c>
      <c r="YJ17" t="s">
        <v>10480</v>
      </c>
      <c r="YQ17" t="s">
        <v>10573</v>
      </c>
      <c r="YR17" t="s">
        <v>10589</v>
      </c>
      <c r="YT17" t="s">
        <v>10623</v>
      </c>
      <c r="YU17" t="s">
        <v>10647</v>
      </c>
      <c r="YW17" t="s">
        <v>10680</v>
      </c>
      <c r="YX17" t="s">
        <v>10700</v>
      </c>
      <c r="YY17" t="s">
        <v>10716</v>
      </c>
      <c r="ZA17" t="s">
        <v>10747</v>
      </c>
      <c r="ZC17" t="s">
        <v>10776</v>
      </c>
      <c r="ZD17" t="s">
        <v>10793</v>
      </c>
      <c r="ZI17" t="s">
        <v>10859</v>
      </c>
      <c r="ZK17" t="s">
        <v>10890</v>
      </c>
      <c r="ZO17" t="s">
        <v>10946</v>
      </c>
      <c r="ZP17" t="s">
        <v>10963</v>
      </c>
      <c r="ZS17" t="s">
        <v>11002</v>
      </c>
      <c r="ZT17" t="s">
        <v>11019</v>
      </c>
      <c r="ZU17" t="s">
        <v>11038</v>
      </c>
      <c r="ZW17" t="s">
        <v>11068</v>
      </c>
    </row>
    <row r="18" spans="5:699" x14ac:dyDescent="0.25">
      <c r="E18" t="s">
        <v>1294</v>
      </c>
      <c r="F18" t="s">
        <v>1312</v>
      </c>
      <c r="I18" t="s">
        <v>1358</v>
      </c>
      <c r="N18" t="s">
        <v>1425</v>
      </c>
      <c r="Q18" t="s">
        <v>1470</v>
      </c>
      <c r="R18" t="s">
        <v>1492</v>
      </c>
      <c r="S18" t="s">
        <v>1512</v>
      </c>
      <c r="U18" t="s">
        <v>1544</v>
      </c>
      <c r="Z18" t="s">
        <v>1638</v>
      </c>
      <c r="AC18" t="s">
        <v>1683</v>
      </c>
      <c r="AG18" t="s">
        <v>1732</v>
      </c>
      <c r="AI18" t="s">
        <v>1765</v>
      </c>
      <c r="AM18" t="s">
        <v>1821</v>
      </c>
      <c r="AO18" t="s">
        <v>1841</v>
      </c>
      <c r="AS18" t="s">
        <v>1893</v>
      </c>
      <c r="AT18" t="s">
        <v>1915</v>
      </c>
      <c r="AV18" t="s">
        <v>1947</v>
      </c>
      <c r="AZ18" t="s">
        <v>2016</v>
      </c>
      <c r="BA18" t="s">
        <v>2043</v>
      </c>
      <c r="BC18" t="s">
        <v>2067</v>
      </c>
      <c r="BD18" t="s">
        <v>2086</v>
      </c>
      <c r="BE18" t="s">
        <v>2122</v>
      </c>
      <c r="BI18" t="s">
        <v>2175</v>
      </c>
      <c r="BJ18" t="s">
        <v>2195</v>
      </c>
      <c r="BN18" t="s">
        <v>2246</v>
      </c>
      <c r="BQ18" t="s">
        <v>2293</v>
      </c>
      <c r="BS18" t="s">
        <v>2327</v>
      </c>
      <c r="BU18" t="s">
        <v>2366</v>
      </c>
      <c r="BV18" t="s">
        <v>2386</v>
      </c>
      <c r="BY18" t="s">
        <v>2423</v>
      </c>
      <c r="CB18" t="s">
        <v>2461</v>
      </c>
      <c r="CF18" t="s">
        <v>2517</v>
      </c>
      <c r="CO18" t="s">
        <v>2606</v>
      </c>
      <c r="CU18" t="s">
        <v>2669</v>
      </c>
      <c r="CV18" t="s">
        <v>2688</v>
      </c>
      <c r="CW18" t="s">
        <v>2705</v>
      </c>
      <c r="DA18" t="s">
        <v>2768</v>
      </c>
      <c r="DE18" t="s">
        <v>2832</v>
      </c>
      <c r="DF18" t="s">
        <v>2854</v>
      </c>
      <c r="DJ18" t="s">
        <v>2925</v>
      </c>
      <c r="DR18" t="s">
        <v>3028</v>
      </c>
      <c r="DS18" t="s">
        <v>3047</v>
      </c>
      <c r="DT18" t="s">
        <v>3064</v>
      </c>
      <c r="DZ18" t="s">
        <v>3140</v>
      </c>
      <c r="EB18" t="s">
        <v>3172</v>
      </c>
      <c r="EC18" t="s">
        <v>3191</v>
      </c>
      <c r="EF18" t="s">
        <v>3243</v>
      </c>
      <c r="EH18" t="s">
        <v>3273</v>
      </c>
      <c r="EN18" t="s">
        <v>3350</v>
      </c>
      <c r="EQ18" t="s">
        <v>3384</v>
      </c>
      <c r="ER18" t="s">
        <v>3410</v>
      </c>
      <c r="ES18" t="s">
        <v>3430</v>
      </c>
      <c r="FH18" t="s">
        <v>3586</v>
      </c>
      <c r="FK18" t="s">
        <v>3629</v>
      </c>
      <c r="FQ18" t="s">
        <v>3702</v>
      </c>
      <c r="FU18" t="s">
        <v>3759</v>
      </c>
      <c r="FX18" t="s">
        <v>3799</v>
      </c>
      <c r="GF18" t="s">
        <v>3879</v>
      </c>
      <c r="GK18" t="s">
        <v>3939</v>
      </c>
      <c r="GN18" t="s">
        <v>3977</v>
      </c>
      <c r="GO18" t="s">
        <v>4001</v>
      </c>
      <c r="GP18" t="s">
        <v>4020</v>
      </c>
      <c r="GT18" t="s">
        <v>4091</v>
      </c>
      <c r="GV18" t="s">
        <v>4124</v>
      </c>
      <c r="GW18" t="s">
        <v>4157</v>
      </c>
      <c r="GX18" t="s">
        <v>4178</v>
      </c>
      <c r="HE18" t="s">
        <v>4270</v>
      </c>
      <c r="HG18" t="s">
        <v>4311</v>
      </c>
      <c r="HI18" t="s">
        <v>4349</v>
      </c>
      <c r="HJ18" t="s">
        <v>4372</v>
      </c>
      <c r="HR18" t="s">
        <v>4473</v>
      </c>
      <c r="HT18" t="s">
        <v>4505</v>
      </c>
      <c r="II18" t="s">
        <v>4669</v>
      </c>
      <c r="IJ18" t="s">
        <v>4687</v>
      </c>
      <c r="IN18" t="s">
        <v>4734</v>
      </c>
      <c r="IO18" t="s">
        <v>4753</v>
      </c>
      <c r="IQ18" t="s">
        <v>4793</v>
      </c>
      <c r="IR18" t="s">
        <v>4810</v>
      </c>
      <c r="JA18" t="s">
        <v>4912</v>
      </c>
      <c r="JF18" t="s">
        <v>4975</v>
      </c>
      <c r="JI18" t="s">
        <v>5010</v>
      </c>
      <c r="JK18" t="s">
        <v>5040</v>
      </c>
      <c r="JL18" t="s">
        <v>5062</v>
      </c>
      <c r="JN18" t="s">
        <v>5095</v>
      </c>
      <c r="JP18" t="s">
        <v>5133</v>
      </c>
      <c r="JR18" t="s">
        <v>5152</v>
      </c>
      <c r="JY18" t="s">
        <v>5227</v>
      </c>
      <c r="KK18" t="s">
        <v>5346</v>
      </c>
      <c r="KN18" t="s">
        <v>5402</v>
      </c>
      <c r="KP18" t="s">
        <v>5438</v>
      </c>
      <c r="KQ18" t="s">
        <v>5456</v>
      </c>
      <c r="KY18" t="s">
        <v>5544</v>
      </c>
      <c r="LE18" t="s">
        <v>5633</v>
      </c>
      <c r="LF18" t="s">
        <v>5654</v>
      </c>
      <c r="LN18" t="s">
        <v>5757</v>
      </c>
      <c r="LP18" t="s">
        <v>5787</v>
      </c>
      <c r="LS18" t="s">
        <v>5826</v>
      </c>
      <c r="LZ18" t="s">
        <v>5919</v>
      </c>
      <c r="MI18" t="s">
        <v>6029</v>
      </c>
      <c r="MT18" t="s">
        <v>6149</v>
      </c>
      <c r="ND18" t="s">
        <v>6261</v>
      </c>
      <c r="NE18" t="s">
        <v>6278</v>
      </c>
      <c r="NG18" t="s">
        <v>6309</v>
      </c>
      <c r="NI18" t="s">
        <v>6345</v>
      </c>
      <c r="NK18" t="s">
        <v>6377</v>
      </c>
      <c r="NL18" t="s">
        <v>6397</v>
      </c>
      <c r="NM18" t="s">
        <v>6415</v>
      </c>
      <c r="NN18" t="s">
        <v>6438</v>
      </c>
      <c r="NP18" t="s">
        <v>6476</v>
      </c>
      <c r="NR18" t="s">
        <v>6509</v>
      </c>
      <c r="NX18" t="s">
        <v>6571</v>
      </c>
      <c r="OB18" t="s">
        <v>6620</v>
      </c>
      <c r="OG18" t="s">
        <v>6688</v>
      </c>
      <c r="OH18" t="s">
        <v>6710</v>
      </c>
      <c r="OJ18" t="s">
        <v>6750</v>
      </c>
      <c r="OK18" t="s">
        <v>6767</v>
      </c>
      <c r="OU18" t="s">
        <v>6876</v>
      </c>
      <c r="OW18" t="s">
        <v>6910</v>
      </c>
      <c r="PA18" t="s">
        <v>6959</v>
      </c>
      <c r="PL18" t="s">
        <v>7099</v>
      </c>
      <c r="PQ18" t="s">
        <v>7176</v>
      </c>
      <c r="PT18" t="s">
        <v>7229</v>
      </c>
      <c r="QB18" t="s">
        <v>7330</v>
      </c>
      <c r="QE18" t="s">
        <v>7368</v>
      </c>
      <c r="QI18" t="s">
        <v>7422</v>
      </c>
      <c r="QL18" t="s">
        <v>7460</v>
      </c>
      <c r="QN18" t="s">
        <v>7495</v>
      </c>
      <c r="QQ18" t="s">
        <v>7551</v>
      </c>
      <c r="QS18" t="s">
        <v>7581</v>
      </c>
      <c r="QW18" t="s">
        <v>7647</v>
      </c>
      <c r="QY18" t="s">
        <v>7672</v>
      </c>
      <c r="RC18" t="s">
        <v>7738</v>
      </c>
      <c r="RN18" t="s">
        <v>7882</v>
      </c>
      <c r="RV18" t="s">
        <v>7974</v>
      </c>
      <c r="RZ18" t="s">
        <v>8030</v>
      </c>
      <c r="SD18" t="s">
        <v>8095</v>
      </c>
      <c r="SF18" t="s">
        <v>8126</v>
      </c>
      <c r="SH18" t="s">
        <v>8156</v>
      </c>
      <c r="SJ18" t="s">
        <v>8199</v>
      </c>
      <c r="SU18" t="s">
        <v>8321</v>
      </c>
      <c r="SX18" t="s">
        <v>8369</v>
      </c>
      <c r="TD18" t="s">
        <v>8440</v>
      </c>
      <c r="TO18" t="s">
        <v>8567</v>
      </c>
      <c r="TR18" t="s">
        <v>8611</v>
      </c>
      <c r="TV18" t="s">
        <v>8684</v>
      </c>
      <c r="TW18" t="s">
        <v>8704</v>
      </c>
      <c r="TZ18" t="s">
        <v>8743</v>
      </c>
      <c r="UB18" t="s">
        <v>8768</v>
      </c>
      <c r="UC18" t="s">
        <v>8788</v>
      </c>
      <c r="UF18" t="s">
        <v>8823</v>
      </c>
      <c r="UH18" t="s">
        <v>8863</v>
      </c>
      <c r="UJ18" t="s">
        <v>8912</v>
      </c>
      <c r="UO18" t="s">
        <v>8994</v>
      </c>
      <c r="UR18" t="s">
        <v>9039</v>
      </c>
      <c r="UV18" t="s">
        <v>9104</v>
      </c>
      <c r="UY18" t="s">
        <v>9161</v>
      </c>
      <c r="UZ18" t="s">
        <v>9184</v>
      </c>
      <c r="VE18" t="s">
        <v>9241</v>
      </c>
      <c r="VF18" t="s">
        <v>9262</v>
      </c>
      <c r="VI18" t="s">
        <v>9306</v>
      </c>
      <c r="VR18" t="s">
        <v>9415</v>
      </c>
      <c r="VT18" t="s">
        <v>9452</v>
      </c>
      <c r="VY18" t="s">
        <v>9518</v>
      </c>
      <c r="WD18" t="s">
        <v>9584</v>
      </c>
      <c r="WJ18" t="s">
        <v>9679</v>
      </c>
      <c r="WL18" t="s">
        <v>9709</v>
      </c>
      <c r="WR18" t="s">
        <v>9779</v>
      </c>
      <c r="WS18" t="s">
        <v>9807</v>
      </c>
      <c r="WU18" t="s">
        <v>9849</v>
      </c>
      <c r="WV18" t="s">
        <v>9876</v>
      </c>
      <c r="WX18" t="s">
        <v>9906</v>
      </c>
      <c r="XA18" t="s">
        <v>9951</v>
      </c>
      <c r="XC18" t="s">
        <v>9987</v>
      </c>
      <c r="XF18" t="s">
        <v>10037</v>
      </c>
      <c r="XH18" t="s">
        <v>10073</v>
      </c>
      <c r="XI18" t="s">
        <v>10091</v>
      </c>
      <c r="XL18" t="s">
        <v>10132</v>
      </c>
      <c r="XM18" t="s">
        <v>10149</v>
      </c>
      <c r="XR18" t="s">
        <v>10212</v>
      </c>
      <c r="XT18" t="s">
        <v>10244</v>
      </c>
      <c r="XY18" t="s">
        <v>10304</v>
      </c>
      <c r="YB18" t="s">
        <v>10347</v>
      </c>
      <c r="YC18" t="s">
        <v>10367</v>
      </c>
      <c r="YD18" t="s">
        <v>10396</v>
      </c>
      <c r="YE18" t="s">
        <v>10416</v>
      </c>
      <c r="YJ18" t="s">
        <v>10481</v>
      </c>
      <c r="YR18" t="s">
        <v>10590</v>
      </c>
      <c r="YT18" t="s">
        <v>10624</v>
      </c>
      <c r="YU18" t="s">
        <v>10648</v>
      </c>
      <c r="YW18" t="s">
        <v>10681</v>
      </c>
      <c r="YY18" t="s">
        <v>10717</v>
      </c>
      <c r="ZC18" t="s">
        <v>10777</v>
      </c>
      <c r="ZD18" t="s">
        <v>10794</v>
      </c>
      <c r="ZI18" t="s">
        <v>10860</v>
      </c>
      <c r="ZK18" t="s">
        <v>10891</v>
      </c>
      <c r="ZO18" t="s">
        <v>10947</v>
      </c>
      <c r="ZP18" t="s">
        <v>10964</v>
      </c>
      <c r="ZS18" t="s">
        <v>11003</v>
      </c>
      <c r="ZT18" t="s">
        <v>11020</v>
      </c>
      <c r="ZU18" t="s">
        <v>11039</v>
      </c>
      <c r="ZW18" t="s">
        <v>11069</v>
      </c>
    </row>
    <row r="19" spans="5:699" x14ac:dyDescent="0.25">
      <c r="E19" t="s">
        <v>1295</v>
      </c>
      <c r="F19" t="s">
        <v>1313</v>
      </c>
      <c r="I19" t="s">
        <v>1359</v>
      </c>
      <c r="N19" t="s">
        <v>1426</v>
      </c>
      <c r="Q19" t="s">
        <v>1471</v>
      </c>
      <c r="R19" t="s">
        <v>1493</v>
      </c>
      <c r="S19" t="s">
        <v>1513</v>
      </c>
      <c r="U19" t="s">
        <v>1545</v>
      </c>
      <c r="Z19" t="s">
        <v>1639</v>
      </c>
      <c r="AC19" t="s">
        <v>1684</v>
      </c>
      <c r="AG19" t="s">
        <v>1733</v>
      </c>
      <c r="AI19" t="s">
        <v>1766</v>
      </c>
      <c r="AM19" t="s">
        <v>1822</v>
      </c>
      <c r="AS19" t="s">
        <v>1894</v>
      </c>
      <c r="AV19" t="s">
        <v>1948</v>
      </c>
      <c r="AZ19" t="s">
        <v>2017</v>
      </c>
      <c r="BC19" t="s">
        <v>2068</v>
      </c>
      <c r="BD19" t="s">
        <v>2087</v>
      </c>
      <c r="BE19" t="s">
        <v>2123</v>
      </c>
      <c r="BI19" t="s">
        <v>2176</v>
      </c>
      <c r="BJ19" t="s">
        <v>2196</v>
      </c>
      <c r="BN19" t="s">
        <v>2247</v>
      </c>
      <c r="BQ19" t="s">
        <v>2294</v>
      </c>
      <c r="BS19" t="s">
        <v>2328</v>
      </c>
      <c r="BU19" t="s">
        <v>2367</v>
      </c>
      <c r="BY19" t="s">
        <v>2424</v>
      </c>
      <c r="CB19" t="s">
        <v>2462</v>
      </c>
      <c r="CF19" t="s">
        <v>2518</v>
      </c>
      <c r="CO19" t="s">
        <v>2607</v>
      </c>
      <c r="CU19" t="s">
        <v>2670</v>
      </c>
      <c r="CW19" t="s">
        <v>2706</v>
      </c>
      <c r="DA19" t="s">
        <v>2769</v>
      </c>
      <c r="DE19" t="s">
        <v>2833</v>
      </c>
      <c r="DF19" t="s">
        <v>2855</v>
      </c>
      <c r="DJ19" t="s">
        <v>2926</v>
      </c>
      <c r="DR19" t="s">
        <v>3029</v>
      </c>
      <c r="DZ19" t="s">
        <v>3141</v>
      </c>
      <c r="EB19" t="s">
        <v>3173</v>
      </c>
      <c r="EC19" t="s">
        <v>3192</v>
      </c>
      <c r="EF19" t="s">
        <v>3244</v>
      </c>
      <c r="EH19" t="s">
        <v>3274</v>
      </c>
      <c r="EN19" t="s">
        <v>3351</v>
      </c>
      <c r="EQ19" t="s">
        <v>3385</v>
      </c>
      <c r="ER19" t="s">
        <v>3411</v>
      </c>
      <c r="ES19" t="s">
        <v>3431</v>
      </c>
      <c r="FH19" t="s">
        <v>3587</v>
      </c>
      <c r="FK19" t="s">
        <v>3630</v>
      </c>
      <c r="FQ19" t="s">
        <v>3703</v>
      </c>
      <c r="FX19" t="s">
        <v>3800</v>
      </c>
      <c r="GF19" t="s">
        <v>3880</v>
      </c>
      <c r="GK19" t="s">
        <v>3940</v>
      </c>
      <c r="GN19" t="s">
        <v>3978</v>
      </c>
      <c r="GO19" t="s">
        <v>4002</v>
      </c>
      <c r="GP19" t="s">
        <v>4021</v>
      </c>
      <c r="GT19" t="s">
        <v>4092</v>
      </c>
      <c r="GV19" t="s">
        <v>4125</v>
      </c>
      <c r="GW19" t="s">
        <v>4158</v>
      </c>
      <c r="HE19" t="s">
        <v>4271</v>
      </c>
      <c r="HG19" t="s">
        <v>4312</v>
      </c>
      <c r="HI19" t="s">
        <v>4350</v>
      </c>
      <c r="HJ19" t="s">
        <v>4373</v>
      </c>
      <c r="HR19" t="s">
        <v>4474</v>
      </c>
      <c r="HT19" t="s">
        <v>4506</v>
      </c>
      <c r="II19" t="s">
        <v>4670</v>
      </c>
      <c r="IJ19" t="s">
        <v>4688</v>
      </c>
      <c r="IN19" t="s">
        <v>4735</v>
      </c>
      <c r="IO19" t="s">
        <v>4754</v>
      </c>
      <c r="IR19" t="s">
        <v>4811</v>
      </c>
      <c r="JA19" t="s">
        <v>4913</v>
      </c>
      <c r="JF19" t="s">
        <v>4976</v>
      </c>
      <c r="JI19" t="s">
        <v>5011</v>
      </c>
      <c r="JK19" t="s">
        <v>5041</v>
      </c>
      <c r="JL19" t="s">
        <v>5063</v>
      </c>
      <c r="JN19" t="s">
        <v>5096</v>
      </c>
      <c r="JR19" t="s">
        <v>5153</v>
      </c>
      <c r="JY19" t="s">
        <v>5228</v>
      </c>
      <c r="KK19" t="s">
        <v>5347</v>
      </c>
      <c r="KN19" t="s">
        <v>5403</v>
      </c>
      <c r="KP19" t="s">
        <v>5439</v>
      </c>
      <c r="KY19" t="s">
        <v>5545</v>
      </c>
      <c r="LE19" t="s">
        <v>5634</v>
      </c>
      <c r="LF19" t="s">
        <v>5655</v>
      </c>
      <c r="LP19" t="s">
        <v>5788</v>
      </c>
      <c r="LS19" t="s">
        <v>5827</v>
      </c>
      <c r="LZ19" t="s">
        <v>5920</v>
      </c>
      <c r="MI19" t="s">
        <v>6030</v>
      </c>
      <c r="NE19" t="s">
        <v>6279</v>
      </c>
      <c r="NG19" t="s">
        <v>6310</v>
      </c>
      <c r="NK19" t="s">
        <v>6378</v>
      </c>
      <c r="NL19" t="s">
        <v>6398</v>
      </c>
      <c r="NM19" t="s">
        <v>6416</v>
      </c>
      <c r="NN19" t="s">
        <v>6439</v>
      </c>
      <c r="NP19" t="s">
        <v>6477</v>
      </c>
      <c r="OB19" t="s">
        <v>6621</v>
      </c>
      <c r="OG19" t="s">
        <v>6689</v>
      </c>
      <c r="OH19" t="s">
        <v>6711</v>
      </c>
      <c r="OK19" t="s">
        <v>6768</v>
      </c>
      <c r="OU19" t="s">
        <v>6877</v>
      </c>
      <c r="OW19" t="s">
        <v>6911</v>
      </c>
      <c r="PA19" t="s">
        <v>6960</v>
      </c>
      <c r="PL19" t="s">
        <v>7100</v>
      </c>
      <c r="PQ19" t="s">
        <v>7177</v>
      </c>
      <c r="PT19" t="s">
        <v>7230</v>
      </c>
      <c r="QB19" t="s">
        <v>7331</v>
      </c>
      <c r="QE19" t="s">
        <v>7369</v>
      </c>
      <c r="QI19" t="s">
        <v>7423</v>
      </c>
      <c r="QL19" t="s">
        <v>7461</v>
      </c>
      <c r="QN19" t="s">
        <v>7496</v>
      </c>
      <c r="QQ19" t="s">
        <v>7552</v>
      </c>
      <c r="QS19" t="s">
        <v>7582</v>
      </c>
      <c r="QY19" t="s">
        <v>7673</v>
      </c>
      <c r="RC19" t="s">
        <v>7739</v>
      </c>
      <c r="RV19" t="s">
        <v>7975</v>
      </c>
      <c r="RZ19" t="s">
        <v>8031</v>
      </c>
      <c r="SD19" t="s">
        <v>8096</v>
      </c>
      <c r="SF19" t="s">
        <v>8127</v>
      </c>
      <c r="SH19" t="s">
        <v>8157</v>
      </c>
      <c r="SJ19" t="s">
        <v>8200</v>
      </c>
      <c r="SU19" t="s">
        <v>8322</v>
      </c>
      <c r="SX19" t="s">
        <v>8370</v>
      </c>
      <c r="TD19" t="s">
        <v>8441</v>
      </c>
      <c r="TO19" t="s">
        <v>8568</v>
      </c>
      <c r="TR19" t="s">
        <v>8612</v>
      </c>
      <c r="TV19" t="s">
        <v>8685</v>
      </c>
      <c r="UB19" t="s">
        <v>8769</v>
      </c>
      <c r="UC19" t="s">
        <v>8789</v>
      </c>
      <c r="UF19" t="s">
        <v>8824</v>
      </c>
      <c r="UH19" t="s">
        <v>8864</v>
      </c>
      <c r="UJ19" t="s">
        <v>8913</v>
      </c>
      <c r="UO19" t="s">
        <v>8995</v>
      </c>
      <c r="UR19" t="s">
        <v>9040</v>
      </c>
      <c r="UV19" t="s">
        <v>9105</v>
      </c>
      <c r="UY19" t="s">
        <v>9162</v>
      </c>
      <c r="VE19" t="s">
        <v>9242</v>
      </c>
      <c r="VI19" t="s">
        <v>9307</v>
      </c>
      <c r="VR19" t="s">
        <v>9416</v>
      </c>
      <c r="VT19" t="s">
        <v>9453</v>
      </c>
      <c r="VY19" t="s">
        <v>9519</v>
      </c>
      <c r="WD19" t="s">
        <v>9585</v>
      </c>
      <c r="WJ19" t="s">
        <v>9680</v>
      </c>
      <c r="WL19" t="s">
        <v>9710</v>
      </c>
      <c r="WR19" t="s">
        <v>9780</v>
      </c>
      <c r="WS19" t="s">
        <v>9808</v>
      </c>
      <c r="WU19" t="s">
        <v>9850</v>
      </c>
      <c r="WX19" t="s">
        <v>9907</v>
      </c>
      <c r="XA19" t="s">
        <v>9952</v>
      </c>
      <c r="XC19" t="s">
        <v>9988</v>
      </c>
      <c r="XF19" t="s">
        <v>10038</v>
      </c>
      <c r="XH19" t="s">
        <v>10074</v>
      </c>
      <c r="XI19" t="s">
        <v>10092</v>
      </c>
      <c r="XM19" t="s">
        <v>10150</v>
      </c>
      <c r="XR19" t="s">
        <v>10213</v>
      </c>
      <c r="XT19" t="s">
        <v>10245</v>
      </c>
      <c r="XY19" t="s">
        <v>10305</v>
      </c>
      <c r="YB19" t="s">
        <v>10348</v>
      </c>
      <c r="YC19" t="s">
        <v>10368</v>
      </c>
      <c r="YD19" t="s">
        <v>10397</v>
      </c>
      <c r="YE19" t="s">
        <v>10417</v>
      </c>
      <c r="YJ19" t="s">
        <v>10482</v>
      </c>
      <c r="YR19" t="s">
        <v>10591</v>
      </c>
      <c r="YT19" t="s">
        <v>10625</v>
      </c>
      <c r="YU19" t="s">
        <v>10649</v>
      </c>
      <c r="YW19" t="s">
        <v>10682</v>
      </c>
      <c r="YY19" t="s">
        <v>10718</v>
      </c>
      <c r="ZD19" t="s">
        <v>10795</v>
      </c>
      <c r="ZI19" t="s">
        <v>10861</v>
      </c>
      <c r="ZK19" t="s">
        <v>10892</v>
      </c>
      <c r="ZP19" t="s">
        <v>10965</v>
      </c>
      <c r="ZT19" t="s">
        <v>11021</v>
      </c>
      <c r="ZW19" t="s">
        <v>11070</v>
      </c>
    </row>
    <row r="20" spans="5:699" x14ac:dyDescent="0.25">
      <c r="F20" t="s">
        <v>1314</v>
      </c>
      <c r="I20" t="s">
        <v>1360</v>
      </c>
      <c r="N20" t="s">
        <v>1427</v>
      </c>
      <c r="Q20" t="s">
        <v>1472</v>
      </c>
      <c r="R20" t="s">
        <v>1494</v>
      </c>
      <c r="U20" t="s">
        <v>1546</v>
      </c>
      <c r="Z20" t="s">
        <v>1640</v>
      </c>
      <c r="AC20" t="s">
        <v>1685</v>
      </c>
      <c r="AG20" t="s">
        <v>1734</v>
      </c>
      <c r="AI20" t="s">
        <v>1767</v>
      </c>
      <c r="AS20" t="s">
        <v>1895</v>
      </c>
      <c r="AV20" t="s">
        <v>1949</v>
      </c>
      <c r="AZ20" t="s">
        <v>2018</v>
      </c>
      <c r="BC20" t="s">
        <v>2069</v>
      </c>
      <c r="BD20" t="s">
        <v>2088</v>
      </c>
      <c r="BI20" t="s">
        <v>2177</v>
      </c>
      <c r="BJ20" t="s">
        <v>2197</v>
      </c>
      <c r="BN20" t="s">
        <v>2248</v>
      </c>
      <c r="BQ20" t="s">
        <v>2295</v>
      </c>
      <c r="BS20" t="s">
        <v>2329</v>
      </c>
      <c r="BU20" t="s">
        <v>2368</v>
      </c>
      <c r="BY20" t="s">
        <v>2425</v>
      </c>
      <c r="CB20" t="s">
        <v>2463</v>
      </c>
      <c r="CF20" t="s">
        <v>2519</v>
      </c>
      <c r="CU20" t="s">
        <v>2671</v>
      </c>
      <c r="CW20" t="s">
        <v>2707</v>
      </c>
      <c r="DA20" t="s">
        <v>2770</v>
      </c>
      <c r="DE20" t="s">
        <v>2834</v>
      </c>
      <c r="DF20" t="s">
        <v>2856</v>
      </c>
      <c r="DJ20" t="s">
        <v>2927</v>
      </c>
      <c r="DR20" t="s">
        <v>3030</v>
      </c>
      <c r="DZ20" t="s">
        <v>3142</v>
      </c>
      <c r="EB20" t="s">
        <v>3174</v>
      </c>
      <c r="EC20" t="s">
        <v>3193</v>
      </c>
      <c r="EF20" t="s">
        <v>3245</v>
      </c>
      <c r="EH20" t="s">
        <v>3275</v>
      </c>
      <c r="EN20" t="s">
        <v>3352</v>
      </c>
      <c r="EQ20" t="s">
        <v>3386</v>
      </c>
      <c r="ER20" t="s">
        <v>3412</v>
      </c>
      <c r="ES20" t="s">
        <v>3432</v>
      </c>
      <c r="FH20" t="s">
        <v>3588</v>
      </c>
      <c r="FK20" t="s">
        <v>3631</v>
      </c>
      <c r="FQ20" t="s">
        <v>3704</v>
      </c>
      <c r="FX20" t="s">
        <v>3801</v>
      </c>
      <c r="GF20" t="s">
        <v>3881</v>
      </c>
      <c r="GN20" t="s">
        <v>3979</v>
      </c>
      <c r="GO20" t="s">
        <v>4003</v>
      </c>
      <c r="GP20" t="s">
        <v>4022</v>
      </c>
      <c r="GT20" t="s">
        <v>4093</v>
      </c>
      <c r="GV20" t="s">
        <v>4126</v>
      </c>
      <c r="GW20" t="s">
        <v>4159</v>
      </c>
      <c r="HE20" t="s">
        <v>4272</v>
      </c>
      <c r="HG20" t="s">
        <v>4313</v>
      </c>
      <c r="HI20" t="s">
        <v>4351</v>
      </c>
      <c r="HJ20" t="s">
        <v>4374</v>
      </c>
      <c r="HR20" t="s">
        <v>4475</v>
      </c>
      <c r="HT20" t="s">
        <v>4507</v>
      </c>
      <c r="IJ20" t="s">
        <v>4689</v>
      </c>
      <c r="IN20" t="s">
        <v>4736</v>
      </c>
      <c r="IO20" t="s">
        <v>4755</v>
      </c>
      <c r="IR20" t="s">
        <v>4812</v>
      </c>
      <c r="JA20" t="s">
        <v>4914</v>
      </c>
      <c r="JI20" t="s">
        <v>5012</v>
      </c>
      <c r="JK20" t="s">
        <v>5042</v>
      </c>
      <c r="JL20" t="s">
        <v>5064</v>
      </c>
      <c r="JN20" t="s">
        <v>5097</v>
      </c>
      <c r="JR20" t="s">
        <v>5154</v>
      </c>
      <c r="KK20" t="s">
        <v>5348</v>
      </c>
      <c r="KN20" t="s">
        <v>5404</v>
      </c>
      <c r="KY20" t="s">
        <v>5546</v>
      </c>
      <c r="LE20" t="s">
        <v>5635</v>
      </c>
      <c r="LF20" t="s">
        <v>5656</v>
      </c>
      <c r="LP20" t="s">
        <v>5789</v>
      </c>
      <c r="LS20" t="s">
        <v>5828</v>
      </c>
      <c r="LZ20" t="s">
        <v>5921</v>
      </c>
      <c r="MI20" t="s">
        <v>6031</v>
      </c>
      <c r="NE20" t="s">
        <v>6280</v>
      </c>
      <c r="NG20" t="s">
        <v>6311</v>
      </c>
      <c r="NK20" t="s">
        <v>6379</v>
      </c>
      <c r="NM20" t="s">
        <v>6417</v>
      </c>
      <c r="NN20" t="s">
        <v>6440</v>
      </c>
      <c r="NP20" t="s">
        <v>6478</v>
      </c>
      <c r="OB20" t="s">
        <v>6622</v>
      </c>
      <c r="OG20" t="s">
        <v>6690</v>
      </c>
      <c r="OH20" t="s">
        <v>6712</v>
      </c>
      <c r="OW20" t="s">
        <v>6912</v>
      </c>
      <c r="PA20" t="s">
        <v>6961</v>
      </c>
      <c r="PL20" t="s">
        <v>7101</v>
      </c>
      <c r="PQ20" t="s">
        <v>7178</v>
      </c>
      <c r="PT20" t="s">
        <v>7231</v>
      </c>
      <c r="QE20" t="s">
        <v>7370</v>
      </c>
      <c r="QI20" t="s">
        <v>7424</v>
      </c>
      <c r="QL20" t="s">
        <v>7462</v>
      </c>
      <c r="QN20" t="s">
        <v>7497</v>
      </c>
      <c r="QQ20" t="s">
        <v>7553</v>
      </c>
      <c r="QS20" t="s">
        <v>7583</v>
      </c>
      <c r="QY20" t="s">
        <v>7674</v>
      </c>
      <c r="RC20" t="s">
        <v>7740</v>
      </c>
      <c r="RV20" t="s">
        <v>7976</v>
      </c>
      <c r="RZ20" t="s">
        <v>8032</v>
      </c>
      <c r="SD20" t="s">
        <v>8097</v>
      </c>
      <c r="SF20" t="s">
        <v>8128</v>
      </c>
      <c r="SH20" t="s">
        <v>8158</v>
      </c>
      <c r="SJ20" t="s">
        <v>8201</v>
      </c>
      <c r="SU20" t="s">
        <v>8323</v>
      </c>
      <c r="SX20" t="s">
        <v>8371</v>
      </c>
      <c r="TD20" t="s">
        <v>8442</v>
      </c>
      <c r="TR20" t="s">
        <v>8613</v>
      </c>
      <c r="TV20" t="s">
        <v>8686</v>
      </c>
      <c r="UB20" t="s">
        <v>8770</v>
      </c>
      <c r="UC20" t="s">
        <v>8790</v>
      </c>
      <c r="UF20" t="s">
        <v>8825</v>
      </c>
      <c r="UH20" t="s">
        <v>8865</v>
      </c>
      <c r="UJ20" t="s">
        <v>8914</v>
      </c>
      <c r="UO20" t="s">
        <v>8996</v>
      </c>
      <c r="UR20" t="s">
        <v>9041</v>
      </c>
      <c r="UV20" t="s">
        <v>9106</v>
      </c>
      <c r="UY20" t="s">
        <v>9163</v>
      </c>
      <c r="VE20" t="s">
        <v>9243</v>
      </c>
      <c r="VI20" t="s">
        <v>9308</v>
      </c>
      <c r="VR20" t="s">
        <v>9417</v>
      </c>
      <c r="VT20" t="s">
        <v>9454</v>
      </c>
      <c r="VY20" t="s">
        <v>9520</v>
      </c>
      <c r="WD20" t="s">
        <v>9586</v>
      </c>
      <c r="WJ20" t="s">
        <v>9681</v>
      </c>
      <c r="WL20" t="s">
        <v>9711</v>
      </c>
      <c r="WR20" t="s">
        <v>9781</v>
      </c>
      <c r="WS20" t="s">
        <v>9809</v>
      </c>
      <c r="WU20" t="s">
        <v>9851</v>
      </c>
      <c r="WX20" t="s">
        <v>9908</v>
      </c>
      <c r="XA20" t="s">
        <v>9953</v>
      </c>
      <c r="XC20" t="s">
        <v>9989</v>
      </c>
      <c r="XF20" t="s">
        <v>10039</v>
      </c>
      <c r="XM20" t="s">
        <v>10151</v>
      </c>
      <c r="XR20" t="s">
        <v>10214</v>
      </c>
      <c r="YB20" t="s">
        <v>10349</v>
      </c>
      <c r="YC20" t="s">
        <v>10369</v>
      </c>
      <c r="YD20" t="s">
        <v>10398</v>
      </c>
      <c r="YJ20" t="s">
        <v>10483</v>
      </c>
      <c r="YR20" t="s">
        <v>10592</v>
      </c>
      <c r="YT20" t="s">
        <v>10626</v>
      </c>
      <c r="YU20" t="s">
        <v>10650</v>
      </c>
      <c r="YW20" t="s">
        <v>10683</v>
      </c>
      <c r="YY20" t="s">
        <v>10719</v>
      </c>
      <c r="ZD20" t="s">
        <v>10796</v>
      </c>
      <c r="ZI20" t="s">
        <v>10862</v>
      </c>
      <c r="ZT20" t="s">
        <v>11022</v>
      </c>
      <c r="ZW20" t="s">
        <v>11071</v>
      </c>
    </row>
    <row r="21" spans="5:699" x14ac:dyDescent="0.25">
      <c r="F21" t="s">
        <v>1315</v>
      </c>
      <c r="I21" t="s">
        <v>1361</v>
      </c>
      <c r="N21" t="s">
        <v>1428</v>
      </c>
      <c r="Q21" t="s">
        <v>1473</v>
      </c>
      <c r="R21" t="s">
        <v>1495</v>
      </c>
      <c r="U21" t="s">
        <v>1547</v>
      </c>
      <c r="Z21" t="s">
        <v>1641</v>
      </c>
      <c r="AC21" t="s">
        <v>1686</v>
      </c>
      <c r="AG21" t="s">
        <v>1735</v>
      </c>
      <c r="AI21" t="s">
        <v>1768</v>
      </c>
      <c r="AS21" t="s">
        <v>1896</v>
      </c>
      <c r="AV21" t="s">
        <v>1950</v>
      </c>
      <c r="AZ21" t="s">
        <v>2019</v>
      </c>
      <c r="BD21" t="s">
        <v>2089</v>
      </c>
      <c r="BI21" t="s">
        <v>2178</v>
      </c>
      <c r="BJ21" t="s">
        <v>2198</v>
      </c>
      <c r="BQ21" t="s">
        <v>2296</v>
      </c>
      <c r="BS21" t="s">
        <v>2330</v>
      </c>
      <c r="BU21" t="s">
        <v>2369</v>
      </c>
      <c r="CB21" t="s">
        <v>2464</v>
      </c>
      <c r="CF21" t="s">
        <v>2520</v>
      </c>
      <c r="CW21" t="s">
        <v>2708</v>
      </c>
      <c r="DA21" t="s">
        <v>2771</v>
      </c>
      <c r="DE21" t="s">
        <v>2835</v>
      </c>
      <c r="DF21" t="s">
        <v>2857</v>
      </c>
      <c r="DJ21" t="s">
        <v>2928</v>
      </c>
      <c r="EC21" t="s">
        <v>3194</v>
      </c>
      <c r="EF21" t="s">
        <v>3246</v>
      </c>
      <c r="EH21" t="s">
        <v>3276</v>
      </c>
      <c r="EQ21" t="s">
        <v>3387</v>
      </c>
      <c r="ER21" t="s">
        <v>3413</v>
      </c>
      <c r="ES21" t="s">
        <v>3433</v>
      </c>
      <c r="FH21" t="s">
        <v>3589</v>
      </c>
      <c r="FK21" t="s">
        <v>3632</v>
      </c>
      <c r="FQ21" t="s">
        <v>3705</v>
      </c>
      <c r="GN21" t="s">
        <v>3980</v>
      </c>
      <c r="GP21" t="s">
        <v>4023</v>
      </c>
      <c r="GT21" t="s">
        <v>4094</v>
      </c>
      <c r="GV21" t="s">
        <v>4127</v>
      </c>
      <c r="GW21" t="s">
        <v>4160</v>
      </c>
      <c r="HE21" t="s">
        <v>4273</v>
      </c>
      <c r="HG21" t="s">
        <v>4314</v>
      </c>
      <c r="HI21" t="s">
        <v>4352</v>
      </c>
      <c r="HJ21" t="s">
        <v>4375</v>
      </c>
      <c r="HR21" t="s">
        <v>4476</v>
      </c>
      <c r="HT21" t="s">
        <v>4508</v>
      </c>
      <c r="IJ21" t="s">
        <v>4690</v>
      </c>
      <c r="IO21" t="s">
        <v>4756</v>
      </c>
      <c r="IR21" t="s">
        <v>4813</v>
      </c>
      <c r="JA21" t="s">
        <v>4915</v>
      </c>
      <c r="JK21" t="s">
        <v>5043</v>
      </c>
      <c r="JL21" t="s">
        <v>5065</v>
      </c>
      <c r="JN21" t="s">
        <v>5098</v>
      </c>
      <c r="JR21" t="s">
        <v>5155</v>
      </c>
      <c r="KK21" t="s">
        <v>5349</v>
      </c>
      <c r="KN21" t="s">
        <v>5405</v>
      </c>
      <c r="KY21" t="s">
        <v>5547</v>
      </c>
      <c r="LE21" t="s">
        <v>5636</v>
      </c>
      <c r="LF21" t="s">
        <v>5657</v>
      </c>
      <c r="LP21" t="s">
        <v>5790</v>
      </c>
      <c r="LS21" t="s">
        <v>5829</v>
      </c>
      <c r="LZ21" t="s">
        <v>5922</v>
      </c>
      <c r="MI21" t="s">
        <v>6032</v>
      </c>
      <c r="NE21" t="s">
        <v>6281</v>
      </c>
      <c r="NG21" t="s">
        <v>6312</v>
      </c>
      <c r="NK21" t="s">
        <v>6380</v>
      </c>
      <c r="NM21" t="s">
        <v>6418</v>
      </c>
      <c r="NN21" t="s">
        <v>6441</v>
      </c>
      <c r="NP21" t="s">
        <v>6479</v>
      </c>
      <c r="OB21" t="s">
        <v>6623</v>
      </c>
      <c r="OG21" t="s">
        <v>6691</v>
      </c>
      <c r="OH21" t="s">
        <v>6713</v>
      </c>
      <c r="PA21" t="s">
        <v>6962</v>
      </c>
      <c r="PL21" t="s">
        <v>7102</v>
      </c>
      <c r="PQ21" t="s">
        <v>7179</v>
      </c>
      <c r="PT21" t="s">
        <v>7232</v>
      </c>
      <c r="QI21" t="s">
        <v>7425</v>
      </c>
      <c r="QL21" t="s">
        <v>7463</v>
      </c>
      <c r="QN21" t="s">
        <v>7498</v>
      </c>
      <c r="QQ21" t="s">
        <v>7554</v>
      </c>
      <c r="QS21" t="s">
        <v>7584</v>
      </c>
      <c r="QY21" t="s">
        <v>7675</v>
      </c>
      <c r="RC21" t="s">
        <v>7741</v>
      </c>
      <c r="RV21" t="s">
        <v>7977</v>
      </c>
      <c r="RZ21" t="s">
        <v>8033</v>
      </c>
      <c r="SD21" t="s">
        <v>8098</v>
      </c>
      <c r="SF21" t="s">
        <v>8129</v>
      </c>
      <c r="SH21" t="s">
        <v>8159</v>
      </c>
      <c r="SJ21" t="s">
        <v>8202</v>
      </c>
      <c r="SU21" t="s">
        <v>8324</v>
      </c>
      <c r="TD21" t="s">
        <v>8443</v>
      </c>
      <c r="TR21" t="s">
        <v>8614</v>
      </c>
      <c r="TV21" t="s">
        <v>8687</v>
      </c>
      <c r="UB21" t="s">
        <v>8771</v>
      </c>
      <c r="UC21" t="s">
        <v>8791</v>
      </c>
      <c r="UF21" t="s">
        <v>8826</v>
      </c>
      <c r="UH21" t="s">
        <v>8866</v>
      </c>
      <c r="UJ21" t="s">
        <v>8915</v>
      </c>
      <c r="UO21" t="s">
        <v>8997</v>
      </c>
      <c r="UR21" t="s">
        <v>9042</v>
      </c>
      <c r="UV21" t="s">
        <v>9107</v>
      </c>
      <c r="UY21" t="s">
        <v>9164</v>
      </c>
      <c r="VE21" t="s">
        <v>9244</v>
      </c>
      <c r="VI21" t="s">
        <v>9309</v>
      </c>
      <c r="VR21" t="s">
        <v>9418</v>
      </c>
      <c r="VT21" t="s">
        <v>9455</v>
      </c>
      <c r="VY21" t="s">
        <v>9521</v>
      </c>
      <c r="WD21" t="s">
        <v>9587</v>
      </c>
      <c r="WJ21" t="s">
        <v>9682</v>
      </c>
      <c r="WL21" t="s">
        <v>9712</v>
      </c>
      <c r="WR21" t="s">
        <v>9782</v>
      </c>
      <c r="WS21" t="s">
        <v>9810</v>
      </c>
      <c r="WU21" t="s">
        <v>9852</v>
      </c>
      <c r="XA21" t="s">
        <v>9954</v>
      </c>
      <c r="XC21" t="s">
        <v>9990</v>
      </c>
      <c r="XF21" t="s">
        <v>10040</v>
      </c>
      <c r="XM21" t="s">
        <v>10152</v>
      </c>
      <c r="XR21" t="s">
        <v>10215</v>
      </c>
      <c r="YB21" t="s">
        <v>10350</v>
      </c>
      <c r="YC21" t="s">
        <v>10370</v>
      </c>
      <c r="YD21" t="s">
        <v>10399</v>
      </c>
      <c r="YJ21" t="s">
        <v>10484</v>
      </c>
      <c r="YR21" t="s">
        <v>10593</v>
      </c>
      <c r="YT21" t="s">
        <v>10627</v>
      </c>
      <c r="YU21" t="s">
        <v>10651</v>
      </c>
      <c r="YW21" t="s">
        <v>10684</v>
      </c>
      <c r="YY21" t="s">
        <v>10720</v>
      </c>
      <c r="ZD21" t="s">
        <v>10797</v>
      </c>
      <c r="ZI21" t="s">
        <v>10863</v>
      </c>
      <c r="ZW21" t="s">
        <v>11072</v>
      </c>
    </row>
    <row r="22" spans="5:699" x14ac:dyDescent="0.25">
      <c r="F22" t="s">
        <v>1316</v>
      </c>
      <c r="I22" t="s">
        <v>1362</v>
      </c>
      <c r="N22" t="s">
        <v>1429</v>
      </c>
      <c r="Q22" t="s">
        <v>1474</v>
      </c>
      <c r="U22" t="s">
        <v>1548</v>
      </c>
      <c r="Z22" t="s">
        <v>1642</v>
      </c>
      <c r="AC22" t="s">
        <v>1687</v>
      </c>
      <c r="AS22" t="s">
        <v>1897</v>
      </c>
      <c r="AV22" t="s">
        <v>1951</v>
      </c>
      <c r="AZ22" t="s">
        <v>2020</v>
      </c>
      <c r="BD22" t="s">
        <v>2090</v>
      </c>
      <c r="BQ22" t="s">
        <v>2297</v>
      </c>
      <c r="BS22" t="s">
        <v>2331</v>
      </c>
      <c r="CB22" t="s">
        <v>2465</v>
      </c>
      <c r="CF22" t="s">
        <v>2521</v>
      </c>
      <c r="CW22" t="s">
        <v>2709</v>
      </c>
      <c r="DA22" t="s">
        <v>2772</v>
      </c>
      <c r="DE22" t="s">
        <v>2836</v>
      </c>
      <c r="DF22" t="s">
        <v>2858</v>
      </c>
      <c r="DJ22" t="s">
        <v>2929</v>
      </c>
      <c r="EC22" t="s">
        <v>3195</v>
      </c>
      <c r="EF22" t="s">
        <v>3247</v>
      </c>
      <c r="EQ22" t="s">
        <v>3388</v>
      </c>
      <c r="ES22" t="s">
        <v>3434</v>
      </c>
      <c r="FK22" t="s">
        <v>3633</v>
      </c>
      <c r="GN22" t="s">
        <v>3981</v>
      </c>
      <c r="GP22" t="s">
        <v>4024</v>
      </c>
      <c r="GT22" t="s">
        <v>4095</v>
      </c>
      <c r="GV22" t="s">
        <v>4128</v>
      </c>
      <c r="GW22" t="s">
        <v>4161</v>
      </c>
      <c r="HE22" t="s">
        <v>4274</v>
      </c>
      <c r="HG22" t="s">
        <v>4315</v>
      </c>
      <c r="HI22" t="s">
        <v>4353</v>
      </c>
      <c r="HR22" t="s">
        <v>4477</v>
      </c>
      <c r="HT22" t="s">
        <v>4509</v>
      </c>
      <c r="IJ22" t="s">
        <v>4691</v>
      </c>
      <c r="IO22" t="s">
        <v>4757</v>
      </c>
      <c r="IR22" t="s">
        <v>4814</v>
      </c>
      <c r="JA22" t="s">
        <v>4916</v>
      </c>
      <c r="JK22" t="s">
        <v>5044</v>
      </c>
      <c r="JL22" t="s">
        <v>5066</v>
      </c>
      <c r="JN22" t="s">
        <v>5099</v>
      </c>
      <c r="KK22" t="s">
        <v>5350</v>
      </c>
      <c r="KY22" t="s">
        <v>5548</v>
      </c>
      <c r="LE22" t="s">
        <v>5637</v>
      </c>
      <c r="LF22" t="s">
        <v>5658</v>
      </c>
      <c r="LP22" t="s">
        <v>5791</v>
      </c>
      <c r="LS22" t="s">
        <v>5830</v>
      </c>
      <c r="LZ22" t="s">
        <v>5923</v>
      </c>
      <c r="MI22" t="s">
        <v>6033</v>
      </c>
      <c r="NE22" t="s">
        <v>6282</v>
      </c>
      <c r="NG22" t="s">
        <v>6313</v>
      </c>
      <c r="NM22" t="s">
        <v>6419</v>
      </c>
      <c r="NN22" t="s">
        <v>6442</v>
      </c>
      <c r="NP22" t="s">
        <v>6480</v>
      </c>
      <c r="OB22" t="s">
        <v>6624</v>
      </c>
      <c r="OG22" t="s">
        <v>6692</v>
      </c>
      <c r="OH22" t="s">
        <v>6714</v>
      </c>
      <c r="PA22" t="s">
        <v>6963</v>
      </c>
      <c r="PL22" t="s">
        <v>7103</v>
      </c>
      <c r="PQ22" t="s">
        <v>7180</v>
      </c>
      <c r="PT22" t="s">
        <v>7233</v>
      </c>
      <c r="QI22" t="s">
        <v>7426</v>
      </c>
      <c r="QL22" t="s">
        <v>7464</v>
      </c>
      <c r="QN22" t="s">
        <v>7499</v>
      </c>
      <c r="QS22" t="s">
        <v>7585</v>
      </c>
      <c r="RC22" t="s">
        <v>7742</v>
      </c>
      <c r="RV22" t="s">
        <v>7978</v>
      </c>
      <c r="RZ22" t="s">
        <v>8034</v>
      </c>
      <c r="SD22" t="s">
        <v>8099</v>
      </c>
      <c r="SF22" t="s">
        <v>8130</v>
      </c>
      <c r="SH22" t="s">
        <v>8160</v>
      </c>
      <c r="SJ22" t="s">
        <v>8203</v>
      </c>
      <c r="SU22" t="s">
        <v>8325</v>
      </c>
      <c r="TD22" t="s">
        <v>8444</v>
      </c>
      <c r="TR22" t="s">
        <v>8615</v>
      </c>
      <c r="UF22" t="s">
        <v>8827</v>
      </c>
      <c r="UH22" t="s">
        <v>8867</v>
      </c>
      <c r="UJ22" t="s">
        <v>8916</v>
      </c>
      <c r="UR22" t="s">
        <v>9043</v>
      </c>
      <c r="UV22" t="s">
        <v>9108</v>
      </c>
      <c r="UY22" t="s">
        <v>9165</v>
      </c>
      <c r="VE22" t="s">
        <v>9245</v>
      </c>
      <c r="VR22" t="s">
        <v>9419</v>
      </c>
      <c r="VT22" t="s">
        <v>9456</v>
      </c>
      <c r="VY22" t="s">
        <v>9522</v>
      </c>
      <c r="WD22" t="s">
        <v>9588</v>
      </c>
      <c r="WR22" t="s">
        <v>9783</v>
      </c>
      <c r="WS22" t="s">
        <v>9811</v>
      </c>
      <c r="WU22" t="s">
        <v>9853</v>
      </c>
      <c r="XA22" t="s">
        <v>9955</v>
      </c>
      <c r="XR22" t="s">
        <v>10216</v>
      </c>
      <c r="YC22" t="s">
        <v>10371</v>
      </c>
      <c r="YJ22" t="s">
        <v>10485</v>
      </c>
      <c r="YT22" t="s">
        <v>10628</v>
      </c>
      <c r="YY22" t="s">
        <v>10721</v>
      </c>
      <c r="ZW22" t="s">
        <v>11073</v>
      </c>
    </row>
    <row r="23" spans="5:699" x14ac:dyDescent="0.25">
      <c r="I23" t="s">
        <v>1363</v>
      </c>
      <c r="N23" t="s">
        <v>1430</v>
      </c>
      <c r="Q23" t="s">
        <v>1475</v>
      </c>
      <c r="U23" t="s">
        <v>1549</v>
      </c>
      <c r="Z23" t="s">
        <v>1643</v>
      </c>
      <c r="AS23" t="s">
        <v>1898</v>
      </c>
      <c r="AV23" t="s">
        <v>1952</v>
      </c>
      <c r="AZ23" t="s">
        <v>2021</v>
      </c>
      <c r="BD23" t="s">
        <v>2091</v>
      </c>
      <c r="BQ23" t="s">
        <v>2298</v>
      </c>
      <c r="BS23" t="s">
        <v>2332</v>
      </c>
      <c r="CB23" t="s">
        <v>2466</v>
      </c>
      <c r="CW23" t="s">
        <v>2710</v>
      </c>
      <c r="DA23" t="s">
        <v>2773</v>
      </c>
      <c r="DE23" t="s">
        <v>2837</v>
      </c>
      <c r="DF23" t="s">
        <v>2859</v>
      </c>
      <c r="DJ23" t="s">
        <v>2930</v>
      </c>
      <c r="EC23" t="s">
        <v>3196</v>
      </c>
      <c r="EF23" t="s">
        <v>3248</v>
      </c>
      <c r="EQ23" t="s">
        <v>3389</v>
      </c>
      <c r="FK23" t="s">
        <v>3634</v>
      </c>
      <c r="GN23" t="s">
        <v>3982</v>
      </c>
      <c r="GP23" t="s">
        <v>4025</v>
      </c>
      <c r="GT23" t="s">
        <v>4096</v>
      </c>
      <c r="GV23" t="s">
        <v>4129</v>
      </c>
      <c r="HE23" t="s">
        <v>4275</v>
      </c>
      <c r="HG23" t="s">
        <v>4316</v>
      </c>
      <c r="HI23" t="s">
        <v>4354</v>
      </c>
      <c r="HR23" t="s">
        <v>4478</v>
      </c>
      <c r="HT23" t="s">
        <v>4510</v>
      </c>
      <c r="IJ23" t="s">
        <v>4692</v>
      </c>
      <c r="IO23" t="s">
        <v>4758</v>
      </c>
      <c r="JA23" t="s">
        <v>4917</v>
      </c>
      <c r="JK23" t="s">
        <v>5045</v>
      </c>
      <c r="JL23" t="s">
        <v>5067</v>
      </c>
      <c r="JN23" t="s">
        <v>5100</v>
      </c>
      <c r="KK23" t="s">
        <v>5351</v>
      </c>
      <c r="KY23" t="s">
        <v>5549</v>
      </c>
      <c r="LF23" t="s">
        <v>5659</v>
      </c>
      <c r="LP23" t="s">
        <v>5792</v>
      </c>
      <c r="LS23" t="s">
        <v>5831</v>
      </c>
      <c r="LZ23" t="s">
        <v>5924</v>
      </c>
      <c r="MI23" t="s">
        <v>6034</v>
      </c>
      <c r="NG23" t="s">
        <v>6314</v>
      </c>
      <c r="NM23" t="s">
        <v>6420</v>
      </c>
      <c r="NN23" t="s">
        <v>6443</v>
      </c>
      <c r="NP23" t="s">
        <v>6481</v>
      </c>
      <c r="OG23" t="s">
        <v>6693</v>
      </c>
      <c r="OH23" t="s">
        <v>6715</v>
      </c>
      <c r="PA23" t="s">
        <v>6964</v>
      </c>
      <c r="PL23" t="s">
        <v>7104</v>
      </c>
      <c r="PQ23" t="s">
        <v>7181</v>
      </c>
      <c r="PT23" t="s">
        <v>7234</v>
      </c>
      <c r="QI23" t="s">
        <v>7427</v>
      </c>
      <c r="QL23" t="s">
        <v>7465</v>
      </c>
      <c r="QN23" t="s">
        <v>7500</v>
      </c>
      <c r="QS23" t="s">
        <v>7586</v>
      </c>
      <c r="RC23" t="s">
        <v>7743</v>
      </c>
      <c r="RV23" t="s">
        <v>7979</v>
      </c>
      <c r="RZ23" t="s">
        <v>8035</v>
      </c>
      <c r="SD23" t="s">
        <v>8100</v>
      </c>
      <c r="SF23" t="s">
        <v>8131</v>
      </c>
      <c r="SH23" t="s">
        <v>8161</v>
      </c>
      <c r="SU23" t="s">
        <v>8326</v>
      </c>
      <c r="TD23" t="s">
        <v>8445</v>
      </c>
      <c r="TR23" t="s">
        <v>8616</v>
      </c>
      <c r="UF23" t="s">
        <v>8828</v>
      </c>
      <c r="UH23" t="s">
        <v>8868</v>
      </c>
      <c r="UJ23" t="s">
        <v>8917</v>
      </c>
      <c r="UR23" t="s">
        <v>9044</v>
      </c>
      <c r="UV23" t="s">
        <v>9109</v>
      </c>
      <c r="UY23" t="s">
        <v>9166</v>
      </c>
      <c r="VT23" t="s">
        <v>9457</v>
      </c>
      <c r="VY23" t="s">
        <v>9523</v>
      </c>
      <c r="WD23" t="s">
        <v>9589</v>
      </c>
      <c r="WR23" t="s">
        <v>9784</v>
      </c>
      <c r="WS23" t="s">
        <v>9812</v>
      </c>
      <c r="WU23" t="s">
        <v>9854</v>
      </c>
      <c r="XA23" t="s">
        <v>9956</v>
      </c>
      <c r="YC23" t="s">
        <v>10372</v>
      </c>
      <c r="YJ23" t="s">
        <v>10486</v>
      </c>
      <c r="YT23" t="s">
        <v>10629</v>
      </c>
    </row>
    <row r="24" spans="5:699" x14ac:dyDescent="0.25">
      <c r="N24" t="s">
        <v>1431</v>
      </c>
      <c r="U24" t="s">
        <v>1550</v>
      </c>
      <c r="Z24" t="s">
        <v>1644</v>
      </c>
      <c r="AV24" t="s">
        <v>1953</v>
      </c>
      <c r="AZ24" t="s">
        <v>2022</v>
      </c>
      <c r="BD24" t="s">
        <v>2092</v>
      </c>
      <c r="BQ24" t="s">
        <v>2299</v>
      </c>
      <c r="BS24" t="s">
        <v>2333</v>
      </c>
      <c r="CW24" t="s">
        <v>2711</v>
      </c>
      <c r="DA24" t="s">
        <v>2774</v>
      </c>
      <c r="DF24" t="s">
        <v>2860</v>
      </c>
      <c r="EC24" t="s">
        <v>3197</v>
      </c>
      <c r="EQ24" t="s">
        <v>3390</v>
      </c>
      <c r="FK24" t="s">
        <v>3635</v>
      </c>
      <c r="GN24" t="s">
        <v>3983</v>
      </c>
      <c r="GP24" t="s">
        <v>4026</v>
      </c>
      <c r="GT24" t="s">
        <v>4097</v>
      </c>
      <c r="GV24" t="s">
        <v>4130</v>
      </c>
      <c r="HE24" t="s">
        <v>4276</v>
      </c>
      <c r="HG24" t="s">
        <v>4317</v>
      </c>
      <c r="HI24" t="s">
        <v>4355</v>
      </c>
      <c r="HR24" t="s">
        <v>4479</v>
      </c>
      <c r="HT24" t="s">
        <v>4511</v>
      </c>
      <c r="IJ24" t="s">
        <v>4693</v>
      </c>
      <c r="IO24" t="s">
        <v>4759</v>
      </c>
      <c r="JA24" t="s">
        <v>4918</v>
      </c>
      <c r="JN24" t="s">
        <v>5101</v>
      </c>
      <c r="KK24" t="s">
        <v>5352</v>
      </c>
      <c r="KY24" t="s">
        <v>5550</v>
      </c>
      <c r="LF24" t="s">
        <v>5660</v>
      </c>
      <c r="LP24" t="s">
        <v>5793</v>
      </c>
      <c r="LS24" t="s">
        <v>5832</v>
      </c>
      <c r="LZ24" t="s">
        <v>5925</v>
      </c>
      <c r="MI24" t="s">
        <v>6035</v>
      </c>
      <c r="NG24" t="s">
        <v>6315</v>
      </c>
      <c r="NM24" t="s">
        <v>6421</v>
      </c>
      <c r="NP24" t="s">
        <v>6482</v>
      </c>
      <c r="OH24" t="s">
        <v>6716</v>
      </c>
      <c r="PA24" t="s">
        <v>6965</v>
      </c>
      <c r="PL24" t="s">
        <v>7105</v>
      </c>
      <c r="PQ24" t="s">
        <v>7182</v>
      </c>
      <c r="PT24" t="s">
        <v>7235</v>
      </c>
      <c r="QI24" t="s">
        <v>7428</v>
      </c>
      <c r="QL24" t="s">
        <v>7466</v>
      </c>
      <c r="QN24" t="s">
        <v>7501</v>
      </c>
      <c r="QS24" t="s">
        <v>7587</v>
      </c>
      <c r="RC24" t="s">
        <v>7744</v>
      </c>
      <c r="RV24" t="s">
        <v>7980</v>
      </c>
      <c r="RZ24" t="s">
        <v>8036</v>
      </c>
      <c r="SF24" t="s">
        <v>8132</v>
      </c>
      <c r="SH24" t="s">
        <v>8162</v>
      </c>
      <c r="SU24" t="s">
        <v>8327</v>
      </c>
      <c r="TD24" t="s">
        <v>8446</v>
      </c>
      <c r="TR24" t="s">
        <v>8617</v>
      </c>
      <c r="UF24" t="s">
        <v>8829</v>
      </c>
      <c r="UH24" t="s">
        <v>8869</v>
      </c>
      <c r="UJ24" t="s">
        <v>8918</v>
      </c>
      <c r="UR24" t="s">
        <v>9045</v>
      </c>
      <c r="UV24" t="s">
        <v>9110</v>
      </c>
      <c r="UY24" t="s">
        <v>9167</v>
      </c>
      <c r="VT24" t="s">
        <v>9458</v>
      </c>
      <c r="VY24" t="s">
        <v>9524</v>
      </c>
      <c r="WD24" t="s">
        <v>9590</v>
      </c>
      <c r="WR24" t="s">
        <v>9785</v>
      </c>
      <c r="WS24" t="s">
        <v>9813</v>
      </c>
      <c r="WU24" t="s">
        <v>9855</v>
      </c>
      <c r="YC24" t="s">
        <v>10373</v>
      </c>
      <c r="YJ24" t="s">
        <v>10487</v>
      </c>
      <c r="YT24" t="s">
        <v>10630</v>
      </c>
    </row>
    <row r="25" spans="5:699" x14ac:dyDescent="0.25">
      <c r="N25" t="s">
        <v>1432</v>
      </c>
      <c r="U25" t="s">
        <v>1551</v>
      </c>
      <c r="Z25" t="s">
        <v>1645</v>
      </c>
      <c r="AV25" t="s">
        <v>1954</v>
      </c>
      <c r="AZ25" t="s">
        <v>2023</v>
      </c>
      <c r="BD25" t="s">
        <v>2093</v>
      </c>
      <c r="BS25" t="s">
        <v>2334</v>
      </c>
      <c r="CW25" t="s">
        <v>2712</v>
      </c>
      <c r="DA25" t="s">
        <v>2775</v>
      </c>
      <c r="DF25" t="s">
        <v>2861</v>
      </c>
      <c r="EC25" t="s">
        <v>3198</v>
      </c>
      <c r="EQ25" t="s">
        <v>3391</v>
      </c>
      <c r="GN25" t="s">
        <v>3984</v>
      </c>
      <c r="GP25" t="s">
        <v>4027</v>
      </c>
      <c r="GV25" t="s">
        <v>4131</v>
      </c>
      <c r="HE25" t="s">
        <v>4277</v>
      </c>
      <c r="HG25" t="s">
        <v>4318</v>
      </c>
      <c r="HT25" t="s">
        <v>4512</v>
      </c>
      <c r="IJ25" t="s">
        <v>4694</v>
      </c>
      <c r="IO25" t="s">
        <v>4760</v>
      </c>
      <c r="JA25" t="s">
        <v>4919</v>
      </c>
      <c r="KK25" t="s">
        <v>5353</v>
      </c>
      <c r="KY25" t="s">
        <v>5551</v>
      </c>
      <c r="LF25" t="s">
        <v>5661</v>
      </c>
      <c r="LP25" t="s">
        <v>5794</v>
      </c>
      <c r="LZ25" t="s">
        <v>5926</v>
      </c>
      <c r="MI25" t="s">
        <v>6036</v>
      </c>
      <c r="NP25" t="s">
        <v>6483</v>
      </c>
      <c r="OH25" t="s">
        <v>6717</v>
      </c>
      <c r="PA25" t="s">
        <v>6966</v>
      </c>
      <c r="PL25" t="s">
        <v>7106</v>
      </c>
      <c r="PQ25" t="s">
        <v>7183</v>
      </c>
      <c r="PT25" t="s">
        <v>7236</v>
      </c>
      <c r="QN25" t="s">
        <v>7502</v>
      </c>
      <c r="QS25" t="s">
        <v>7588</v>
      </c>
      <c r="RC25" t="s">
        <v>7745</v>
      </c>
      <c r="RV25" t="s">
        <v>7981</v>
      </c>
      <c r="RZ25" t="s">
        <v>8037</v>
      </c>
      <c r="SF25" t="s">
        <v>8133</v>
      </c>
      <c r="SH25" t="s">
        <v>8163</v>
      </c>
      <c r="SU25" t="s">
        <v>8328</v>
      </c>
      <c r="TD25" t="s">
        <v>8447</v>
      </c>
      <c r="TR25" t="s">
        <v>8618</v>
      </c>
      <c r="UF25" t="s">
        <v>8830</v>
      </c>
      <c r="UH25" t="s">
        <v>8870</v>
      </c>
      <c r="UJ25" t="s">
        <v>8919</v>
      </c>
      <c r="UR25" t="s">
        <v>9046</v>
      </c>
      <c r="UV25" t="s">
        <v>9111</v>
      </c>
      <c r="VT25" t="s">
        <v>9459</v>
      </c>
      <c r="VY25" t="s">
        <v>9525</v>
      </c>
      <c r="WD25" t="s">
        <v>9591</v>
      </c>
      <c r="WR25" t="s">
        <v>9786</v>
      </c>
      <c r="WS25" t="s">
        <v>9814</v>
      </c>
      <c r="WU25" t="s">
        <v>9856</v>
      </c>
      <c r="YC25" t="s">
        <v>10374</v>
      </c>
      <c r="YT25" t="s">
        <v>10631</v>
      </c>
    </row>
    <row r="26" spans="5:699" x14ac:dyDescent="0.25">
      <c r="N26" t="s">
        <v>1433</v>
      </c>
      <c r="U26" t="s">
        <v>1552</v>
      </c>
      <c r="Z26" t="s">
        <v>1646</v>
      </c>
      <c r="AV26" t="s">
        <v>1955</v>
      </c>
      <c r="AZ26" t="s">
        <v>2024</v>
      </c>
      <c r="BD26" t="s">
        <v>2094</v>
      </c>
      <c r="CW26" t="s">
        <v>2713</v>
      </c>
      <c r="DA26" t="s">
        <v>2776</v>
      </c>
      <c r="DF26" t="s">
        <v>2862</v>
      </c>
      <c r="EC26" t="s">
        <v>3199</v>
      </c>
      <c r="EQ26" t="s">
        <v>3392</v>
      </c>
      <c r="GP26" t="s">
        <v>4028</v>
      </c>
      <c r="GV26" t="s">
        <v>4132</v>
      </c>
      <c r="HE26" t="s">
        <v>4278</v>
      </c>
      <c r="HG26" t="s">
        <v>4319</v>
      </c>
      <c r="HT26" t="s">
        <v>4513</v>
      </c>
      <c r="IO26" t="s">
        <v>4761</v>
      </c>
      <c r="JA26" t="s">
        <v>4920</v>
      </c>
      <c r="KK26" t="s">
        <v>5354</v>
      </c>
      <c r="KY26" t="s">
        <v>5552</v>
      </c>
      <c r="LF26" t="s">
        <v>5662</v>
      </c>
      <c r="LP26" t="s">
        <v>5795</v>
      </c>
      <c r="LZ26" t="s">
        <v>5927</v>
      </c>
      <c r="MI26" t="s">
        <v>6037</v>
      </c>
      <c r="OH26" t="s">
        <v>6718</v>
      </c>
      <c r="PA26" t="s">
        <v>6967</v>
      </c>
      <c r="PL26" t="s">
        <v>7107</v>
      </c>
      <c r="QN26" t="s">
        <v>7503</v>
      </c>
      <c r="QS26" t="s">
        <v>7589</v>
      </c>
      <c r="RC26" t="s">
        <v>7746</v>
      </c>
      <c r="RZ26" t="s">
        <v>8038</v>
      </c>
      <c r="SH26" t="s">
        <v>8164</v>
      </c>
      <c r="SU26" t="s">
        <v>8329</v>
      </c>
      <c r="TD26" t="s">
        <v>8448</v>
      </c>
      <c r="TR26" t="s">
        <v>8619</v>
      </c>
      <c r="UH26" t="s">
        <v>8871</v>
      </c>
      <c r="UJ26" t="s">
        <v>8920</v>
      </c>
      <c r="UR26" t="s">
        <v>9047</v>
      </c>
      <c r="UV26" t="s">
        <v>9112</v>
      </c>
      <c r="VT26" t="s">
        <v>9460</v>
      </c>
      <c r="VY26" t="s">
        <v>9526</v>
      </c>
      <c r="WD26" t="s">
        <v>9592</v>
      </c>
      <c r="WR26" t="s">
        <v>9787</v>
      </c>
      <c r="WS26" t="s">
        <v>9815</v>
      </c>
      <c r="WU26" t="s">
        <v>9857</v>
      </c>
      <c r="YC26" t="s">
        <v>10375</v>
      </c>
    </row>
    <row r="27" spans="5:699" x14ac:dyDescent="0.25">
      <c r="N27" t="s">
        <v>1434</v>
      </c>
      <c r="U27" t="s">
        <v>1553</v>
      </c>
      <c r="Z27" t="s">
        <v>1647</v>
      </c>
      <c r="AV27" t="s">
        <v>1956</v>
      </c>
      <c r="AZ27" t="s">
        <v>2025</v>
      </c>
      <c r="BD27" t="s">
        <v>2095</v>
      </c>
      <c r="CW27" t="s">
        <v>2714</v>
      </c>
      <c r="DA27" t="s">
        <v>2777</v>
      </c>
      <c r="DF27" t="s">
        <v>2863</v>
      </c>
      <c r="EC27" t="s">
        <v>3200</v>
      </c>
      <c r="EQ27" t="s">
        <v>3393</v>
      </c>
      <c r="GP27" t="s">
        <v>4029</v>
      </c>
      <c r="GV27" t="s">
        <v>4133</v>
      </c>
      <c r="HE27" t="s">
        <v>4279</v>
      </c>
      <c r="HG27" t="s">
        <v>4320</v>
      </c>
      <c r="HT27" t="s">
        <v>4514</v>
      </c>
      <c r="IO27" t="s">
        <v>4762</v>
      </c>
      <c r="KK27" t="s">
        <v>5355</v>
      </c>
      <c r="LF27" t="s">
        <v>5663</v>
      </c>
      <c r="LZ27" t="s">
        <v>5928</v>
      </c>
      <c r="MI27" t="s">
        <v>6038</v>
      </c>
      <c r="OH27" t="s">
        <v>6719</v>
      </c>
      <c r="PA27" t="s">
        <v>6968</v>
      </c>
      <c r="PL27" t="s">
        <v>7108</v>
      </c>
      <c r="QN27" t="s">
        <v>7504</v>
      </c>
      <c r="QS27" t="s">
        <v>7590</v>
      </c>
      <c r="RC27" t="s">
        <v>7747</v>
      </c>
      <c r="RZ27" t="s">
        <v>8039</v>
      </c>
      <c r="SH27" t="s">
        <v>8165</v>
      </c>
      <c r="SU27" t="s">
        <v>8330</v>
      </c>
      <c r="TD27" t="s">
        <v>8449</v>
      </c>
      <c r="TR27" t="s">
        <v>8620</v>
      </c>
      <c r="UH27" t="s">
        <v>8872</v>
      </c>
      <c r="UJ27" t="s">
        <v>8921</v>
      </c>
      <c r="UV27" t="s">
        <v>9113</v>
      </c>
      <c r="VT27" t="s">
        <v>9461</v>
      </c>
      <c r="VY27" t="s">
        <v>9527</v>
      </c>
      <c r="WD27" t="s">
        <v>9593</v>
      </c>
      <c r="WR27" t="s">
        <v>9788</v>
      </c>
      <c r="WS27" t="s">
        <v>9816</v>
      </c>
      <c r="WU27" t="s">
        <v>9858</v>
      </c>
      <c r="YC27" t="s">
        <v>10376</v>
      </c>
    </row>
    <row r="28" spans="5:699" x14ac:dyDescent="0.25">
      <c r="N28" t="s">
        <v>1435</v>
      </c>
      <c r="U28" t="s">
        <v>1554</v>
      </c>
      <c r="AV28" t="s">
        <v>1957</v>
      </c>
      <c r="AZ28" t="s">
        <v>2026</v>
      </c>
      <c r="BD28" t="s">
        <v>2096</v>
      </c>
      <c r="CW28" t="s">
        <v>2715</v>
      </c>
      <c r="DA28" t="s">
        <v>2778</v>
      </c>
      <c r="DF28" t="s">
        <v>2864</v>
      </c>
      <c r="EC28" t="s">
        <v>3201</v>
      </c>
      <c r="GP28" t="s">
        <v>4030</v>
      </c>
      <c r="GV28" t="s">
        <v>4134</v>
      </c>
      <c r="HE28" t="s">
        <v>4280</v>
      </c>
      <c r="HG28" t="s">
        <v>4321</v>
      </c>
      <c r="HT28" t="s">
        <v>4515</v>
      </c>
      <c r="IO28" t="s">
        <v>4763</v>
      </c>
      <c r="KK28" t="s">
        <v>5356</v>
      </c>
      <c r="LF28" t="s">
        <v>5664</v>
      </c>
      <c r="MI28" t="s">
        <v>6039</v>
      </c>
      <c r="PA28" t="s">
        <v>6969</v>
      </c>
      <c r="PL28" t="s">
        <v>7109</v>
      </c>
      <c r="QN28" t="s">
        <v>7505</v>
      </c>
      <c r="QS28" t="s">
        <v>7591</v>
      </c>
      <c r="RC28" t="s">
        <v>7748</v>
      </c>
      <c r="RZ28" t="s">
        <v>8040</v>
      </c>
      <c r="SH28" t="s">
        <v>8166</v>
      </c>
      <c r="TD28" t="s">
        <v>8450</v>
      </c>
      <c r="TR28" t="s">
        <v>8621</v>
      </c>
      <c r="UH28" t="s">
        <v>8873</v>
      </c>
      <c r="UJ28" t="s">
        <v>8922</v>
      </c>
      <c r="UV28" t="s">
        <v>9114</v>
      </c>
      <c r="VT28" t="s">
        <v>9462</v>
      </c>
      <c r="VY28" t="s">
        <v>9528</v>
      </c>
      <c r="WD28" t="s">
        <v>9594</v>
      </c>
      <c r="WR28" t="s">
        <v>9789</v>
      </c>
      <c r="WS28" t="s">
        <v>9817</v>
      </c>
      <c r="WU28" t="s">
        <v>9859</v>
      </c>
      <c r="YC28" t="s">
        <v>10377</v>
      </c>
    </row>
    <row r="29" spans="5:699" x14ac:dyDescent="0.25">
      <c r="N29" t="s">
        <v>1436</v>
      </c>
      <c r="U29" t="s">
        <v>1555</v>
      </c>
      <c r="AV29" t="s">
        <v>1958</v>
      </c>
      <c r="BD29" t="s">
        <v>2097</v>
      </c>
      <c r="CW29" t="s">
        <v>2716</v>
      </c>
      <c r="DA29" t="s">
        <v>2779</v>
      </c>
      <c r="DF29" t="s">
        <v>2865</v>
      </c>
      <c r="EC29" t="s">
        <v>3202</v>
      </c>
      <c r="GP29" t="s">
        <v>4031</v>
      </c>
      <c r="GV29" t="s">
        <v>4135</v>
      </c>
      <c r="HE29" t="s">
        <v>4281</v>
      </c>
      <c r="HG29" t="s">
        <v>4322</v>
      </c>
      <c r="IO29" t="s">
        <v>4764</v>
      </c>
      <c r="KK29" t="s">
        <v>5357</v>
      </c>
      <c r="LF29" t="s">
        <v>5665</v>
      </c>
      <c r="MI29" t="s">
        <v>6040</v>
      </c>
      <c r="PA29" t="s">
        <v>6970</v>
      </c>
      <c r="PL29" t="s">
        <v>7110</v>
      </c>
      <c r="QN29" t="s">
        <v>7506</v>
      </c>
      <c r="QS29" t="s">
        <v>7592</v>
      </c>
      <c r="RC29" t="s">
        <v>7749</v>
      </c>
      <c r="RZ29" t="s">
        <v>8041</v>
      </c>
      <c r="SH29" t="s">
        <v>8167</v>
      </c>
      <c r="TD29" t="s">
        <v>8451</v>
      </c>
      <c r="TR29" t="s">
        <v>8622</v>
      </c>
      <c r="UH29" t="s">
        <v>8874</v>
      </c>
      <c r="UJ29" t="s">
        <v>8923</v>
      </c>
      <c r="UV29" t="s">
        <v>9115</v>
      </c>
      <c r="VT29" t="s">
        <v>9463</v>
      </c>
      <c r="VY29" t="s">
        <v>9529</v>
      </c>
      <c r="WD29" t="s">
        <v>9595</v>
      </c>
      <c r="WR29" t="s">
        <v>9790</v>
      </c>
      <c r="WS29" t="s">
        <v>9818</v>
      </c>
      <c r="YC29" t="s">
        <v>10378</v>
      </c>
    </row>
    <row r="30" spans="5:699" x14ac:dyDescent="0.25">
      <c r="U30" t="s">
        <v>1556</v>
      </c>
      <c r="AV30" t="s">
        <v>1959</v>
      </c>
      <c r="BD30" t="s">
        <v>2098</v>
      </c>
      <c r="CW30" t="s">
        <v>2717</v>
      </c>
      <c r="DA30" t="s">
        <v>2780</v>
      </c>
      <c r="DF30" t="s">
        <v>2866</v>
      </c>
      <c r="GP30" t="s">
        <v>4032</v>
      </c>
      <c r="GV30" t="s">
        <v>4136</v>
      </c>
      <c r="HE30" t="s">
        <v>4282</v>
      </c>
      <c r="HG30" t="s">
        <v>4323</v>
      </c>
      <c r="IO30" t="s">
        <v>4765</v>
      </c>
      <c r="LF30" t="s">
        <v>5666</v>
      </c>
      <c r="PL30" t="s">
        <v>7111</v>
      </c>
      <c r="QN30" t="s">
        <v>7507</v>
      </c>
      <c r="QS30" t="s">
        <v>7593</v>
      </c>
      <c r="RC30" t="s">
        <v>7750</v>
      </c>
      <c r="RZ30" t="s">
        <v>8042</v>
      </c>
      <c r="SH30" t="s">
        <v>8168</v>
      </c>
      <c r="TD30" t="s">
        <v>8452</v>
      </c>
      <c r="TR30" t="s">
        <v>8623</v>
      </c>
      <c r="UH30" t="s">
        <v>8875</v>
      </c>
      <c r="UJ30" t="s">
        <v>8924</v>
      </c>
      <c r="UV30" t="s">
        <v>9116</v>
      </c>
      <c r="VT30" t="s">
        <v>9464</v>
      </c>
      <c r="WD30" t="s">
        <v>9596</v>
      </c>
      <c r="WS30" t="s">
        <v>9819</v>
      </c>
      <c r="YC30" t="s">
        <v>10379</v>
      </c>
    </row>
    <row r="31" spans="5:699" x14ac:dyDescent="0.25">
      <c r="U31" t="s">
        <v>1557</v>
      </c>
      <c r="AV31" t="s">
        <v>1960</v>
      </c>
      <c r="BD31" t="s">
        <v>2099</v>
      </c>
      <c r="CW31" t="s">
        <v>2718</v>
      </c>
      <c r="DA31" t="s">
        <v>2781</v>
      </c>
      <c r="DF31" t="s">
        <v>2867</v>
      </c>
      <c r="GP31" t="s">
        <v>4033</v>
      </c>
      <c r="GV31" t="s">
        <v>4137</v>
      </c>
      <c r="HG31" t="s">
        <v>4324</v>
      </c>
      <c r="IO31" t="s">
        <v>4766</v>
      </c>
      <c r="PL31" t="s">
        <v>7112</v>
      </c>
      <c r="QN31" t="s">
        <v>7508</v>
      </c>
      <c r="QS31" t="s">
        <v>7594</v>
      </c>
      <c r="RC31" t="s">
        <v>7751</v>
      </c>
      <c r="RZ31" t="s">
        <v>8043</v>
      </c>
      <c r="TR31" t="s">
        <v>8624</v>
      </c>
      <c r="UH31" t="s">
        <v>8876</v>
      </c>
      <c r="UJ31" t="s">
        <v>8925</v>
      </c>
      <c r="UV31" t="s">
        <v>9117</v>
      </c>
      <c r="VT31" t="s">
        <v>9465</v>
      </c>
      <c r="WD31" t="s">
        <v>9597</v>
      </c>
      <c r="WS31" t="s">
        <v>9820</v>
      </c>
    </row>
    <row r="32" spans="5:699" x14ac:dyDescent="0.25">
      <c r="U32" t="s">
        <v>1558</v>
      </c>
      <c r="AV32" t="s">
        <v>1961</v>
      </c>
      <c r="BD32" t="s">
        <v>2100</v>
      </c>
      <c r="CW32" t="s">
        <v>2719</v>
      </c>
      <c r="DA32" t="s">
        <v>2782</v>
      </c>
      <c r="DF32" t="s">
        <v>2868</v>
      </c>
      <c r="GP32" t="s">
        <v>4034</v>
      </c>
      <c r="GV32" t="s">
        <v>4138</v>
      </c>
      <c r="HG32" t="s">
        <v>4325</v>
      </c>
      <c r="IO32" t="s">
        <v>4767</v>
      </c>
      <c r="QN32" t="s">
        <v>7509</v>
      </c>
      <c r="QS32" t="s">
        <v>7595</v>
      </c>
      <c r="RC32" t="s">
        <v>7752</v>
      </c>
      <c r="RZ32" t="s">
        <v>8044</v>
      </c>
      <c r="TR32" t="s">
        <v>8625</v>
      </c>
      <c r="UH32" t="s">
        <v>8877</v>
      </c>
      <c r="UJ32" t="s">
        <v>8926</v>
      </c>
      <c r="VT32" t="s">
        <v>9466</v>
      </c>
      <c r="WD32" t="s">
        <v>9598</v>
      </c>
      <c r="WS32" t="s">
        <v>9821</v>
      </c>
    </row>
    <row r="33" spans="21:617" x14ac:dyDescent="0.25">
      <c r="U33" t="s">
        <v>1559</v>
      </c>
      <c r="AV33" t="s">
        <v>1962</v>
      </c>
      <c r="BD33" t="s">
        <v>2101</v>
      </c>
      <c r="DA33" t="s">
        <v>2783</v>
      </c>
      <c r="DF33" t="s">
        <v>2869</v>
      </c>
      <c r="GP33" t="s">
        <v>4035</v>
      </c>
      <c r="GV33" t="s">
        <v>4139</v>
      </c>
      <c r="IO33" t="s">
        <v>4768</v>
      </c>
      <c r="QS33" t="s">
        <v>7596</v>
      </c>
      <c r="RC33" t="s">
        <v>7753</v>
      </c>
      <c r="RZ33" t="s">
        <v>8045</v>
      </c>
      <c r="TR33" t="s">
        <v>8626</v>
      </c>
      <c r="UH33" t="s">
        <v>8878</v>
      </c>
      <c r="UJ33" t="s">
        <v>8927</v>
      </c>
      <c r="VT33" t="s">
        <v>9467</v>
      </c>
      <c r="WD33" t="s">
        <v>9599</v>
      </c>
      <c r="WS33" t="s">
        <v>9822</v>
      </c>
    </row>
    <row r="34" spans="21:617" x14ac:dyDescent="0.25">
      <c r="U34" t="s">
        <v>1560</v>
      </c>
      <c r="BD34" t="s">
        <v>2102</v>
      </c>
      <c r="DF34" t="s">
        <v>2870</v>
      </c>
      <c r="GP34" t="s">
        <v>4036</v>
      </c>
      <c r="GV34" t="s">
        <v>4140</v>
      </c>
      <c r="QS34" t="s">
        <v>7597</v>
      </c>
      <c r="RZ34" t="s">
        <v>8046</v>
      </c>
      <c r="TR34" t="s">
        <v>8627</v>
      </c>
      <c r="UH34" t="s">
        <v>8879</v>
      </c>
      <c r="UJ34" t="s">
        <v>8928</v>
      </c>
      <c r="VT34" t="s">
        <v>9468</v>
      </c>
      <c r="WD34" t="s">
        <v>9600</v>
      </c>
      <c r="WS34" t="s">
        <v>9823</v>
      </c>
    </row>
    <row r="35" spans="21:617" x14ac:dyDescent="0.25">
      <c r="U35" t="s">
        <v>1561</v>
      </c>
      <c r="BD35" t="s">
        <v>2103</v>
      </c>
      <c r="DF35" t="s">
        <v>2871</v>
      </c>
      <c r="GP35" t="s">
        <v>4037</v>
      </c>
      <c r="QS35" t="s">
        <v>7598</v>
      </c>
      <c r="RZ35" t="s">
        <v>8047</v>
      </c>
      <c r="TR35" t="s">
        <v>8628</v>
      </c>
      <c r="UH35" t="s">
        <v>8880</v>
      </c>
      <c r="VT35" t="s">
        <v>9469</v>
      </c>
      <c r="WS35" t="s">
        <v>9824</v>
      </c>
    </row>
    <row r="36" spans="21:617" x14ac:dyDescent="0.25">
      <c r="U36" t="s">
        <v>1562</v>
      </c>
      <c r="BD36" t="s">
        <v>2104</v>
      </c>
      <c r="DF36" t="s">
        <v>2872</v>
      </c>
      <c r="GP36" t="s">
        <v>4038</v>
      </c>
      <c r="QS36" t="s">
        <v>7599</v>
      </c>
      <c r="RZ36" t="s">
        <v>8048</v>
      </c>
      <c r="TR36" t="s">
        <v>8629</v>
      </c>
      <c r="UH36" t="s">
        <v>8881</v>
      </c>
      <c r="WS36" t="s">
        <v>9825</v>
      </c>
    </row>
    <row r="37" spans="21:617" x14ac:dyDescent="0.25">
      <c r="U37" t="s">
        <v>1563</v>
      </c>
      <c r="BD37" t="s">
        <v>2105</v>
      </c>
      <c r="DF37" t="s">
        <v>2873</v>
      </c>
      <c r="GP37" t="s">
        <v>4039</v>
      </c>
      <c r="QS37" t="s">
        <v>7600</v>
      </c>
      <c r="TR37" t="s">
        <v>8630</v>
      </c>
      <c r="UH37" t="s">
        <v>8882</v>
      </c>
    </row>
    <row r="38" spans="21:617" x14ac:dyDescent="0.25">
      <c r="U38" t="s">
        <v>1564</v>
      </c>
      <c r="DF38" t="s">
        <v>2874</v>
      </c>
      <c r="GP38" t="s">
        <v>4040</v>
      </c>
    </row>
    <row r="39" spans="21:617" x14ac:dyDescent="0.25">
      <c r="GP39" t="s">
        <v>4041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151"/>
  <sheetViews>
    <sheetView workbookViewId="0"/>
  </sheetViews>
  <sheetFormatPr defaultRowHeight="15" x14ac:dyDescent="0.25"/>
  <sheetData>
    <row r="1" spans="1:1" x14ac:dyDescent="0.25">
      <c r="A1" t="s">
        <v>11074</v>
      </c>
    </row>
    <row r="2" spans="1:1" x14ac:dyDescent="0.25">
      <c r="A2" t="s">
        <v>11075</v>
      </c>
    </row>
    <row r="3" spans="1:1" x14ac:dyDescent="0.25">
      <c r="A3" t="s">
        <v>11076</v>
      </c>
    </row>
    <row r="4" spans="1:1" x14ac:dyDescent="0.25">
      <c r="A4" t="s">
        <v>11077</v>
      </c>
    </row>
    <row r="5" spans="1:1" x14ac:dyDescent="0.25">
      <c r="A5" t="s">
        <v>11078</v>
      </c>
    </row>
    <row r="6" spans="1:1" x14ac:dyDescent="0.25">
      <c r="A6" t="s">
        <v>11079</v>
      </c>
    </row>
    <row r="7" spans="1:1" x14ac:dyDescent="0.25">
      <c r="A7" t="s">
        <v>11080</v>
      </c>
    </row>
    <row r="8" spans="1:1" x14ac:dyDescent="0.25">
      <c r="A8" t="s">
        <v>11081</v>
      </c>
    </row>
    <row r="9" spans="1:1" x14ac:dyDescent="0.25">
      <c r="A9" t="s">
        <v>11082</v>
      </c>
    </row>
    <row r="10" spans="1:1" x14ac:dyDescent="0.25">
      <c r="A10" t="s">
        <v>11083</v>
      </c>
    </row>
    <row r="11" spans="1:1" x14ac:dyDescent="0.25">
      <c r="A11" t="s">
        <v>11084</v>
      </c>
    </row>
    <row r="12" spans="1:1" x14ac:dyDescent="0.25">
      <c r="A12" t="s">
        <v>11085</v>
      </c>
    </row>
    <row r="13" spans="1:1" x14ac:dyDescent="0.25">
      <c r="A13" t="s">
        <v>11086</v>
      </c>
    </row>
    <row r="14" spans="1:1" x14ac:dyDescent="0.25">
      <c r="A14" t="s">
        <v>11087</v>
      </c>
    </row>
    <row r="15" spans="1:1" x14ac:dyDescent="0.25">
      <c r="A15" t="s">
        <v>11088</v>
      </c>
    </row>
    <row r="16" spans="1:1" x14ac:dyDescent="0.25">
      <c r="A16" t="s">
        <v>11089</v>
      </c>
    </row>
    <row r="17" spans="1:1" x14ac:dyDescent="0.25">
      <c r="A17" t="s">
        <v>11090</v>
      </c>
    </row>
    <row r="18" spans="1:1" x14ac:dyDescent="0.25">
      <c r="A18" t="s">
        <v>11091</v>
      </c>
    </row>
    <row r="19" spans="1:1" x14ac:dyDescent="0.25">
      <c r="A19" t="s">
        <v>11092</v>
      </c>
    </row>
    <row r="20" spans="1:1" x14ac:dyDescent="0.25">
      <c r="A20" t="s">
        <v>11093</v>
      </c>
    </row>
    <row r="21" spans="1:1" x14ac:dyDescent="0.25">
      <c r="A21" t="s">
        <v>11094</v>
      </c>
    </row>
    <row r="22" spans="1:1" x14ac:dyDescent="0.25">
      <c r="A22" t="s">
        <v>11095</v>
      </c>
    </row>
    <row r="23" spans="1:1" x14ac:dyDescent="0.25">
      <c r="A23" t="s">
        <v>11096</v>
      </c>
    </row>
    <row r="24" spans="1:1" x14ac:dyDescent="0.25">
      <c r="A24" t="s">
        <v>11097</v>
      </c>
    </row>
    <row r="25" spans="1:1" x14ac:dyDescent="0.25">
      <c r="A25" t="s">
        <v>11098</v>
      </c>
    </row>
    <row r="26" spans="1:1" x14ac:dyDescent="0.25">
      <c r="A26" t="s">
        <v>11099</v>
      </c>
    </row>
    <row r="27" spans="1:1" x14ac:dyDescent="0.25">
      <c r="A27" t="s">
        <v>11100</v>
      </c>
    </row>
    <row r="28" spans="1:1" x14ac:dyDescent="0.25">
      <c r="A28" t="s">
        <v>11101</v>
      </c>
    </row>
    <row r="29" spans="1:1" x14ac:dyDescent="0.25">
      <c r="A29" t="s">
        <v>11102</v>
      </c>
    </row>
    <row r="30" spans="1:1" x14ac:dyDescent="0.25">
      <c r="A30" t="s">
        <v>11103</v>
      </c>
    </row>
    <row r="31" spans="1:1" x14ac:dyDescent="0.25">
      <c r="A31" t="s">
        <v>11104</v>
      </c>
    </row>
    <row r="32" spans="1:1" x14ac:dyDescent="0.25">
      <c r="A32" t="s">
        <v>11105</v>
      </c>
    </row>
    <row r="33" spans="1:1" x14ac:dyDescent="0.25">
      <c r="A33" t="s">
        <v>11106</v>
      </c>
    </row>
    <row r="34" spans="1:1" x14ac:dyDescent="0.25">
      <c r="A34" t="s">
        <v>11107</v>
      </c>
    </row>
    <row r="35" spans="1:1" x14ac:dyDescent="0.25">
      <c r="A35" t="s">
        <v>11108</v>
      </c>
    </row>
    <row r="36" spans="1:1" x14ac:dyDescent="0.25">
      <c r="A36" t="s">
        <v>11109</v>
      </c>
    </row>
    <row r="37" spans="1:1" x14ac:dyDescent="0.25">
      <c r="A37" t="s">
        <v>11110</v>
      </c>
    </row>
    <row r="38" spans="1:1" x14ac:dyDescent="0.25">
      <c r="A38" t="s">
        <v>11111</v>
      </c>
    </row>
    <row r="39" spans="1:1" x14ac:dyDescent="0.25">
      <c r="A39" t="s">
        <v>11112</v>
      </c>
    </row>
    <row r="40" spans="1:1" x14ac:dyDescent="0.25">
      <c r="A40" t="s">
        <v>11113</v>
      </c>
    </row>
    <row r="41" spans="1:1" x14ac:dyDescent="0.25">
      <c r="A41" t="s">
        <v>11114</v>
      </c>
    </row>
    <row r="42" spans="1:1" x14ac:dyDescent="0.25">
      <c r="A42" t="s">
        <v>11115</v>
      </c>
    </row>
    <row r="43" spans="1:1" x14ac:dyDescent="0.25">
      <c r="A43" t="s">
        <v>11116</v>
      </c>
    </row>
    <row r="44" spans="1:1" x14ac:dyDescent="0.25">
      <c r="A44" t="s">
        <v>11117</v>
      </c>
    </row>
    <row r="45" spans="1:1" x14ac:dyDescent="0.25">
      <c r="A45" t="s">
        <v>11118</v>
      </c>
    </row>
    <row r="46" spans="1:1" x14ac:dyDescent="0.25">
      <c r="A46" t="s">
        <v>11119</v>
      </c>
    </row>
    <row r="47" spans="1:1" x14ac:dyDescent="0.25">
      <c r="A47" t="s">
        <v>11120</v>
      </c>
    </row>
    <row r="48" spans="1:1" x14ac:dyDescent="0.25">
      <c r="A48" t="s">
        <v>11121</v>
      </c>
    </row>
    <row r="49" spans="1:1" x14ac:dyDescent="0.25">
      <c r="A49" t="s">
        <v>11122</v>
      </c>
    </row>
    <row r="50" spans="1:1" x14ac:dyDescent="0.25">
      <c r="A50" t="s">
        <v>11123</v>
      </c>
    </row>
    <row r="51" spans="1:1" x14ac:dyDescent="0.25">
      <c r="A51" t="s">
        <v>11124</v>
      </c>
    </row>
    <row r="52" spans="1:1" x14ac:dyDescent="0.25">
      <c r="A52" t="s">
        <v>11125</v>
      </c>
    </row>
    <row r="53" spans="1:1" x14ac:dyDescent="0.25">
      <c r="A53" t="s">
        <v>11126</v>
      </c>
    </row>
    <row r="54" spans="1:1" x14ac:dyDescent="0.25">
      <c r="A54" t="s">
        <v>11127</v>
      </c>
    </row>
    <row r="55" spans="1:1" x14ac:dyDescent="0.25">
      <c r="A55" t="s">
        <v>11128</v>
      </c>
    </row>
    <row r="56" spans="1:1" x14ac:dyDescent="0.25">
      <c r="A56" t="s">
        <v>11129</v>
      </c>
    </row>
    <row r="57" spans="1:1" x14ac:dyDescent="0.25">
      <c r="A57" t="s">
        <v>11130</v>
      </c>
    </row>
    <row r="58" spans="1:1" x14ac:dyDescent="0.25">
      <c r="A58" t="s">
        <v>11131</v>
      </c>
    </row>
    <row r="59" spans="1:1" x14ac:dyDescent="0.25">
      <c r="A59" t="s">
        <v>11132</v>
      </c>
    </row>
    <row r="60" spans="1:1" x14ac:dyDescent="0.25">
      <c r="A60" t="s">
        <v>11133</v>
      </c>
    </row>
    <row r="61" spans="1:1" x14ac:dyDescent="0.25">
      <c r="A61" t="s">
        <v>11134</v>
      </c>
    </row>
    <row r="62" spans="1:1" x14ac:dyDescent="0.25">
      <c r="A62" t="s">
        <v>11135</v>
      </c>
    </row>
    <row r="63" spans="1:1" x14ac:dyDescent="0.25">
      <c r="A63" t="s">
        <v>11136</v>
      </c>
    </row>
    <row r="64" spans="1:1" x14ac:dyDescent="0.25">
      <c r="A64" t="s">
        <v>11137</v>
      </c>
    </row>
    <row r="65" spans="1:1" x14ac:dyDescent="0.25">
      <c r="A65" t="s">
        <v>11138</v>
      </c>
    </row>
    <row r="66" spans="1:1" x14ac:dyDescent="0.25">
      <c r="A66" t="s">
        <v>11139</v>
      </c>
    </row>
    <row r="67" spans="1:1" x14ac:dyDescent="0.25">
      <c r="A67" t="s">
        <v>11140</v>
      </c>
    </row>
    <row r="68" spans="1:1" x14ac:dyDescent="0.25">
      <c r="A68" t="s">
        <v>11141</v>
      </c>
    </row>
    <row r="69" spans="1:1" x14ac:dyDescent="0.25">
      <c r="A69" t="s">
        <v>11142</v>
      </c>
    </row>
    <row r="70" spans="1:1" x14ac:dyDescent="0.25">
      <c r="A70" t="s">
        <v>11143</v>
      </c>
    </row>
    <row r="71" spans="1:1" x14ac:dyDescent="0.25">
      <c r="A71" t="s">
        <v>11144</v>
      </c>
    </row>
    <row r="72" spans="1:1" x14ac:dyDescent="0.25">
      <c r="A72" t="s">
        <v>11145</v>
      </c>
    </row>
    <row r="73" spans="1:1" x14ac:dyDescent="0.25">
      <c r="A73" t="s">
        <v>11146</v>
      </c>
    </row>
    <row r="74" spans="1:1" x14ac:dyDescent="0.25">
      <c r="A74" t="s">
        <v>11147</v>
      </c>
    </row>
    <row r="75" spans="1:1" x14ac:dyDescent="0.25">
      <c r="A75" t="s">
        <v>11148</v>
      </c>
    </row>
    <row r="76" spans="1:1" x14ac:dyDescent="0.25">
      <c r="A76" t="s">
        <v>11149</v>
      </c>
    </row>
    <row r="77" spans="1:1" x14ac:dyDescent="0.25">
      <c r="A77" t="s">
        <v>11150</v>
      </c>
    </row>
    <row r="78" spans="1:1" x14ac:dyDescent="0.25">
      <c r="A78" t="s">
        <v>11151</v>
      </c>
    </row>
    <row r="79" spans="1:1" x14ac:dyDescent="0.25">
      <c r="A79" t="s">
        <v>11152</v>
      </c>
    </row>
    <row r="80" spans="1:1" x14ac:dyDescent="0.25">
      <c r="A80" t="s">
        <v>11153</v>
      </c>
    </row>
    <row r="81" spans="1:1" x14ac:dyDescent="0.25">
      <c r="A81" t="s">
        <v>11154</v>
      </c>
    </row>
    <row r="82" spans="1:1" x14ac:dyDescent="0.25">
      <c r="A82" t="s">
        <v>11155</v>
      </c>
    </row>
    <row r="83" spans="1:1" x14ac:dyDescent="0.25">
      <c r="A83" t="s">
        <v>11156</v>
      </c>
    </row>
    <row r="84" spans="1:1" x14ac:dyDescent="0.25">
      <c r="A84" t="s">
        <v>11157</v>
      </c>
    </row>
    <row r="85" spans="1:1" x14ac:dyDescent="0.25">
      <c r="A85" t="s">
        <v>11158</v>
      </c>
    </row>
    <row r="86" spans="1:1" x14ac:dyDescent="0.25">
      <c r="A86" t="s">
        <v>11159</v>
      </c>
    </row>
    <row r="87" spans="1:1" x14ac:dyDescent="0.25">
      <c r="A87" t="s">
        <v>11160</v>
      </c>
    </row>
    <row r="88" spans="1:1" x14ac:dyDescent="0.25">
      <c r="A88" t="s">
        <v>11161</v>
      </c>
    </row>
    <row r="89" spans="1:1" x14ac:dyDescent="0.25">
      <c r="A89" t="s">
        <v>11162</v>
      </c>
    </row>
    <row r="90" spans="1:1" x14ac:dyDescent="0.25">
      <c r="A90" t="s">
        <v>11163</v>
      </c>
    </row>
    <row r="91" spans="1:1" x14ac:dyDescent="0.25">
      <c r="A91" t="s">
        <v>11164</v>
      </c>
    </row>
    <row r="92" spans="1:1" x14ac:dyDescent="0.25">
      <c r="A92" t="s">
        <v>11165</v>
      </c>
    </row>
    <row r="93" spans="1:1" x14ac:dyDescent="0.25">
      <c r="A93" t="s">
        <v>11166</v>
      </c>
    </row>
    <row r="94" spans="1:1" x14ac:dyDescent="0.25">
      <c r="A94" t="s">
        <v>11167</v>
      </c>
    </row>
    <row r="95" spans="1:1" x14ac:dyDescent="0.25">
      <c r="A95" t="s">
        <v>11168</v>
      </c>
    </row>
    <row r="96" spans="1:1" x14ac:dyDescent="0.25">
      <c r="A96" t="s">
        <v>11169</v>
      </c>
    </row>
    <row r="97" spans="1:1" x14ac:dyDescent="0.25">
      <c r="A97" t="s">
        <v>11170</v>
      </c>
    </row>
    <row r="98" spans="1:1" x14ac:dyDescent="0.25">
      <c r="A98" t="s">
        <v>11171</v>
      </c>
    </row>
    <row r="99" spans="1:1" x14ac:dyDescent="0.25">
      <c r="A99" t="s">
        <v>11172</v>
      </c>
    </row>
    <row r="100" spans="1:1" x14ac:dyDescent="0.25">
      <c r="A100" t="s">
        <v>11173</v>
      </c>
    </row>
    <row r="101" spans="1:1" x14ac:dyDescent="0.25">
      <c r="A101" t="s">
        <v>11174</v>
      </c>
    </row>
    <row r="102" spans="1:1" x14ac:dyDescent="0.25">
      <c r="A102" t="s">
        <v>11175</v>
      </c>
    </row>
    <row r="103" spans="1:1" x14ac:dyDescent="0.25">
      <c r="A103" t="s">
        <v>11176</v>
      </c>
    </row>
    <row r="104" spans="1:1" x14ac:dyDescent="0.25">
      <c r="A104" t="s">
        <v>11177</v>
      </c>
    </row>
    <row r="105" spans="1:1" x14ac:dyDescent="0.25">
      <c r="A105" t="s">
        <v>11178</v>
      </c>
    </row>
    <row r="106" spans="1:1" x14ac:dyDescent="0.25">
      <c r="A106" t="s">
        <v>11179</v>
      </c>
    </row>
    <row r="107" spans="1:1" x14ac:dyDescent="0.25">
      <c r="A107" t="s">
        <v>11180</v>
      </c>
    </row>
    <row r="108" spans="1:1" x14ac:dyDescent="0.25">
      <c r="A108" t="s">
        <v>11181</v>
      </c>
    </row>
    <row r="109" spans="1:1" x14ac:dyDescent="0.25">
      <c r="A109" t="s">
        <v>11182</v>
      </c>
    </row>
    <row r="110" spans="1:1" x14ac:dyDescent="0.25">
      <c r="A110" t="s">
        <v>11183</v>
      </c>
    </row>
    <row r="111" spans="1:1" x14ac:dyDescent="0.25">
      <c r="A111" t="s">
        <v>11184</v>
      </c>
    </row>
    <row r="112" spans="1:1" x14ac:dyDescent="0.25">
      <c r="A112" t="s">
        <v>11185</v>
      </c>
    </row>
    <row r="113" spans="1:1" x14ac:dyDescent="0.25">
      <c r="A113" t="s">
        <v>11186</v>
      </c>
    </row>
    <row r="114" spans="1:1" x14ac:dyDescent="0.25">
      <c r="A114" t="s">
        <v>11187</v>
      </c>
    </row>
    <row r="115" spans="1:1" x14ac:dyDescent="0.25">
      <c r="A115" t="s">
        <v>11188</v>
      </c>
    </row>
    <row r="116" spans="1:1" x14ac:dyDescent="0.25">
      <c r="A116" t="s">
        <v>11189</v>
      </c>
    </row>
    <row r="117" spans="1:1" x14ac:dyDescent="0.25">
      <c r="A117" t="s">
        <v>11190</v>
      </c>
    </row>
    <row r="118" spans="1:1" x14ac:dyDescent="0.25">
      <c r="A118" t="s">
        <v>11191</v>
      </c>
    </row>
    <row r="119" spans="1:1" x14ac:dyDescent="0.25">
      <c r="A119" t="s">
        <v>11192</v>
      </c>
    </row>
    <row r="120" spans="1:1" x14ac:dyDescent="0.25">
      <c r="A120" t="s">
        <v>11193</v>
      </c>
    </row>
    <row r="121" spans="1:1" x14ac:dyDescent="0.25">
      <c r="A121" t="s">
        <v>11194</v>
      </c>
    </row>
    <row r="122" spans="1:1" x14ac:dyDescent="0.25">
      <c r="A122" t="s">
        <v>11195</v>
      </c>
    </row>
    <row r="123" spans="1:1" x14ac:dyDescent="0.25">
      <c r="A123" t="s">
        <v>11196</v>
      </c>
    </row>
    <row r="124" spans="1:1" x14ac:dyDescent="0.25">
      <c r="A124" t="s">
        <v>11197</v>
      </c>
    </row>
    <row r="125" spans="1:1" x14ac:dyDescent="0.25">
      <c r="A125" t="s">
        <v>11198</v>
      </c>
    </row>
    <row r="126" spans="1:1" x14ac:dyDescent="0.25">
      <c r="A126" t="s">
        <v>11199</v>
      </c>
    </row>
    <row r="127" spans="1:1" x14ac:dyDescent="0.25">
      <c r="A127" t="s">
        <v>11200</v>
      </c>
    </row>
    <row r="128" spans="1:1" x14ac:dyDescent="0.25">
      <c r="A128" t="s">
        <v>11201</v>
      </c>
    </row>
    <row r="129" spans="1:1" x14ac:dyDescent="0.25">
      <c r="A129" t="s">
        <v>11202</v>
      </c>
    </row>
    <row r="130" spans="1:1" x14ac:dyDescent="0.25">
      <c r="A130" t="s">
        <v>11203</v>
      </c>
    </row>
    <row r="131" spans="1:1" x14ac:dyDescent="0.25">
      <c r="A131" t="s">
        <v>11204</v>
      </c>
    </row>
    <row r="132" spans="1:1" x14ac:dyDescent="0.25">
      <c r="A132" t="s">
        <v>11205</v>
      </c>
    </row>
    <row r="133" spans="1:1" x14ac:dyDescent="0.25">
      <c r="A133" t="s">
        <v>11206</v>
      </c>
    </row>
    <row r="134" spans="1:1" x14ac:dyDescent="0.25">
      <c r="A134" t="s">
        <v>11207</v>
      </c>
    </row>
    <row r="135" spans="1:1" x14ac:dyDescent="0.25">
      <c r="A135" t="s">
        <v>11208</v>
      </c>
    </row>
    <row r="136" spans="1:1" x14ac:dyDescent="0.25">
      <c r="A136" t="s">
        <v>11209</v>
      </c>
    </row>
    <row r="137" spans="1:1" x14ac:dyDescent="0.25">
      <c r="A137" t="s">
        <v>11210</v>
      </c>
    </row>
    <row r="138" spans="1:1" x14ac:dyDescent="0.25">
      <c r="A138" t="s">
        <v>11211</v>
      </c>
    </row>
    <row r="139" spans="1:1" x14ac:dyDescent="0.25">
      <c r="A139" t="s">
        <v>11212</v>
      </c>
    </row>
    <row r="140" spans="1:1" x14ac:dyDescent="0.25">
      <c r="A140" t="s">
        <v>11213</v>
      </c>
    </row>
    <row r="141" spans="1:1" x14ac:dyDescent="0.25">
      <c r="A141" t="s">
        <v>11214</v>
      </c>
    </row>
    <row r="142" spans="1:1" x14ac:dyDescent="0.25">
      <c r="A142" t="s">
        <v>11215</v>
      </c>
    </row>
    <row r="143" spans="1:1" x14ac:dyDescent="0.25">
      <c r="A143" t="s">
        <v>11216</v>
      </c>
    </row>
    <row r="144" spans="1:1" x14ac:dyDescent="0.25">
      <c r="A144" t="s">
        <v>11217</v>
      </c>
    </row>
    <row r="145" spans="1:1" x14ac:dyDescent="0.25">
      <c r="A145" t="s">
        <v>11218</v>
      </c>
    </row>
    <row r="146" spans="1:1" x14ac:dyDescent="0.25">
      <c r="A146" t="s">
        <v>11219</v>
      </c>
    </row>
    <row r="147" spans="1:1" x14ac:dyDescent="0.25">
      <c r="A147" t="s">
        <v>11220</v>
      </c>
    </row>
    <row r="148" spans="1:1" x14ac:dyDescent="0.25">
      <c r="A148" t="s">
        <v>11221</v>
      </c>
    </row>
    <row r="149" spans="1:1" x14ac:dyDescent="0.25">
      <c r="A149" t="s">
        <v>11222</v>
      </c>
    </row>
    <row r="150" spans="1:1" x14ac:dyDescent="0.25">
      <c r="A150" t="s">
        <v>11223</v>
      </c>
    </row>
    <row r="151" spans="1:1" x14ac:dyDescent="0.25">
      <c r="A151" t="s">
        <v>11224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H7"/>
  <sheetViews>
    <sheetView workbookViewId="0"/>
  </sheetViews>
  <sheetFormatPr defaultRowHeight="15" x14ac:dyDescent="0.25"/>
  <sheetData>
    <row r="2" spans="1:8" x14ac:dyDescent="0.25">
      <c r="A2" t="s">
        <v>11225</v>
      </c>
      <c r="B2" t="s">
        <v>11231</v>
      </c>
      <c r="C2" t="s">
        <v>11231</v>
      </c>
      <c r="D2" t="s">
        <v>11231</v>
      </c>
      <c r="E2" t="s">
        <v>11231</v>
      </c>
      <c r="F2" t="s">
        <v>11231</v>
      </c>
      <c r="G2" t="s">
        <v>11231</v>
      </c>
      <c r="H2" t="s">
        <v>11231</v>
      </c>
    </row>
    <row r="3" spans="1:8" x14ac:dyDescent="0.25">
      <c r="A3" t="s">
        <v>11226</v>
      </c>
      <c r="B3" t="s">
        <v>11232</v>
      </c>
      <c r="C3" t="s">
        <v>11232</v>
      </c>
      <c r="D3" t="s">
        <v>11232</v>
      </c>
      <c r="E3" t="s">
        <v>11232</v>
      </c>
      <c r="F3" t="s">
        <v>11232</v>
      </c>
      <c r="G3" t="s">
        <v>11232</v>
      </c>
      <c r="H3" t="s">
        <v>11232</v>
      </c>
    </row>
    <row r="4" spans="1:8" x14ac:dyDescent="0.25">
      <c r="A4" t="s">
        <v>11227</v>
      </c>
      <c r="B4" t="s">
        <v>11233</v>
      </c>
      <c r="C4" t="s">
        <v>11233</v>
      </c>
      <c r="D4" t="s">
        <v>11233</v>
      </c>
      <c r="E4" t="s">
        <v>11233</v>
      </c>
      <c r="F4" t="s">
        <v>11233</v>
      </c>
      <c r="G4" t="s">
        <v>11233</v>
      </c>
      <c r="H4" t="s">
        <v>11233</v>
      </c>
    </row>
    <row r="5" spans="1:8" x14ac:dyDescent="0.25">
      <c r="A5" t="s">
        <v>11228</v>
      </c>
      <c r="B5" t="s">
        <v>11234</v>
      </c>
      <c r="C5" t="s">
        <v>11234</v>
      </c>
      <c r="D5" t="s">
        <v>11234</v>
      </c>
      <c r="E5" t="s">
        <v>11234</v>
      </c>
      <c r="F5" t="s">
        <v>11234</v>
      </c>
      <c r="G5" t="s">
        <v>11234</v>
      </c>
      <c r="H5" t="s">
        <v>11234</v>
      </c>
    </row>
    <row r="6" spans="1:8" x14ac:dyDescent="0.25">
      <c r="A6" t="s">
        <v>11229</v>
      </c>
      <c r="B6" t="s">
        <v>11235</v>
      </c>
      <c r="C6" t="s">
        <v>11235</v>
      </c>
      <c r="D6" t="s">
        <v>11235</v>
      </c>
      <c r="E6" t="s">
        <v>11235</v>
      </c>
      <c r="F6" t="s">
        <v>11235</v>
      </c>
      <c r="G6" t="s">
        <v>11235</v>
      </c>
      <c r="H6" t="s">
        <v>11235</v>
      </c>
    </row>
    <row r="7" spans="1:8" x14ac:dyDescent="0.25">
      <c r="A7" t="s">
        <v>11230</v>
      </c>
      <c r="B7" t="s">
        <v>11236</v>
      </c>
      <c r="C7" t="s">
        <v>11236</v>
      </c>
      <c r="D7" t="s">
        <v>11236</v>
      </c>
      <c r="E7" t="s">
        <v>11236</v>
      </c>
      <c r="F7" t="s">
        <v>11236</v>
      </c>
      <c r="G7" t="s">
        <v>11236</v>
      </c>
      <c r="H7" t="s">
        <v>11236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8"/>
  <sheetViews>
    <sheetView workbookViewId="0"/>
  </sheetViews>
  <sheetFormatPr defaultRowHeight="15" x14ac:dyDescent="0.25"/>
  <sheetData>
    <row r="1" spans="1:1" x14ac:dyDescent="0.25">
      <c r="A1" t="s">
        <v>11237</v>
      </c>
    </row>
    <row r="2" spans="1:1" x14ac:dyDescent="0.25">
      <c r="A2" t="s">
        <v>11238</v>
      </c>
    </row>
    <row r="3" spans="1:1" x14ac:dyDescent="0.25">
      <c r="A3" t="s">
        <v>11239</v>
      </c>
    </row>
    <row r="4" spans="1:1" x14ac:dyDescent="0.25">
      <c r="A4" t="s">
        <v>11240</v>
      </c>
    </row>
    <row r="5" spans="1:1" x14ac:dyDescent="0.25">
      <c r="A5" t="s">
        <v>11241</v>
      </c>
    </row>
    <row r="6" spans="1:1" x14ac:dyDescent="0.25">
      <c r="A6" t="s">
        <v>11242</v>
      </c>
    </row>
    <row r="7" spans="1:1" x14ac:dyDescent="0.25">
      <c r="A7" t="s">
        <v>11243</v>
      </c>
    </row>
    <row r="8" spans="1:1" x14ac:dyDescent="0.25">
      <c r="A8" t="s">
        <v>11244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7"/>
  <sheetViews>
    <sheetView workbookViewId="0"/>
  </sheetViews>
  <sheetFormatPr defaultRowHeight="15" x14ac:dyDescent="0.25"/>
  <sheetData>
    <row r="2" spans="1:1" x14ac:dyDescent="0.25">
      <c r="A2" t="s">
        <v>11245</v>
      </c>
    </row>
    <row r="3" spans="1:1" x14ac:dyDescent="0.25">
      <c r="A3" t="s">
        <v>11246</v>
      </c>
    </row>
    <row r="4" spans="1:1" x14ac:dyDescent="0.25">
      <c r="A4" t="s">
        <v>11247</v>
      </c>
    </row>
    <row r="5" spans="1:1" x14ac:dyDescent="0.25">
      <c r="A5" t="s">
        <v>11248</v>
      </c>
    </row>
    <row r="6" spans="1:1" x14ac:dyDescent="0.25">
      <c r="A6" t="s">
        <v>11249</v>
      </c>
    </row>
    <row r="7" spans="1:1" x14ac:dyDescent="0.25">
      <c r="A7" t="s">
        <v>11250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3"/>
  <sheetViews>
    <sheetView workbookViewId="0"/>
  </sheetViews>
  <sheetFormatPr defaultRowHeight="15" x14ac:dyDescent="0.25"/>
  <sheetData>
    <row r="1" spans="1:1" x14ac:dyDescent="0.25">
      <c r="A1" t="s">
        <v>11251</v>
      </c>
    </row>
    <row r="2" spans="1:1" x14ac:dyDescent="0.25">
      <c r="A2" t="s">
        <v>11252</v>
      </c>
    </row>
    <row r="3" spans="1:1" x14ac:dyDescent="0.25">
      <c r="A3" t="s">
        <v>11253</v>
      </c>
    </row>
    <row r="4" spans="1:1" x14ac:dyDescent="0.25">
      <c r="A4" t="s">
        <v>11254</v>
      </c>
    </row>
    <row r="5" spans="1:1" x14ac:dyDescent="0.25">
      <c r="A5" t="s">
        <v>11255</v>
      </c>
    </row>
    <row r="6" spans="1:1" x14ac:dyDescent="0.25">
      <c r="A6" t="s">
        <v>11256</v>
      </c>
    </row>
    <row r="7" spans="1:1" x14ac:dyDescent="0.25">
      <c r="A7" t="s">
        <v>11257</v>
      </c>
    </row>
    <row r="8" spans="1:1" x14ac:dyDescent="0.25">
      <c r="A8" t="s">
        <v>11258</v>
      </c>
    </row>
    <row r="9" spans="1:1" x14ac:dyDescent="0.25">
      <c r="A9" t="s">
        <v>11259</v>
      </c>
    </row>
    <row r="10" spans="1:1" x14ac:dyDescent="0.25">
      <c r="A10" t="s">
        <v>11260</v>
      </c>
    </row>
    <row r="11" spans="1:1" x14ac:dyDescent="0.25">
      <c r="A11" t="s">
        <v>11261</v>
      </c>
    </row>
    <row r="12" spans="1:1" x14ac:dyDescent="0.25">
      <c r="A12" t="s">
        <v>11262</v>
      </c>
    </row>
    <row r="13" spans="1:1" x14ac:dyDescent="0.25">
      <c r="A13" t="s">
        <v>11263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5"/>
  <sheetViews>
    <sheetView workbookViewId="0"/>
  </sheetViews>
  <sheetFormatPr defaultRowHeight="15" x14ac:dyDescent="0.25"/>
  <sheetData>
    <row r="1" spans="1:1" x14ac:dyDescent="0.25">
      <c r="A1" t="s">
        <v>11264</v>
      </c>
    </row>
    <row r="2" spans="1:1" x14ac:dyDescent="0.25">
      <c r="A2" t="s">
        <v>11265</v>
      </c>
    </row>
    <row r="3" spans="1:1" x14ac:dyDescent="0.25">
      <c r="A3" t="s">
        <v>11266</v>
      </c>
    </row>
    <row r="4" spans="1:1" x14ac:dyDescent="0.25">
      <c r="A4" t="s">
        <v>11267</v>
      </c>
    </row>
    <row r="5" spans="1:1" x14ac:dyDescent="0.25">
      <c r="A5" t="s">
        <v>11268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4"/>
  <sheetViews>
    <sheetView workbookViewId="0"/>
  </sheetViews>
  <sheetFormatPr defaultRowHeight="15" x14ac:dyDescent="0.25"/>
  <sheetData>
    <row r="1" spans="1:1" x14ac:dyDescent="0.25">
      <c r="A1" t="s">
        <v>11269</v>
      </c>
    </row>
    <row r="2" spans="1:1" x14ac:dyDescent="0.25">
      <c r="A2" t="s">
        <v>11270</v>
      </c>
    </row>
    <row r="3" spans="1:1" x14ac:dyDescent="0.25">
      <c r="A3" t="s">
        <v>11271</v>
      </c>
    </row>
    <row r="4" spans="1:1" x14ac:dyDescent="0.25">
      <c r="A4" t="s">
        <v>11272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323"/>
  <sheetViews>
    <sheetView workbookViewId="0"/>
  </sheetViews>
  <sheetFormatPr defaultRowHeight="15" x14ac:dyDescent="0.25"/>
  <sheetData>
    <row r="1" spans="1:1" x14ac:dyDescent="0.25">
      <c r="A1" t="s">
        <v>11273</v>
      </c>
    </row>
    <row r="2" spans="1:1" x14ac:dyDescent="0.25">
      <c r="A2" t="s">
        <v>11274</v>
      </c>
    </row>
    <row r="3" spans="1:1" x14ac:dyDescent="0.25">
      <c r="A3" t="s">
        <v>11275</v>
      </c>
    </row>
    <row r="4" spans="1:1" x14ac:dyDescent="0.25">
      <c r="A4" t="s">
        <v>11276</v>
      </c>
    </row>
    <row r="5" spans="1:1" x14ac:dyDescent="0.25">
      <c r="A5" t="s">
        <v>11277</v>
      </c>
    </row>
    <row r="6" spans="1:1" x14ac:dyDescent="0.25">
      <c r="A6" t="s">
        <v>11278</v>
      </c>
    </row>
    <row r="7" spans="1:1" x14ac:dyDescent="0.25">
      <c r="A7" t="s">
        <v>11279</v>
      </c>
    </row>
    <row r="8" spans="1:1" x14ac:dyDescent="0.25">
      <c r="A8" t="s">
        <v>11280</v>
      </c>
    </row>
    <row r="9" spans="1:1" x14ac:dyDescent="0.25">
      <c r="A9" t="s">
        <v>11281</v>
      </c>
    </row>
    <row r="10" spans="1:1" x14ac:dyDescent="0.25">
      <c r="A10" t="s">
        <v>11282</v>
      </c>
    </row>
    <row r="11" spans="1:1" x14ac:dyDescent="0.25">
      <c r="A11" t="s">
        <v>11283</v>
      </c>
    </row>
    <row r="12" spans="1:1" x14ac:dyDescent="0.25">
      <c r="A12" t="s">
        <v>11284</v>
      </c>
    </row>
    <row r="13" spans="1:1" x14ac:dyDescent="0.25">
      <c r="A13" t="s">
        <v>11285</v>
      </c>
    </row>
    <row r="14" spans="1:1" x14ac:dyDescent="0.25">
      <c r="A14" t="s">
        <v>11286</v>
      </c>
    </row>
    <row r="15" spans="1:1" x14ac:dyDescent="0.25">
      <c r="A15" t="s">
        <v>11287</v>
      </c>
    </row>
    <row r="16" spans="1:1" x14ac:dyDescent="0.25">
      <c r="A16" t="s">
        <v>11288</v>
      </c>
    </row>
    <row r="17" spans="1:1" x14ac:dyDescent="0.25">
      <c r="A17" t="s">
        <v>11289</v>
      </c>
    </row>
    <row r="18" spans="1:1" x14ac:dyDescent="0.25">
      <c r="A18" t="s">
        <v>11290</v>
      </c>
    </row>
    <row r="19" spans="1:1" x14ac:dyDescent="0.25">
      <c r="A19" t="s">
        <v>11291</v>
      </c>
    </row>
    <row r="20" spans="1:1" x14ac:dyDescent="0.25">
      <c r="A20" t="s">
        <v>11292</v>
      </c>
    </row>
    <row r="21" spans="1:1" x14ac:dyDescent="0.25">
      <c r="A21" t="s">
        <v>11293</v>
      </c>
    </row>
    <row r="22" spans="1:1" x14ac:dyDescent="0.25">
      <c r="A22" t="s">
        <v>11294</v>
      </c>
    </row>
    <row r="23" spans="1:1" x14ac:dyDescent="0.25">
      <c r="A23" t="s">
        <v>11295</v>
      </c>
    </row>
    <row r="24" spans="1:1" x14ac:dyDescent="0.25">
      <c r="A24" t="s">
        <v>11296</v>
      </c>
    </row>
    <row r="25" spans="1:1" x14ac:dyDescent="0.25">
      <c r="A25" t="s">
        <v>11297</v>
      </c>
    </row>
    <row r="26" spans="1:1" x14ac:dyDescent="0.25">
      <c r="A26" t="s">
        <v>11298</v>
      </c>
    </row>
    <row r="27" spans="1:1" x14ac:dyDescent="0.25">
      <c r="A27" t="s">
        <v>11299</v>
      </c>
    </row>
    <row r="28" spans="1:1" x14ac:dyDescent="0.25">
      <c r="A28" t="s">
        <v>11300</v>
      </c>
    </row>
    <row r="29" spans="1:1" x14ac:dyDescent="0.25">
      <c r="A29" t="s">
        <v>11301</v>
      </c>
    </row>
    <row r="30" spans="1:1" x14ac:dyDescent="0.25">
      <c r="A30" t="s">
        <v>11302</v>
      </c>
    </row>
    <row r="31" spans="1:1" x14ac:dyDescent="0.25">
      <c r="A31" t="s">
        <v>11303</v>
      </c>
    </row>
    <row r="32" spans="1:1" x14ac:dyDescent="0.25">
      <c r="A32" t="s">
        <v>11304</v>
      </c>
    </row>
    <row r="33" spans="1:1" x14ac:dyDescent="0.25">
      <c r="A33" t="s">
        <v>11305</v>
      </c>
    </row>
    <row r="34" spans="1:1" x14ac:dyDescent="0.25">
      <c r="A34" t="s">
        <v>11306</v>
      </c>
    </row>
    <row r="35" spans="1:1" x14ac:dyDescent="0.25">
      <c r="A35" t="s">
        <v>11307</v>
      </c>
    </row>
    <row r="36" spans="1:1" x14ac:dyDescent="0.25">
      <c r="A36" t="s">
        <v>11308</v>
      </c>
    </row>
    <row r="37" spans="1:1" x14ac:dyDescent="0.25">
      <c r="A37" t="s">
        <v>11309</v>
      </c>
    </row>
    <row r="38" spans="1:1" x14ac:dyDescent="0.25">
      <c r="A38" t="s">
        <v>11310</v>
      </c>
    </row>
    <row r="39" spans="1:1" x14ac:dyDescent="0.25">
      <c r="A39" t="s">
        <v>11311</v>
      </c>
    </row>
    <row r="40" spans="1:1" x14ac:dyDescent="0.25">
      <c r="A40" t="s">
        <v>11312</v>
      </c>
    </row>
    <row r="41" spans="1:1" x14ac:dyDescent="0.25">
      <c r="A41" t="s">
        <v>11313</v>
      </c>
    </row>
    <row r="42" spans="1:1" x14ac:dyDescent="0.25">
      <c r="A42" t="s">
        <v>11314</v>
      </c>
    </row>
    <row r="43" spans="1:1" x14ac:dyDescent="0.25">
      <c r="A43" t="s">
        <v>11315</v>
      </c>
    </row>
    <row r="44" spans="1:1" x14ac:dyDescent="0.25">
      <c r="A44" t="s">
        <v>11316</v>
      </c>
    </row>
    <row r="45" spans="1:1" x14ac:dyDescent="0.25">
      <c r="A45" t="s">
        <v>11317</v>
      </c>
    </row>
    <row r="46" spans="1:1" x14ac:dyDescent="0.25">
      <c r="A46" t="s">
        <v>11318</v>
      </c>
    </row>
    <row r="47" spans="1:1" x14ac:dyDescent="0.25">
      <c r="A47" t="s">
        <v>11319</v>
      </c>
    </row>
    <row r="48" spans="1:1" x14ac:dyDescent="0.25">
      <c r="A48" t="s">
        <v>11320</v>
      </c>
    </row>
    <row r="49" spans="1:1" x14ac:dyDescent="0.25">
      <c r="A49" t="s">
        <v>11321</v>
      </c>
    </row>
    <row r="50" spans="1:1" x14ac:dyDescent="0.25">
      <c r="A50" t="s">
        <v>11322</v>
      </c>
    </row>
    <row r="51" spans="1:1" x14ac:dyDescent="0.25">
      <c r="A51" t="s">
        <v>11323</v>
      </c>
    </row>
    <row r="52" spans="1:1" x14ac:dyDescent="0.25">
      <c r="A52" t="s">
        <v>11324</v>
      </c>
    </row>
    <row r="53" spans="1:1" x14ac:dyDescent="0.25">
      <c r="A53" t="s">
        <v>11325</v>
      </c>
    </row>
    <row r="54" spans="1:1" x14ac:dyDescent="0.25">
      <c r="A54" t="s">
        <v>11326</v>
      </c>
    </row>
    <row r="55" spans="1:1" x14ac:dyDescent="0.25">
      <c r="A55" t="s">
        <v>11327</v>
      </c>
    </row>
    <row r="56" spans="1:1" x14ac:dyDescent="0.25">
      <c r="A56" t="s">
        <v>11328</v>
      </c>
    </row>
    <row r="57" spans="1:1" x14ac:dyDescent="0.25">
      <c r="A57" t="s">
        <v>11329</v>
      </c>
    </row>
    <row r="58" spans="1:1" x14ac:dyDescent="0.25">
      <c r="A58" t="s">
        <v>11330</v>
      </c>
    </row>
    <row r="59" spans="1:1" x14ac:dyDescent="0.25">
      <c r="A59" t="s">
        <v>11331</v>
      </c>
    </row>
    <row r="60" spans="1:1" x14ac:dyDescent="0.25">
      <c r="A60" t="s">
        <v>11332</v>
      </c>
    </row>
    <row r="61" spans="1:1" x14ac:dyDescent="0.25">
      <c r="A61" t="s">
        <v>11333</v>
      </c>
    </row>
    <row r="62" spans="1:1" x14ac:dyDescent="0.25">
      <c r="A62" t="s">
        <v>11334</v>
      </c>
    </row>
    <row r="63" spans="1:1" x14ac:dyDescent="0.25">
      <c r="A63" t="s">
        <v>11335</v>
      </c>
    </row>
    <row r="64" spans="1:1" x14ac:dyDescent="0.25">
      <c r="A64" t="s">
        <v>11336</v>
      </c>
    </row>
    <row r="65" spans="1:1" x14ac:dyDescent="0.25">
      <c r="A65" t="s">
        <v>11337</v>
      </c>
    </row>
    <row r="66" spans="1:1" x14ac:dyDescent="0.25">
      <c r="A66" t="s">
        <v>11338</v>
      </c>
    </row>
    <row r="67" spans="1:1" x14ac:dyDescent="0.25">
      <c r="A67" t="s">
        <v>11339</v>
      </c>
    </row>
    <row r="68" spans="1:1" x14ac:dyDescent="0.25">
      <c r="A68" t="s">
        <v>11340</v>
      </c>
    </row>
    <row r="69" spans="1:1" x14ac:dyDescent="0.25">
      <c r="A69" t="s">
        <v>11341</v>
      </c>
    </row>
    <row r="70" spans="1:1" x14ac:dyDescent="0.25">
      <c r="A70" t="s">
        <v>11342</v>
      </c>
    </row>
    <row r="71" spans="1:1" x14ac:dyDescent="0.25">
      <c r="A71" t="s">
        <v>11343</v>
      </c>
    </row>
    <row r="72" spans="1:1" x14ac:dyDescent="0.25">
      <c r="A72" t="s">
        <v>11344</v>
      </c>
    </row>
    <row r="73" spans="1:1" x14ac:dyDescent="0.25">
      <c r="A73" t="s">
        <v>11345</v>
      </c>
    </row>
    <row r="74" spans="1:1" x14ac:dyDescent="0.25">
      <c r="A74" t="s">
        <v>11346</v>
      </c>
    </row>
    <row r="75" spans="1:1" x14ac:dyDescent="0.25">
      <c r="A75" t="s">
        <v>11347</v>
      </c>
    </row>
    <row r="76" spans="1:1" x14ac:dyDescent="0.25">
      <c r="A76" t="s">
        <v>11348</v>
      </c>
    </row>
    <row r="77" spans="1:1" x14ac:dyDescent="0.25">
      <c r="A77" t="s">
        <v>11349</v>
      </c>
    </row>
    <row r="78" spans="1:1" x14ac:dyDescent="0.25">
      <c r="A78" t="s">
        <v>11350</v>
      </c>
    </row>
    <row r="79" spans="1:1" x14ac:dyDescent="0.25">
      <c r="A79" t="s">
        <v>11351</v>
      </c>
    </row>
    <row r="80" spans="1:1" x14ac:dyDescent="0.25">
      <c r="A80" t="s">
        <v>11352</v>
      </c>
    </row>
    <row r="81" spans="1:1" x14ac:dyDescent="0.25">
      <c r="A81" t="s">
        <v>11353</v>
      </c>
    </row>
    <row r="82" spans="1:1" x14ac:dyDescent="0.25">
      <c r="A82" t="s">
        <v>11354</v>
      </c>
    </row>
    <row r="83" spans="1:1" x14ac:dyDescent="0.25">
      <c r="A83" t="s">
        <v>11355</v>
      </c>
    </row>
    <row r="84" spans="1:1" x14ac:dyDescent="0.25">
      <c r="A84" t="s">
        <v>11356</v>
      </c>
    </row>
    <row r="85" spans="1:1" x14ac:dyDescent="0.25">
      <c r="A85" t="s">
        <v>11357</v>
      </c>
    </row>
    <row r="86" spans="1:1" x14ac:dyDescent="0.25">
      <c r="A86" t="s">
        <v>11358</v>
      </c>
    </row>
    <row r="87" spans="1:1" x14ac:dyDescent="0.25">
      <c r="A87" t="s">
        <v>11359</v>
      </c>
    </row>
    <row r="88" spans="1:1" x14ac:dyDescent="0.25">
      <c r="A88" t="s">
        <v>11360</v>
      </c>
    </row>
    <row r="89" spans="1:1" x14ac:dyDescent="0.25">
      <c r="A89" t="s">
        <v>11361</v>
      </c>
    </row>
    <row r="90" spans="1:1" x14ac:dyDescent="0.25">
      <c r="A90" t="s">
        <v>11362</v>
      </c>
    </row>
    <row r="91" spans="1:1" x14ac:dyDescent="0.25">
      <c r="A91" t="s">
        <v>11363</v>
      </c>
    </row>
    <row r="92" spans="1:1" x14ac:dyDescent="0.25">
      <c r="A92" t="s">
        <v>11364</v>
      </c>
    </row>
    <row r="93" spans="1:1" x14ac:dyDescent="0.25">
      <c r="A93" t="s">
        <v>11365</v>
      </c>
    </row>
    <row r="94" spans="1:1" x14ac:dyDescent="0.25">
      <c r="A94" t="s">
        <v>11366</v>
      </c>
    </row>
    <row r="95" spans="1:1" x14ac:dyDescent="0.25">
      <c r="A95" t="s">
        <v>11367</v>
      </c>
    </row>
    <row r="96" spans="1:1" x14ac:dyDescent="0.25">
      <c r="A96" t="s">
        <v>11368</v>
      </c>
    </row>
    <row r="97" spans="1:1" x14ac:dyDescent="0.25">
      <c r="A97" t="s">
        <v>11369</v>
      </c>
    </row>
    <row r="98" spans="1:1" x14ac:dyDescent="0.25">
      <c r="A98" t="s">
        <v>11370</v>
      </c>
    </row>
    <row r="99" spans="1:1" x14ac:dyDescent="0.25">
      <c r="A99" t="s">
        <v>11371</v>
      </c>
    </row>
    <row r="100" spans="1:1" x14ac:dyDescent="0.25">
      <c r="A100" t="s">
        <v>11372</v>
      </c>
    </row>
    <row r="101" spans="1:1" x14ac:dyDescent="0.25">
      <c r="A101" t="s">
        <v>11373</v>
      </c>
    </row>
    <row r="102" spans="1:1" x14ac:dyDescent="0.25">
      <c r="A102" t="s">
        <v>11374</v>
      </c>
    </row>
    <row r="103" spans="1:1" x14ac:dyDescent="0.25">
      <c r="A103" t="s">
        <v>11375</v>
      </c>
    </row>
    <row r="104" spans="1:1" x14ac:dyDescent="0.25">
      <c r="A104" t="s">
        <v>11376</v>
      </c>
    </row>
    <row r="105" spans="1:1" x14ac:dyDescent="0.25">
      <c r="A105" t="s">
        <v>11377</v>
      </c>
    </row>
    <row r="106" spans="1:1" x14ac:dyDescent="0.25">
      <c r="A106" t="s">
        <v>11378</v>
      </c>
    </row>
    <row r="107" spans="1:1" x14ac:dyDescent="0.25">
      <c r="A107" t="s">
        <v>11379</v>
      </c>
    </row>
    <row r="108" spans="1:1" x14ac:dyDescent="0.25">
      <c r="A108" t="s">
        <v>11380</v>
      </c>
    </row>
    <row r="109" spans="1:1" x14ac:dyDescent="0.25">
      <c r="A109" t="s">
        <v>11381</v>
      </c>
    </row>
    <row r="110" spans="1:1" x14ac:dyDescent="0.25">
      <c r="A110" t="s">
        <v>11382</v>
      </c>
    </row>
    <row r="111" spans="1:1" x14ac:dyDescent="0.25">
      <c r="A111" t="s">
        <v>11383</v>
      </c>
    </row>
    <row r="112" spans="1:1" x14ac:dyDescent="0.25">
      <c r="A112" t="s">
        <v>11384</v>
      </c>
    </row>
    <row r="113" spans="1:1" x14ac:dyDescent="0.25">
      <c r="A113" t="s">
        <v>11385</v>
      </c>
    </row>
    <row r="114" spans="1:1" x14ac:dyDescent="0.25">
      <c r="A114" t="s">
        <v>11386</v>
      </c>
    </row>
    <row r="115" spans="1:1" x14ac:dyDescent="0.25">
      <c r="A115" t="s">
        <v>11387</v>
      </c>
    </row>
    <row r="116" spans="1:1" x14ac:dyDescent="0.25">
      <c r="A116" t="s">
        <v>11388</v>
      </c>
    </row>
    <row r="117" spans="1:1" x14ac:dyDescent="0.25">
      <c r="A117" t="s">
        <v>11389</v>
      </c>
    </row>
    <row r="118" spans="1:1" x14ac:dyDescent="0.25">
      <c r="A118" t="s">
        <v>11390</v>
      </c>
    </row>
    <row r="119" spans="1:1" x14ac:dyDescent="0.25">
      <c r="A119" t="s">
        <v>11391</v>
      </c>
    </row>
    <row r="120" spans="1:1" x14ac:dyDescent="0.25">
      <c r="A120" t="s">
        <v>11392</v>
      </c>
    </row>
    <row r="121" spans="1:1" x14ac:dyDescent="0.25">
      <c r="A121" t="s">
        <v>11393</v>
      </c>
    </row>
    <row r="122" spans="1:1" x14ac:dyDescent="0.25">
      <c r="A122" t="s">
        <v>11394</v>
      </c>
    </row>
    <row r="123" spans="1:1" x14ac:dyDescent="0.25">
      <c r="A123" t="s">
        <v>11395</v>
      </c>
    </row>
    <row r="124" spans="1:1" x14ac:dyDescent="0.25">
      <c r="A124" t="s">
        <v>11396</v>
      </c>
    </row>
    <row r="125" spans="1:1" x14ac:dyDescent="0.25">
      <c r="A125" t="s">
        <v>11397</v>
      </c>
    </row>
    <row r="126" spans="1:1" x14ac:dyDescent="0.25">
      <c r="A126" t="s">
        <v>11398</v>
      </c>
    </row>
    <row r="127" spans="1:1" x14ac:dyDescent="0.25">
      <c r="A127" t="s">
        <v>11399</v>
      </c>
    </row>
    <row r="128" spans="1:1" x14ac:dyDescent="0.25">
      <c r="A128" t="s">
        <v>11400</v>
      </c>
    </row>
    <row r="129" spans="1:1" x14ac:dyDescent="0.25">
      <c r="A129" t="s">
        <v>11401</v>
      </c>
    </row>
    <row r="130" spans="1:1" x14ac:dyDescent="0.25">
      <c r="A130" t="s">
        <v>11402</v>
      </c>
    </row>
    <row r="131" spans="1:1" x14ac:dyDescent="0.25">
      <c r="A131" t="s">
        <v>11403</v>
      </c>
    </row>
    <row r="132" spans="1:1" x14ac:dyDescent="0.25">
      <c r="A132" t="s">
        <v>11404</v>
      </c>
    </row>
    <row r="133" spans="1:1" x14ac:dyDescent="0.25">
      <c r="A133" t="s">
        <v>11405</v>
      </c>
    </row>
    <row r="134" spans="1:1" x14ac:dyDescent="0.25">
      <c r="A134" t="s">
        <v>11406</v>
      </c>
    </row>
    <row r="135" spans="1:1" x14ac:dyDescent="0.25">
      <c r="A135" t="s">
        <v>11407</v>
      </c>
    </row>
    <row r="136" spans="1:1" x14ac:dyDescent="0.25">
      <c r="A136" t="s">
        <v>11408</v>
      </c>
    </row>
    <row r="137" spans="1:1" x14ac:dyDescent="0.25">
      <c r="A137" t="s">
        <v>11409</v>
      </c>
    </row>
    <row r="138" spans="1:1" x14ac:dyDescent="0.25">
      <c r="A138" t="s">
        <v>11410</v>
      </c>
    </row>
    <row r="139" spans="1:1" x14ac:dyDescent="0.25">
      <c r="A139" t="s">
        <v>11411</v>
      </c>
    </row>
    <row r="140" spans="1:1" x14ac:dyDescent="0.25">
      <c r="A140" t="s">
        <v>11412</v>
      </c>
    </row>
    <row r="141" spans="1:1" x14ac:dyDescent="0.25">
      <c r="A141" t="s">
        <v>11413</v>
      </c>
    </row>
    <row r="142" spans="1:1" x14ac:dyDescent="0.25">
      <c r="A142" t="s">
        <v>11414</v>
      </c>
    </row>
    <row r="143" spans="1:1" x14ac:dyDescent="0.25">
      <c r="A143" t="s">
        <v>11415</v>
      </c>
    </row>
    <row r="144" spans="1:1" x14ac:dyDescent="0.25">
      <c r="A144" t="s">
        <v>11416</v>
      </c>
    </row>
    <row r="145" spans="1:1" x14ac:dyDescent="0.25">
      <c r="A145" t="s">
        <v>11417</v>
      </c>
    </row>
    <row r="146" spans="1:1" x14ac:dyDescent="0.25">
      <c r="A146" t="s">
        <v>11418</v>
      </c>
    </row>
    <row r="147" spans="1:1" x14ac:dyDescent="0.25">
      <c r="A147" t="s">
        <v>11419</v>
      </c>
    </row>
    <row r="148" spans="1:1" x14ac:dyDescent="0.25">
      <c r="A148" t="s">
        <v>11420</v>
      </c>
    </row>
    <row r="149" spans="1:1" x14ac:dyDescent="0.25">
      <c r="A149" t="s">
        <v>11421</v>
      </c>
    </row>
    <row r="150" spans="1:1" x14ac:dyDescent="0.25">
      <c r="A150" t="s">
        <v>11422</v>
      </c>
    </row>
    <row r="151" spans="1:1" x14ac:dyDescent="0.25">
      <c r="A151" t="s">
        <v>11423</v>
      </c>
    </row>
    <row r="152" spans="1:1" x14ac:dyDescent="0.25">
      <c r="A152" t="s">
        <v>11424</v>
      </c>
    </row>
    <row r="153" spans="1:1" x14ac:dyDescent="0.25">
      <c r="A153" t="s">
        <v>11425</v>
      </c>
    </row>
    <row r="154" spans="1:1" x14ac:dyDescent="0.25">
      <c r="A154" t="s">
        <v>11426</v>
      </c>
    </row>
    <row r="155" spans="1:1" x14ac:dyDescent="0.25">
      <c r="A155" t="s">
        <v>11427</v>
      </c>
    </row>
    <row r="156" spans="1:1" x14ac:dyDescent="0.25">
      <c r="A156" t="s">
        <v>11428</v>
      </c>
    </row>
    <row r="157" spans="1:1" x14ac:dyDescent="0.25">
      <c r="A157" t="s">
        <v>11429</v>
      </c>
    </row>
    <row r="158" spans="1:1" x14ac:dyDescent="0.25">
      <c r="A158" t="s">
        <v>11430</v>
      </c>
    </row>
    <row r="159" spans="1:1" x14ac:dyDescent="0.25">
      <c r="A159" t="s">
        <v>11431</v>
      </c>
    </row>
    <row r="160" spans="1:1" x14ac:dyDescent="0.25">
      <c r="A160" t="s">
        <v>11432</v>
      </c>
    </row>
    <row r="161" spans="1:1" x14ac:dyDescent="0.25">
      <c r="A161" t="s">
        <v>11433</v>
      </c>
    </row>
    <row r="162" spans="1:1" x14ac:dyDescent="0.25">
      <c r="A162" t="s">
        <v>11434</v>
      </c>
    </row>
    <row r="163" spans="1:1" x14ac:dyDescent="0.25">
      <c r="A163" t="s">
        <v>11435</v>
      </c>
    </row>
    <row r="164" spans="1:1" x14ac:dyDescent="0.25">
      <c r="A164" t="s">
        <v>11436</v>
      </c>
    </row>
    <row r="165" spans="1:1" x14ac:dyDescent="0.25">
      <c r="A165" t="s">
        <v>11437</v>
      </c>
    </row>
    <row r="166" spans="1:1" x14ac:dyDescent="0.25">
      <c r="A166" t="s">
        <v>11438</v>
      </c>
    </row>
    <row r="167" spans="1:1" x14ac:dyDescent="0.25">
      <c r="A167" t="s">
        <v>11439</v>
      </c>
    </row>
    <row r="168" spans="1:1" x14ac:dyDescent="0.25">
      <c r="A168" t="s">
        <v>11440</v>
      </c>
    </row>
    <row r="169" spans="1:1" x14ac:dyDescent="0.25">
      <c r="A169" t="s">
        <v>11441</v>
      </c>
    </row>
    <row r="170" spans="1:1" x14ac:dyDescent="0.25">
      <c r="A170" t="s">
        <v>11442</v>
      </c>
    </row>
    <row r="171" spans="1:1" x14ac:dyDescent="0.25">
      <c r="A171" t="s">
        <v>11443</v>
      </c>
    </row>
    <row r="172" spans="1:1" x14ac:dyDescent="0.25">
      <c r="A172" t="s">
        <v>11444</v>
      </c>
    </row>
    <row r="173" spans="1:1" x14ac:dyDescent="0.25">
      <c r="A173" t="s">
        <v>11445</v>
      </c>
    </row>
    <row r="174" spans="1:1" x14ac:dyDescent="0.25">
      <c r="A174" t="s">
        <v>11446</v>
      </c>
    </row>
    <row r="175" spans="1:1" x14ac:dyDescent="0.25">
      <c r="A175" t="s">
        <v>11447</v>
      </c>
    </row>
    <row r="176" spans="1:1" x14ac:dyDescent="0.25">
      <c r="A176" t="s">
        <v>11448</v>
      </c>
    </row>
    <row r="177" spans="1:1" x14ac:dyDescent="0.25">
      <c r="A177" t="s">
        <v>11449</v>
      </c>
    </row>
    <row r="178" spans="1:1" x14ac:dyDescent="0.25">
      <c r="A178" t="s">
        <v>11450</v>
      </c>
    </row>
    <row r="179" spans="1:1" x14ac:dyDescent="0.25">
      <c r="A179" t="s">
        <v>11451</v>
      </c>
    </row>
    <row r="180" spans="1:1" x14ac:dyDescent="0.25">
      <c r="A180" t="s">
        <v>11452</v>
      </c>
    </row>
    <row r="181" spans="1:1" x14ac:dyDescent="0.25">
      <c r="A181" t="s">
        <v>11453</v>
      </c>
    </row>
    <row r="182" spans="1:1" x14ac:dyDescent="0.25">
      <c r="A182" t="s">
        <v>11454</v>
      </c>
    </row>
    <row r="183" spans="1:1" x14ac:dyDescent="0.25">
      <c r="A183" t="s">
        <v>11455</v>
      </c>
    </row>
    <row r="184" spans="1:1" x14ac:dyDescent="0.25">
      <c r="A184" t="s">
        <v>11456</v>
      </c>
    </row>
    <row r="185" spans="1:1" x14ac:dyDescent="0.25">
      <c r="A185" t="s">
        <v>11457</v>
      </c>
    </row>
    <row r="186" spans="1:1" x14ac:dyDescent="0.25">
      <c r="A186" t="s">
        <v>11458</v>
      </c>
    </row>
    <row r="187" spans="1:1" x14ac:dyDescent="0.25">
      <c r="A187" t="s">
        <v>11459</v>
      </c>
    </row>
    <row r="188" spans="1:1" x14ac:dyDescent="0.25">
      <c r="A188" t="s">
        <v>11460</v>
      </c>
    </row>
    <row r="189" spans="1:1" x14ac:dyDescent="0.25">
      <c r="A189" t="s">
        <v>11461</v>
      </c>
    </row>
    <row r="190" spans="1:1" x14ac:dyDescent="0.25">
      <c r="A190" t="s">
        <v>11462</v>
      </c>
    </row>
    <row r="191" spans="1:1" x14ac:dyDescent="0.25">
      <c r="A191" t="s">
        <v>11463</v>
      </c>
    </row>
    <row r="192" spans="1:1" x14ac:dyDescent="0.25">
      <c r="A192" t="s">
        <v>11464</v>
      </c>
    </row>
    <row r="193" spans="1:1" x14ac:dyDescent="0.25">
      <c r="A193" t="s">
        <v>11465</v>
      </c>
    </row>
    <row r="194" spans="1:1" x14ac:dyDescent="0.25">
      <c r="A194" t="s">
        <v>11466</v>
      </c>
    </row>
    <row r="195" spans="1:1" x14ac:dyDescent="0.25">
      <c r="A195" t="s">
        <v>11467</v>
      </c>
    </row>
    <row r="196" spans="1:1" x14ac:dyDescent="0.25">
      <c r="A196" t="s">
        <v>11468</v>
      </c>
    </row>
    <row r="197" spans="1:1" x14ac:dyDescent="0.25">
      <c r="A197" t="s">
        <v>11469</v>
      </c>
    </row>
    <row r="198" spans="1:1" x14ac:dyDescent="0.25">
      <c r="A198" t="s">
        <v>11470</v>
      </c>
    </row>
    <row r="199" spans="1:1" x14ac:dyDescent="0.25">
      <c r="A199" t="s">
        <v>11471</v>
      </c>
    </row>
    <row r="200" spans="1:1" x14ac:dyDescent="0.25">
      <c r="A200" t="s">
        <v>11472</v>
      </c>
    </row>
    <row r="201" spans="1:1" x14ac:dyDescent="0.25">
      <c r="A201" t="s">
        <v>11473</v>
      </c>
    </row>
    <row r="202" spans="1:1" x14ac:dyDescent="0.25">
      <c r="A202" t="s">
        <v>11474</v>
      </c>
    </row>
    <row r="203" spans="1:1" x14ac:dyDescent="0.25">
      <c r="A203" t="s">
        <v>11475</v>
      </c>
    </row>
    <row r="204" spans="1:1" x14ac:dyDescent="0.25">
      <c r="A204" t="s">
        <v>11476</v>
      </c>
    </row>
    <row r="205" spans="1:1" x14ac:dyDescent="0.25">
      <c r="A205" t="s">
        <v>11477</v>
      </c>
    </row>
    <row r="206" spans="1:1" x14ac:dyDescent="0.25">
      <c r="A206" t="s">
        <v>11478</v>
      </c>
    </row>
    <row r="207" spans="1:1" x14ac:dyDescent="0.25">
      <c r="A207" t="s">
        <v>11479</v>
      </c>
    </row>
    <row r="208" spans="1:1" x14ac:dyDescent="0.25">
      <c r="A208" t="s">
        <v>11480</v>
      </c>
    </row>
    <row r="209" spans="1:1" x14ac:dyDescent="0.25">
      <c r="A209" t="s">
        <v>11481</v>
      </c>
    </row>
    <row r="210" spans="1:1" x14ac:dyDescent="0.25">
      <c r="A210" t="s">
        <v>11482</v>
      </c>
    </row>
    <row r="211" spans="1:1" x14ac:dyDescent="0.25">
      <c r="A211" t="s">
        <v>11483</v>
      </c>
    </row>
    <row r="212" spans="1:1" x14ac:dyDescent="0.25">
      <c r="A212" t="s">
        <v>11484</v>
      </c>
    </row>
    <row r="213" spans="1:1" x14ac:dyDescent="0.25">
      <c r="A213" t="s">
        <v>11485</v>
      </c>
    </row>
    <row r="214" spans="1:1" x14ac:dyDescent="0.25">
      <c r="A214" t="s">
        <v>11486</v>
      </c>
    </row>
    <row r="215" spans="1:1" x14ac:dyDescent="0.25">
      <c r="A215" t="s">
        <v>11487</v>
      </c>
    </row>
    <row r="216" spans="1:1" x14ac:dyDescent="0.25">
      <c r="A216" t="s">
        <v>11488</v>
      </c>
    </row>
    <row r="217" spans="1:1" x14ac:dyDescent="0.25">
      <c r="A217" t="s">
        <v>11489</v>
      </c>
    </row>
    <row r="218" spans="1:1" x14ac:dyDescent="0.25">
      <c r="A218" t="s">
        <v>11490</v>
      </c>
    </row>
    <row r="219" spans="1:1" x14ac:dyDescent="0.25">
      <c r="A219" t="s">
        <v>11491</v>
      </c>
    </row>
    <row r="220" spans="1:1" x14ac:dyDescent="0.25">
      <c r="A220" t="s">
        <v>11492</v>
      </c>
    </row>
    <row r="221" spans="1:1" x14ac:dyDescent="0.25">
      <c r="A221" t="s">
        <v>11493</v>
      </c>
    </row>
    <row r="222" spans="1:1" x14ac:dyDescent="0.25">
      <c r="A222" t="s">
        <v>11494</v>
      </c>
    </row>
    <row r="223" spans="1:1" x14ac:dyDescent="0.25">
      <c r="A223" t="s">
        <v>11495</v>
      </c>
    </row>
    <row r="224" spans="1:1" x14ac:dyDescent="0.25">
      <c r="A224" t="s">
        <v>11496</v>
      </c>
    </row>
    <row r="225" spans="1:1" x14ac:dyDescent="0.25">
      <c r="A225" t="s">
        <v>11497</v>
      </c>
    </row>
    <row r="226" spans="1:1" x14ac:dyDescent="0.25">
      <c r="A226" t="s">
        <v>11498</v>
      </c>
    </row>
    <row r="227" spans="1:1" x14ac:dyDescent="0.25">
      <c r="A227" t="s">
        <v>11499</v>
      </c>
    </row>
    <row r="228" spans="1:1" x14ac:dyDescent="0.25">
      <c r="A228" t="s">
        <v>11500</v>
      </c>
    </row>
    <row r="229" spans="1:1" x14ac:dyDescent="0.25">
      <c r="A229" t="s">
        <v>11501</v>
      </c>
    </row>
    <row r="230" spans="1:1" x14ac:dyDescent="0.25">
      <c r="A230" t="s">
        <v>11502</v>
      </c>
    </row>
    <row r="231" spans="1:1" x14ac:dyDescent="0.25">
      <c r="A231" t="s">
        <v>11503</v>
      </c>
    </row>
    <row r="232" spans="1:1" x14ac:dyDescent="0.25">
      <c r="A232" t="s">
        <v>11504</v>
      </c>
    </row>
    <row r="233" spans="1:1" x14ac:dyDescent="0.25">
      <c r="A233" t="s">
        <v>11505</v>
      </c>
    </row>
    <row r="234" spans="1:1" x14ac:dyDescent="0.25">
      <c r="A234" t="s">
        <v>11506</v>
      </c>
    </row>
    <row r="235" spans="1:1" x14ac:dyDescent="0.25">
      <c r="A235" t="s">
        <v>11507</v>
      </c>
    </row>
    <row r="236" spans="1:1" x14ac:dyDescent="0.25">
      <c r="A236" t="s">
        <v>11508</v>
      </c>
    </row>
    <row r="237" spans="1:1" x14ac:dyDescent="0.25">
      <c r="A237" t="s">
        <v>11509</v>
      </c>
    </row>
    <row r="238" spans="1:1" x14ac:dyDescent="0.25">
      <c r="A238" t="s">
        <v>11510</v>
      </c>
    </row>
    <row r="239" spans="1:1" x14ac:dyDescent="0.25">
      <c r="A239" t="s">
        <v>11511</v>
      </c>
    </row>
    <row r="240" spans="1:1" x14ac:dyDescent="0.25">
      <c r="A240" t="s">
        <v>11512</v>
      </c>
    </row>
    <row r="241" spans="1:1" x14ac:dyDescent="0.25">
      <c r="A241" t="s">
        <v>11513</v>
      </c>
    </row>
    <row r="242" spans="1:1" x14ac:dyDescent="0.25">
      <c r="A242" t="s">
        <v>11514</v>
      </c>
    </row>
    <row r="243" spans="1:1" x14ac:dyDescent="0.25">
      <c r="A243" t="s">
        <v>11515</v>
      </c>
    </row>
    <row r="244" spans="1:1" x14ac:dyDescent="0.25">
      <c r="A244" t="s">
        <v>11516</v>
      </c>
    </row>
    <row r="245" spans="1:1" x14ac:dyDescent="0.25">
      <c r="A245" t="s">
        <v>11517</v>
      </c>
    </row>
    <row r="246" spans="1:1" x14ac:dyDescent="0.25">
      <c r="A246" t="s">
        <v>11518</v>
      </c>
    </row>
    <row r="247" spans="1:1" x14ac:dyDescent="0.25">
      <c r="A247" t="s">
        <v>11519</v>
      </c>
    </row>
    <row r="248" spans="1:1" x14ac:dyDescent="0.25">
      <c r="A248" t="s">
        <v>11520</v>
      </c>
    </row>
    <row r="249" spans="1:1" x14ac:dyDescent="0.25">
      <c r="A249" t="s">
        <v>11521</v>
      </c>
    </row>
    <row r="250" spans="1:1" x14ac:dyDescent="0.25">
      <c r="A250" t="s">
        <v>11522</v>
      </c>
    </row>
    <row r="251" spans="1:1" x14ac:dyDescent="0.25">
      <c r="A251" t="s">
        <v>11523</v>
      </c>
    </row>
    <row r="252" spans="1:1" x14ac:dyDescent="0.25">
      <c r="A252" t="s">
        <v>11524</v>
      </c>
    </row>
    <row r="253" spans="1:1" x14ac:dyDescent="0.25">
      <c r="A253" t="s">
        <v>11525</v>
      </c>
    </row>
    <row r="254" spans="1:1" x14ac:dyDescent="0.25">
      <c r="A254" t="s">
        <v>11526</v>
      </c>
    </row>
    <row r="255" spans="1:1" x14ac:dyDescent="0.25">
      <c r="A255" t="s">
        <v>11527</v>
      </c>
    </row>
    <row r="256" spans="1:1" x14ac:dyDescent="0.25">
      <c r="A256" t="s">
        <v>11528</v>
      </c>
    </row>
    <row r="257" spans="1:1" x14ac:dyDescent="0.25">
      <c r="A257" t="s">
        <v>11529</v>
      </c>
    </row>
    <row r="258" spans="1:1" x14ac:dyDescent="0.25">
      <c r="A258" t="s">
        <v>11530</v>
      </c>
    </row>
    <row r="259" spans="1:1" x14ac:dyDescent="0.25">
      <c r="A259" t="s">
        <v>11531</v>
      </c>
    </row>
    <row r="260" spans="1:1" x14ac:dyDescent="0.25">
      <c r="A260" t="s">
        <v>11532</v>
      </c>
    </row>
    <row r="261" spans="1:1" x14ac:dyDescent="0.25">
      <c r="A261" t="s">
        <v>11533</v>
      </c>
    </row>
    <row r="262" spans="1:1" x14ac:dyDescent="0.25">
      <c r="A262" t="s">
        <v>11534</v>
      </c>
    </row>
    <row r="263" spans="1:1" x14ac:dyDescent="0.25">
      <c r="A263" t="s">
        <v>11535</v>
      </c>
    </row>
    <row r="264" spans="1:1" x14ac:dyDescent="0.25">
      <c r="A264" t="s">
        <v>11536</v>
      </c>
    </row>
    <row r="265" spans="1:1" x14ac:dyDescent="0.25">
      <c r="A265" t="s">
        <v>11537</v>
      </c>
    </row>
    <row r="266" spans="1:1" x14ac:dyDescent="0.25">
      <c r="A266" t="s">
        <v>11538</v>
      </c>
    </row>
    <row r="267" spans="1:1" x14ac:dyDescent="0.25">
      <c r="A267" t="s">
        <v>11539</v>
      </c>
    </row>
    <row r="268" spans="1:1" x14ac:dyDescent="0.25">
      <c r="A268" t="s">
        <v>11540</v>
      </c>
    </row>
    <row r="269" spans="1:1" x14ac:dyDescent="0.25">
      <c r="A269" t="s">
        <v>11541</v>
      </c>
    </row>
    <row r="270" spans="1:1" x14ac:dyDescent="0.25">
      <c r="A270" t="s">
        <v>11542</v>
      </c>
    </row>
    <row r="271" spans="1:1" x14ac:dyDescent="0.25">
      <c r="A271" t="s">
        <v>11543</v>
      </c>
    </row>
    <row r="272" spans="1:1" x14ac:dyDescent="0.25">
      <c r="A272" t="s">
        <v>11544</v>
      </c>
    </row>
    <row r="273" spans="1:1" x14ac:dyDescent="0.25">
      <c r="A273" t="s">
        <v>11545</v>
      </c>
    </row>
    <row r="274" spans="1:1" x14ac:dyDescent="0.25">
      <c r="A274" t="s">
        <v>11546</v>
      </c>
    </row>
    <row r="275" spans="1:1" x14ac:dyDescent="0.25">
      <c r="A275" t="s">
        <v>11547</v>
      </c>
    </row>
    <row r="276" spans="1:1" x14ac:dyDescent="0.25">
      <c r="A276" t="s">
        <v>11548</v>
      </c>
    </row>
    <row r="277" spans="1:1" x14ac:dyDescent="0.25">
      <c r="A277" t="s">
        <v>11549</v>
      </c>
    </row>
    <row r="278" spans="1:1" x14ac:dyDescent="0.25">
      <c r="A278" t="s">
        <v>11550</v>
      </c>
    </row>
    <row r="279" spans="1:1" x14ac:dyDescent="0.25">
      <c r="A279" t="s">
        <v>11551</v>
      </c>
    </row>
    <row r="280" spans="1:1" x14ac:dyDescent="0.25">
      <c r="A280" t="s">
        <v>11552</v>
      </c>
    </row>
    <row r="281" spans="1:1" x14ac:dyDescent="0.25">
      <c r="A281" t="s">
        <v>11553</v>
      </c>
    </row>
    <row r="282" spans="1:1" x14ac:dyDescent="0.25">
      <c r="A282" t="s">
        <v>11554</v>
      </c>
    </row>
    <row r="283" spans="1:1" x14ac:dyDescent="0.25">
      <c r="A283" t="s">
        <v>11555</v>
      </c>
    </row>
    <row r="284" spans="1:1" x14ac:dyDescent="0.25">
      <c r="A284" t="s">
        <v>11556</v>
      </c>
    </row>
    <row r="285" spans="1:1" x14ac:dyDescent="0.25">
      <c r="A285" t="s">
        <v>11557</v>
      </c>
    </row>
    <row r="286" spans="1:1" x14ac:dyDescent="0.25">
      <c r="A286" t="s">
        <v>11558</v>
      </c>
    </row>
    <row r="287" spans="1:1" x14ac:dyDescent="0.25">
      <c r="A287" t="s">
        <v>11559</v>
      </c>
    </row>
    <row r="288" spans="1:1" x14ac:dyDescent="0.25">
      <c r="A288" t="s">
        <v>11560</v>
      </c>
    </row>
    <row r="289" spans="1:1" x14ac:dyDescent="0.25">
      <c r="A289" t="s">
        <v>11561</v>
      </c>
    </row>
    <row r="290" spans="1:1" x14ac:dyDescent="0.25">
      <c r="A290" t="s">
        <v>11562</v>
      </c>
    </row>
    <row r="291" spans="1:1" x14ac:dyDescent="0.25">
      <c r="A291" t="s">
        <v>11563</v>
      </c>
    </row>
    <row r="292" spans="1:1" x14ac:dyDescent="0.25">
      <c r="A292" t="s">
        <v>11564</v>
      </c>
    </row>
    <row r="293" spans="1:1" x14ac:dyDescent="0.25">
      <c r="A293" t="s">
        <v>11565</v>
      </c>
    </row>
    <row r="294" spans="1:1" x14ac:dyDescent="0.25">
      <c r="A294" t="s">
        <v>11566</v>
      </c>
    </row>
    <row r="295" spans="1:1" x14ac:dyDescent="0.25">
      <c r="A295" t="s">
        <v>11567</v>
      </c>
    </row>
    <row r="296" spans="1:1" x14ac:dyDescent="0.25">
      <c r="A296" t="s">
        <v>11568</v>
      </c>
    </row>
    <row r="297" spans="1:1" x14ac:dyDescent="0.25">
      <c r="A297" t="s">
        <v>11569</v>
      </c>
    </row>
    <row r="298" spans="1:1" x14ac:dyDescent="0.25">
      <c r="A298" t="s">
        <v>11570</v>
      </c>
    </row>
    <row r="299" spans="1:1" x14ac:dyDescent="0.25">
      <c r="A299" t="s">
        <v>11571</v>
      </c>
    </row>
    <row r="300" spans="1:1" x14ac:dyDescent="0.25">
      <c r="A300" t="s">
        <v>11572</v>
      </c>
    </row>
    <row r="301" spans="1:1" x14ac:dyDescent="0.25">
      <c r="A301" t="s">
        <v>11573</v>
      </c>
    </row>
    <row r="302" spans="1:1" x14ac:dyDescent="0.25">
      <c r="A302" t="s">
        <v>11574</v>
      </c>
    </row>
    <row r="303" spans="1:1" x14ac:dyDescent="0.25">
      <c r="A303" t="s">
        <v>11575</v>
      </c>
    </row>
    <row r="304" spans="1:1" x14ac:dyDescent="0.25">
      <c r="A304" t="s">
        <v>11576</v>
      </c>
    </row>
    <row r="305" spans="1:1" x14ac:dyDescent="0.25">
      <c r="A305" t="s">
        <v>11577</v>
      </c>
    </row>
    <row r="306" spans="1:1" x14ac:dyDescent="0.25">
      <c r="A306" t="s">
        <v>11578</v>
      </c>
    </row>
    <row r="307" spans="1:1" x14ac:dyDescent="0.25">
      <c r="A307" t="s">
        <v>11579</v>
      </c>
    </row>
    <row r="308" spans="1:1" x14ac:dyDescent="0.25">
      <c r="A308" t="s">
        <v>11580</v>
      </c>
    </row>
    <row r="309" spans="1:1" x14ac:dyDescent="0.25">
      <c r="A309" t="s">
        <v>11581</v>
      </c>
    </row>
    <row r="310" spans="1:1" x14ac:dyDescent="0.25">
      <c r="A310" t="s">
        <v>11582</v>
      </c>
    </row>
    <row r="311" spans="1:1" x14ac:dyDescent="0.25">
      <c r="A311" t="s">
        <v>11583</v>
      </c>
    </row>
    <row r="312" spans="1:1" x14ac:dyDescent="0.25">
      <c r="A312" t="s">
        <v>11584</v>
      </c>
    </row>
    <row r="313" spans="1:1" x14ac:dyDescent="0.25">
      <c r="A313" t="s">
        <v>11585</v>
      </c>
    </row>
    <row r="314" spans="1:1" x14ac:dyDescent="0.25">
      <c r="A314" t="s">
        <v>11586</v>
      </c>
    </row>
    <row r="315" spans="1:1" x14ac:dyDescent="0.25">
      <c r="A315" t="s">
        <v>11587</v>
      </c>
    </row>
    <row r="316" spans="1:1" x14ac:dyDescent="0.25">
      <c r="A316" t="s">
        <v>11588</v>
      </c>
    </row>
    <row r="317" spans="1:1" x14ac:dyDescent="0.25">
      <c r="A317" t="s">
        <v>11589</v>
      </c>
    </row>
    <row r="318" spans="1:1" x14ac:dyDescent="0.25">
      <c r="A318" t="s">
        <v>11590</v>
      </c>
    </row>
    <row r="319" spans="1:1" x14ac:dyDescent="0.25">
      <c r="A319" t="s">
        <v>11591</v>
      </c>
    </row>
    <row r="320" spans="1:1" x14ac:dyDescent="0.25">
      <c r="A320" t="s">
        <v>11592</v>
      </c>
    </row>
    <row r="321" spans="1:1" x14ac:dyDescent="0.25">
      <c r="A321" t="s">
        <v>11593</v>
      </c>
    </row>
    <row r="322" spans="1:1" x14ac:dyDescent="0.25">
      <c r="A322" t="s">
        <v>11594</v>
      </c>
    </row>
    <row r="323" spans="1:1" x14ac:dyDescent="0.25">
      <c r="A323" t="s">
        <v>11595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4"/>
  <sheetViews>
    <sheetView workbookViewId="0"/>
  </sheetViews>
  <sheetFormatPr defaultRowHeight="15" x14ac:dyDescent="0.25"/>
  <sheetData>
    <row r="1" spans="1:1" x14ac:dyDescent="0.25">
      <c r="A1" t="s">
        <v>11596</v>
      </c>
    </row>
    <row r="2" spans="1:1" x14ac:dyDescent="0.25">
      <c r="A2" t="s">
        <v>11597</v>
      </c>
    </row>
    <row r="3" spans="1:1" x14ac:dyDescent="0.25">
      <c r="A3" t="s">
        <v>11598</v>
      </c>
    </row>
    <row r="4" spans="1:1" x14ac:dyDescent="0.25">
      <c r="A4" t="s">
        <v>11599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9"/>
  <sheetViews>
    <sheetView workbookViewId="0"/>
  </sheetViews>
  <sheetFormatPr defaultRowHeight="15" x14ac:dyDescent="0.25"/>
  <sheetData>
    <row r="1" spans="1:1" x14ac:dyDescent="0.25">
      <c r="A1" t="s">
        <v>11600</v>
      </c>
    </row>
    <row r="2" spans="1:1" x14ac:dyDescent="0.25">
      <c r="A2" t="s">
        <v>11601</v>
      </c>
    </row>
    <row r="3" spans="1:1" x14ac:dyDescent="0.25">
      <c r="A3" t="s">
        <v>11602</v>
      </c>
    </row>
    <row r="4" spans="1:1" x14ac:dyDescent="0.25">
      <c r="A4" t="s">
        <v>11603</v>
      </c>
    </row>
    <row r="5" spans="1:1" x14ac:dyDescent="0.25">
      <c r="A5" t="s">
        <v>11604</v>
      </c>
    </row>
    <row r="6" spans="1:1" x14ac:dyDescent="0.25">
      <c r="A6" t="s">
        <v>11605</v>
      </c>
    </row>
    <row r="7" spans="1:1" x14ac:dyDescent="0.25">
      <c r="A7" t="s">
        <v>11606</v>
      </c>
    </row>
    <row r="8" spans="1:1" x14ac:dyDescent="0.25">
      <c r="A8" t="s">
        <v>11607</v>
      </c>
    </row>
    <row r="9" spans="1:1" x14ac:dyDescent="0.25">
      <c r="A9" t="s">
        <v>11608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793</vt:i4>
      </vt:variant>
    </vt:vector>
  </HeadingPairs>
  <TitlesOfParts>
    <vt:vector size="814" baseType="lpstr">
      <vt:lpstr>ImportAsset</vt:lpstr>
      <vt:lpstr>Hướng dẫn nhập thông tin</vt:lpstr>
      <vt:lpstr>AssetCategories</vt:lpstr>
      <vt:lpstr>Location</vt:lpstr>
      <vt:lpstr>Department</vt:lpstr>
      <vt:lpstr>Units</vt:lpstr>
      <vt:lpstr>DocumentAttacks</vt:lpstr>
      <vt:lpstr>Projects</vt:lpstr>
      <vt:lpstr>Provinces</vt:lpstr>
      <vt:lpstr>Districts</vt:lpstr>
      <vt:lpstr>Wards</vt:lpstr>
      <vt:lpstr>AssetDepartment</vt:lpstr>
      <vt:lpstr>Original</vt:lpstr>
      <vt:lpstr>CountryProducer</vt:lpstr>
      <vt:lpstr>UserUsed</vt:lpstr>
      <vt:lpstr>AssetGround</vt:lpstr>
      <vt:lpstr>TypeUsed</vt:lpstr>
      <vt:lpstr>PositionName</vt:lpstr>
      <vt:lpstr>MedicineType</vt:lpstr>
      <vt:lpstr>MedicineGroup</vt:lpstr>
      <vt:lpstr>GoalsUseGround</vt:lpstr>
      <vt:lpstr>category_STT_10_Quyensudungdat</vt:lpstr>
      <vt:lpstr>category_STT_3_Nhacongtrinhxaydung</vt:lpstr>
      <vt:lpstr>category_STT_4_Vatkientruc</vt:lpstr>
      <vt:lpstr>category_STT_5_Xeoto</vt:lpstr>
      <vt:lpstr>category_STT_6_Phuongtienvantaikhac</vt:lpstr>
      <vt:lpstr>category_STT_7_Maymocthietbi</vt:lpstr>
      <vt:lpstr>category_STT_8_Caylaunamsucvatlamviec</vt:lpstr>
      <vt:lpstr>category_STT_9_Taisancodinhhuuhinhkhac</vt:lpstr>
      <vt:lpstr>districts_STT_001_BaDinh</vt:lpstr>
      <vt:lpstr>districts_STT_002_HoanKiem</vt:lpstr>
      <vt:lpstr>districts_STT_003_TayHo</vt:lpstr>
      <vt:lpstr>districts_STT_004_LongBien</vt:lpstr>
      <vt:lpstr>districts_STT_005_CauGiay</vt:lpstr>
      <vt:lpstr>districts_STT_006_DongDa</vt:lpstr>
      <vt:lpstr>districts_STT_007_HaiBaTrung</vt:lpstr>
      <vt:lpstr>districts_STT_008_HoangMai</vt:lpstr>
      <vt:lpstr>districts_STT_009_ThanhXuan</vt:lpstr>
      <vt:lpstr>districts_STT_016_SocSon</vt:lpstr>
      <vt:lpstr>districts_STT_017_DongAnh</vt:lpstr>
      <vt:lpstr>districts_STT_018_GiaLam</vt:lpstr>
      <vt:lpstr>districts_STT_019_NamTuLiem</vt:lpstr>
      <vt:lpstr>districts_STT_020_ThanhTri</vt:lpstr>
      <vt:lpstr>districts_STT_021_BacTuLiem</vt:lpstr>
      <vt:lpstr>districts_STT_024_HaGiang</vt:lpstr>
      <vt:lpstr>districts_STT_026_DongVan</vt:lpstr>
      <vt:lpstr>districts_STT_027_MeoVac</vt:lpstr>
      <vt:lpstr>districts_STT_028_YenMinh</vt:lpstr>
      <vt:lpstr>districts_STT_029_QuanBa</vt:lpstr>
      <vt:lpstr>districts_STT_030_ViXuyen</vt:lpstr>
      <vt:lpstr>districts_STT_031_BacMe</vt:lpstr>
      <vt:lpstr>districts_STT_032_HoangSuPhi</vt:lpstr>
      <vt:lpstr>districts_STT_033_XinMan</vt:lpstr>
      <vt:lpstr>districts_STT_034_BacQuang</vt:lpstr>
      <vt:lpstr>districts_STT_035_QuangBinh</vt:lpstr>
      <vt:lpstr>districts_STT_040_CaoBang</vt:lpstr>
      <vt:lpstr>districts_STT_042_BaoLam</vt:lpstr>
      <vt:lpstr>districts_STT_043_BaoLac</vt:lpstr>
      <vt:lpstr>districts_STT_045_HaQuang</vt:lpstr>
      <vt:lpstr>districts_STT_047_TrungKhanh</vt:lpstr>
      <vt:lpstr>districts_STT_048_HaLang</vt:lpstr>
      <vt:lpstr>districts_STT_049_QuangHoa</vt:lpstr>
      <vt:lpstr>districts_STT_051_HoaAn</vt:lpstr>
      <vt:lpstr>districts_STT_052_NguyenBinh</vt:lpstr>
      <vt:lpstr>districts_STT_053_ThachAn</vt:lpstr>
      <vt:lpstr>districts_STT_058_BacKan</vt:lpstr>
      <vt:lpstr>districts_STT_060_PacNam</vt:lpstr>
      <vt:lpstr>districts_STT_061_BaBe</vt:lpstr>
      <vt:lpstr>districts_STT_062_NganSon</vt:lpstr>
      <vt:lpstr>districts_STT_063_BachThong</vt:lpstr>
      <vt:lpstr>districts_STT_064_ChoDon</vt:lpstr>
      <vt:lpstr>districts_STT_065_ChoMoi</vt:lpstr>
      <vt:lpstr>districts_STT_066_NaRi</vt:lpstr>
      <vt:lpstr>districts_STT_070_TuyenQuang</vt:lpstr>
      <vt:lpstr>districts_STT_071_LamBinh</vt:lpstr>
      <vt:lpstr>districts_STT_072_NaHang</vt:lpstr>
      <vt:lpstr>districts_STT_073_ChiemHoa</vt:lpstr>
      <vt:lpstr>districts_STT_074_HamYen</vt:lpstr>
      <vt:lpstr>districts_STT_075_YenSon</vt:lpstr>
      <vt:lpstr>districts_STT_076_SonDuong</vt:lpstr>
      <vt:lpstr>districts_STT_080_LaoCai</vt:lpstr>
      <vt:lpstr>districts_STT_082_BatXat</vt:lpstr>
      <vt:lpstr>districts_STT_083_MuongKhuong</vt:lpstr>
      <vt:lpstr>districts_STT_084_SiMaCai</vt:lpstr>
      <vt:lpstr>districts_STT_085_BacHa</vt:lpstr>
      <vt:lpstr>districts_STT_086_BaoThang</vt:lpstr>
      <vt:lpstr>districts_STT_087_BaoYen</vt:lpstr>
      <vt:lpstr>districts_STT_088_SaPa</vt:lpstr>
      <vt:lpstr>districts_STT_089_VanBan</vt:lpstr>
      <vt:lpstr>districts_STT_094_DienBienPhu</vt:lpstr>
      <vt:lpstr>districts_STT_095_MuongLay</vt:lpstr>
      <vt:lpstr>districts_STT_096_MuongNhe</vt:lpstr>
      <vt:lpstr>districts_STT_097_MuongCha</vt:lpstr>
      <vt:lpstr>districts_STT_098_TuaChua</vt:lpstr>
      <vt:lpstr>districts_STT_099_TuanGiao</vt:lpstr>
      <vt:lpstr>districts_STT_100_DienBien</vt:lpstr>
      <vt:lpstr>districts_STT_101_DienBienDong</vt:lpstr>
      <vt:lpstr>districts_STT_102_Muongng</vt:lpstr>
      <vt:lpstr>districts_STT_103_NamPo</vt:lpstr>
      <vt:lpstr>districts_STT_105_LaiChau</vt:lpstr>
      <vt:lpstr>districts_STT_106_TamDuong</vt:lpstr>
      <vt:lpstr>districts_STT_107_MuongTe</vt:lpstr>
      <vt:lpstr>districts_STT_108_SinHo</vt:lpstr>
      <vt:lpstr>districts_STT_109_PhongTho</vt:lpstr>
      <vt:lpstr>districts_STT_110_ThanUyen</vt:lpstr>
      <vt:lpstr>districts_STT_111_TanUyen</vt:lpstr>
      <vt:lpstr>districts_STT_112_NamNhun</vt:lpstr>
      <vt:lpstr>districts_STT_116_SonLa</vt:lpstr>
      <vt:lpstr>districts_STT_118_QuynhNhai</vt:lpstr>
      <vt:lpstr>districts_STT_119_ThuanChau</vt:lpstr>
      <vt:lpstr>districts_STT_120_MuongLa</vt:lpstr>
      <vt:lpstr>districts_STT_121_BacYen</vt:lpstr>
      <vt:lpstr>districts_STT_122_PhuYen</vt:lpstr>
      <vt:lpstr>districts_STT_123_MocChau</vt:lpstr>
      <vt:lpstr>districts_STT_124_YenChau</vt:lpstr>
      <vt:lpstr>districts_STT_125_MaiSon</vt:lpstr>
      <vt:lpstr>districts_STT_126_SongMa</vt:lpstr>
      <vt:lpstr>districts_STT_127_SopCop</vt:lpstr>
      <vt:lpstr>districts_STT_128_VanHo</vt:lpstr>
      <vt:lpstr>districts_STT_132_YenBai</vt:lpstr>
      <vt:lpstr>districts_STT_133_NghiaLo</vt:lpstr>
      <vt:lpstr>districts_STT_135_LucYen</vt:lpstr>
      <vt:lpstr>districts_STT_136_VanYen</vt:lpstr>
      <vt:lpstr>districts_STT_137_MuCangChai</vt:lpstr>
      <vt:lpstr>districts_STT_138_TranYen</vt:lpstr>
      <vt:lpstr>districts_STT_139_TramTau</vt:lpstr>
      <vt:lpstr>districts_STT_140_VanChan</vt:lpstr>
      <vt:lpstr>districts_STT_141_YenBinh</vt:lpstr>
      <vt:lpstr>districts_STT_148_HoaBinh</vt:lpstr>
      <vt:lpstr>districts_STT_150_DaBac</vt:lpstr>
      <vt:lpstr>districts_STT_152_LuongSon</vt:lpstr>
      <vt:lpstr>districts_STT_153_KimBoi</vt:lpstr>
      <vt:lpstr>districts_STT_154_CaoPhong</vt:lpstr>
      <vt:lpstr>districts_STT_155_TanLac</vt:lpstr>
      <vt:lpstr>districts_STT_156_MaiChau</vt:lpstr>
      <vt:lpstr>districts_STT_157_LacSon</vt:lpstr>
      <vt:lpstr>districts_STT_158_YenThuy</vt:lpstr>
      <vt:lpstr>districts_STT_159_LacThuy</vt:lpstr>
      <vt:lpstr>districts_STT_164_ThaiNguyen</vt:lpstr>
      <vt:lpstr>districts_STT_165_SongCong</vt:lpstr>
      <vt:lpstr>districts_STT_167_DinhHoa</vt:lpstr>
      <vt:lpstr>districts_STT_168_PhuLuong</vt:lpstr>
      <vt:lpstr>districts_STT_169_DongHy</vt:lpstr>
      <vt:lpstr>districts_STT_170_VoNhai</vt:lpstr>
      <vt:lpstr>districts_STT_171_DaiTu</vt:lpstr>
      <vt:lpstr>districts_STT_172_PhoYen</vt:lpstr>
      <vt:lpstr>districts_STT_173_PhuBinh</vt:lpstr>
      <vt:lpstr>districts_STT_178_LangSon</vt:lpstr>
      <vt:lpstr>districts_STT_180_TrangDinh</vt:lpstr>
      <vt:lpstr>districts_STT_181_BinhGia</vt:lpstr>
      <vt:lpstr>districts_STT_182_VanLang</vt:lpstr>
      <vt:lpstr>districts_STT_183_CaoLoc</vt:lpstr>
      <vt:lpstr>districts_STT_184_VanQuan</vt:lpstr>
      <vt:lpstr>districts_STT_185_BacSon</vt:lpstr>
      <vt:lpstr>districts_STT_186_HuuLung</vt:lpstr>
      <vt:lpstr>districts_STT_187_ChiLang</vt:lpstr>
      <vt:lpstr>districts_STT_188_LocBinh</vt:lpstr>
      <vt:lpstr>districts_STT_189_DinhLap</vt:lpstr>
      <vt:lpstr>districts_STT_193_HaLong</vt:lpstr>
      <vt:lpstr>districts_STT_194_MongCai</vt:lpstr>
      <vt:lpstr>districts_STT_195_CamPha</vt:lpstr>
      <vt:lpstr>districts_STT_196_UongBi</vt:lpstr>
      <vt:lpstr>districts_STT_198_BinhLieu</vt:lpstr>
      <vt:lpstr>districts_STT_199_TienYen</vt:lpstr>
      <vt:lpstr>districts_STT_200_DamHa</vt:lpstr>
      <vt:lpstr>districts_STT_201_HaiHa</vt:lpstr>
      <vt:lpstr>districts_STT_202_BaChe</vt:lpstr>
      <vt:lpstr>districts_STT_203_VanDon</vt:lpstr>
      <vt:lpstr>districts_STT_205_DongTrieu</vt:lpstr>
      <vt:lpstr>districts_STT_206_QuangYen</vt:lpstr>
      <vt:lpstr>districts_STT_207_CoTo</vt:lpstr>
      <vt:lpstr>districts_STT_213_BacGiang</vt:lpstr>
      <vt:lpstr>districts_STT_215_YenThe</vt:lpstr>
      <vt:lpstr>districts_STT_216_TanYen</vt:lpstr>
      <vt:lpstr>districts_STT_217_LangGiang</vt:lpstr>
      <vt:lpstr>districts_STT_218_LucNam</vt:lpstr>
      <vt:lpstr>districts_STT_219_LucNgan</vt:lpstr>
      <vt:lpstr>districts_STT_220_SonDong</vt:lpstr>
      <vt:lpstr>districts_STT_221_YenDung</vt:lpstr>
      <vt:lpstr>districts_STT_222_VietYen</vt:lpstr>
      <vt:lpstr>districts_STT_223_HiepHoa</vt:lpstr>
      <vt:lpstr>districts_STT_227_VietTri</vt:lpstr>
      <vt:lpstr>districts_STT_228_PhuTho</vt:lpstr>
      <vt:lpstr>districts_STT_230_DoanHung</vt:lpstr>
      <vt:lpstr>districts_STT_231_HaHoa</vt:lpstr>
      <vt:lpstr>districts_STT_232_ThanhBa</vt:lpstr>
      <vt:lpstr>districts_STT_233_PhuNinh</vt:lpstr>
      <vt:lpstr>districts_STT_234_YenLap</vt:lpstr>
      <vt:lpstr>districts_STT_235_CamKhe</vt:lpstr>
      <vt:lpstr>districts_STT_236_TamNong</vt:lpstr>
      <vt:lpstr>districts_STT_237_LamThao</vt:lpstr>
      <vt:lpstr>districts_STT_238_ThanhSon</vt:lpstr>
      <vt:lpstr>districts_STT_239_ThanhThuy</vt:lpstr>
      <vt:lpstr>districts_STT_240_TanSon</vt:lpstr>
      <vt:lpstr>districts_STT_243_VinhYen</vt:lpstr>
      <vt:lpstr>districts_STT_244_PhucYen</vt:lpstr>
      <vt:lpstr>districts_STT_246_LapThach</vt:lpstr>
      <vt:lpstr>districts_STT_247_TamDuong</vt:lpstr>
      <vt:lpstr>districts_STT_248_TamDao</vt:lpstr>
      <vt:lpstr>districts_STT_249_BinhXuyen</vt:lpstr>
      <vt:lpstr>districts_STT_250_MeLinh</vt:lpstr>
      <vt:lpstr>districts_STT_251_YenLac</vt:lpstr>
      <vt:lpstr>districts_STT_252_VinhTuong</vt:lpstr>
      <vt:lpstr>districts_STT_253_SongLo</vt:lpstr>
      <vt:lpstr>districts_STT_256_BacNinh</vt:lpstr>
      <vt:lpstr>districts_STT_258_YenPhong</vt:lpstr>
      <vt:lpstr>districts_STT_259_QueVo</vt:lpstr>
      <vt:lpstr>districts_STT_260_TienDu</vt:lpstr>
      <vt:lpstr>districts_STT_261_TuSon</vt:lpstr>
      <vt:lpstr>districts_STT_262_ThuanThanh</vt:lpstr>
      <vt:lpstr>districts_STT_263_GiaBinh</vt:lpstr>
      <vt:lpstr>districts_STT_264_LuongTai</vt:lpstr>
      <vt:lpstr>districts_STT_268_HaDong</vt:lpstr>
      <vt:lpstr>districts_STT_269_SonTay</vt:lpstr>
      <vt:lpstr>districts_STT_271_BaVi</vt:lpstr>
      <vt:lpstr>districts_STT_272_PhucTho</vt:lpstr>
      <vt:lpstr>districts_STT_273_DanPhuong</vt:lpstr>
      <vt:lpstr>districts_STT_274_HoaiDuc</vt:lpstr>
      <vt:lpstr>districts_STT_275_QuocOai</vt:lpstr>
      <vt:lpstr>districts_STT_276_ThachThat</vt:lpstr>
      <vt:lpstr>districts_STT_277_ChuongMy</vt:lpstr>
      <vt:lpstr>districts_STT_278_ThanhOai</vt:lpstr>
      <vt:lpstr>districts_STT_279_ThuongTin</vt:lpstr>
      <vt:lpstr>districts_STT_280_PhuXuyen</vt:lpstr>
      <vt:lpstr>districts_STT_281_UngHoa</vt:lpstr>
      <vt:lpstr>districts_STT_282_MyDuc</vt:lpstr>
      <vt:lpstr>districts_STT_288_HaiDuong</vt:lpstr>
      <vt:lpstr>districts_STT_290_ChiLinh</vt:lpstr>
      <vt:lpstr>districts_STT_291_NamSach</vt:lpstr>
      <vt:lpstr>districts_STT_292_KinhMon</vt:lpstr>
      <vt:lpstr>districts_STT_293_KimThanh</vt:lpstr>
      <vt:lpstr>districts_STT_294_ThanhHa</vt:lpstr>
      <vt:lpstr>districts_STT_295_CamGiang</vt:lpstr>
      <vt:lpstr>districts_STT_296_BinhGiang</vt:lpstr>
      <vt:lpstr>districts_STT_297_GiaLoc</vt:lpstr>
      <vt:lpstr>districts_STT_298_TuKy</vt:lpstr>
      <vt:lpstr>districts_STT_299_NinhGiang</vt:lpstr>
      <vt:lpstr>districts_STT_300_ThanhMien</vt:lpstr>
      <vt:lpstr>districts_STT_303_HongBang</vt:lpstr>
      <vt:lpstr>districts_STT_304_NgoQuyen</vt:lpstr>
      <vt:lpstr>districts_STT_305_LeChan</vt:lpstr>
      <vt:lpstr>districts_STT_306_HaiAn</vt:lpstr>
      <vt:lpstr>districts_STT_307_KienAn</vt:lpstr>
      <vt:lpstr>districts_STT_308_DoSon</vt:lpstr>
      <vt:lpstr>districts_STT_309_DuongKinh</vt:lpstr>
      <vt:lpstr>districts_STT_311_ThuyNguyen</vt:lpstr>
      <vt:lpstr>districts_STT_312_AnDuong</vt:lpstr>
      <vt:lpstr>districts_STT_313_AnLao</vt:lpstr>
      <vt:lpstr>districts_STT_314_KienThuy</vt:lpstr>
      <vt:lpstr>districts_STT_315_TienLang</vt:lpstr>
      <vt:lpstr>districts_STT_316_VinhBao</vt:lpstr>
      <vt:lpstr>districts_STT_317_CatHai</vt:lpstr>
      <vt:lpstr>districts_STT_323_HungYen</vt:lpstr>
      <vt:lpstr>districts_STT_325_VanLam</vt:lpstr>
      <vt:lpstr>districts_STT_326_VanGiang</vt:lpstr>
      <vt:lpstr>districts_STT_327_YenMy</vt:lpstr>
      <vt:lpstr>districts_STT_328_MyHao</vt:lpstr>
      <vt:lpstr>districts_STT_329_AnThi</vt:lpstr>
      <vt:lpstr>districts_STT_330_KhoaiChau</vt:lpstr>
      <vt:lpstr>districts_STT_331_KimDong</vt:lpstr>
      <vt:lpstr>districts_STT_332_TienLu</vt:lpstr>
      <vt:lpstr>districts_STT_333_PhuCu</vt:lpstr>
      <vt:lpstr>districts_STT_336_ThaiBinh</vt:lpstr>
      <vt:lpstr>districts_STT_338_QuynhPhu</vt:lpstr>
      <vt:lpstr>districts_STT_339_HungHa</vt:lpstr>
      <vt:lpstr>districts_STT_340_DongHung</vt:lpstr>
      <vt:lpstr>districts_STT_341_ThaiThuy</vt:lpstr>
      <vt:lpstr>districts_STT_342_TienHai</vt:lpstr>
      <vt:lpstr>districts_STT_343_KienXuong</vt:lpstr>
      <vt:lpstr>districts_STT_344_VuThu</vt:lpstr>
      <vt:lpstr>districts_STT_347_PhuLy</vt:lpstr>
      <vt:lpstr>districts_STT_349_DuyTien</vt:lpstr>
      <vt:lpstr>districts_STT_350_KimBang</vt:lpstr>
      <vt:lpstr>districts_STT_351_ThanhLiem</vt:lpstr>
      <vt:lpstr>districts_STT_352_BinhLuc</vt:lpstr>
      <vt:lpstr>districts_STT_353_LyNhan</vt:lpstr>
      <vt:lpstr>districts_STT_356_NamDinh</vt:lpstr>
      <vt:lpstr>districts_STT_359_VuBan</vt:lpstr>
      <vt:lpstr>districts_STT_360_YYen</vt:lpstr>
      <vt:lpstr>districts_STT_361_NghiaHung</vt:lpstr>
      <vt:lpstr>districts_STT_362_NamTruc</vt:lpstr>
      <vt:lpstr>districts_STT_363_TrucNinh</vt:lpstr>
      <vt:lpstr>districts_STT_364_XuanTruong</vt:lpstr>
      <vt:lpstr>districts_STT_365_GiaoThuy</vt:lpstr>
      <vt:lpstr>districts_STT_366_HaiHau</vt:lpstr>
      <vt:lpstr>districts_STT_369_NinhBinh</vt:lpstr>
      <vt:lpstr>districts_STT_370_TamDiep</vt:lpstr>
      <vt:lpstr>districts_STT_372_NhoQuan</vt:lpstr>
      <vt:lpstr>districts_STT_373_GiaVien</vt:lpstr>
      <vt:lpstr>districts_STT_374_HoaLu</vt:lpstr>
      <vt:lpstr>districts_STT_375_YenKhanh</vt:lpstr>
      <vt:lpstr>districts_STT_376_KimSon</vt:lpstr>
      <vt:lpstr>districts_STT_377_YenMo</vt:lpstr>
      <vt:lpstr>districts_STT_380_ThanhHoa</vt:lpstr>
      <vt:lpstr>districts_STT_381_BimSon</vt:lpstr>
      <vt:lpstr>districts_STT_382_SamSon</vt:lpstr>
      <vt:lpstr>districts_STT_384_MuongLat</vt:lpstr>
      <vt:lpstr>districts_STT_385_QuanHoa</vt:lpstr>
      <vt:lpstr>districts_STT_386_BaThuoc</vt:lpstr>
      <vt:lpstr>districts_STT_387_QuanSon</vt:lpstr>
      <vt:lpstr>districts_STT_388_LangChanh</vt:lpstr>
      <vt:lpstr>districts_STT_389_NgocLac</vt:lpstr>
      <vt:lpstr>districts_STT_390_CamThuy</vt:lpstr>
      <vt:lpstr>districts_STT_391_ThachThanh</vt:lpstr>
      <vt:lpstr>districts_STT_392_HaTrung</vt:lpstr>
      <vt:lpstr>districts_STT_393_VinhLoc</vt:lpstr>
      <vt:lpstr>districts_STT_394_YenDinh</vt:lpstr>
      <vt:lpstr>districts_STT_395_ThoXuan</vt:lpstr>
      <vt:lpstr>districts_STT_396_ThuongXuan</vt:lpstr>
      <vt:lpstr>districts_STT_397_TrieuSon</vt:lpstr>
      <vt:lpstr>districts_STT_398_ThieuHoa</vt:lpstr>
      <vt:lpstr>districts_STT_399_HoangHoa</vt:lpstr>
      <vt:lpstr>districts_STT_400_HauLoc</vt:lpstr>
      <vt:lpstr>districts_STT_401_NgaSon</vt:lpstr>
      <vt:lpstr>districts_STT_402_NhuXuan</vt:lpstr>
      <vt:lpstr>districts_STT_403_NhuThanh</vt:lpstr>
      <vt:lpstr>districts_STT_404_NongCong</vt:lpstr>
      <vt:lpstr>districts_STT_405_DongSon</vt:lpstr>
      <vt:lpstr>districts_STT_406_QuangXuong</vt:lpstr>
      <vt:lpstr>districts_STT_407_NghiSon</vt:lpstr>
      <vt:lpstr>districts_STT_412_Vinh</vt:lpstr>
      <vt:lpstr>districts_STT_413_CuaLo</vt:lpstr>
      <vt:lpstr>districts_STT_414_ThaiHoa</vt:lpstr>
      <vt:lpstr>districts_STT_415_QuePhong</vt:lpstr>
      <vt:lpstr>districts_STT_416_QuyChau</vt:lpstr>
      <vt:lpstr>districts_STT_417_KySon</vt:lpstr>
      <vt:lpstr>districts_STT_418_TuongDuong</vt:lpstr>
      <vt:lpstr>districts_STT_419_NghiaDan</vt:lpstr>
      <vt:lpstr>districts_STT_420_QuyHop</vt:lpstr>
      <vt:lpstr>districts_STT_421_QuynhLuu</vt:lpstr>
      <vt:lpstr>districts_STT_422_ConCuong</vt:lpstr>
      <vt:lpstr>districts_STT_423_TanKy</vt:lpstr>
      <vt:lpstr>districts_STT_424_AnhSon</vt:lpstr>
      <vt:lpstr>districts_STT_425_DienChau</vt:lpstr>
      <vt:lpstr>districts_STT_426_YenThanh</vt:lpstr>
      <vt:lpstr>districts_STT_427_DoLuong</vt:lpstr>
      <vt:lpstr>districts_STT_428_ThanhChuong</vt:lpstr>
      <vt:lpstr>districts_STT_429_NghiLoc</vt:lpstr>
      <vt:lpstr>districts_STT_430_NamDan</vt:lpstr>
      <vt:lpstr>districts_STT_431_HungNguyen</vt:lpstr>
      <vt:lpstr>districts_STT_432_HoangMai</vt:lpstr>
      <vt:lpstr>districts_STT_436_HaTinh</vt:lpstr>
      <vt:lpstr>districts_STT_437_HongLinh</vt:lpstr>
      <vt:lpstr>districts_STT_439_HuongSon</vt:lpstr>
      <vt:lpstr>districts_STT_440_DucTho</vt:lpstr>
      <vt:lpstr>districts_STT_441_VuQuang</vt:lpstr>
      <vt:lpstr>districts_STT_442_NghiXuan</vt:lpstr>
      <vt:lpstr>districts_STT_443_CanLoc</vt:lpstr>
      <vt:lpstr>districts_STT_444_HuongKhe</vt:lpstr>
      <vt:lpstr>districts_STT_445_ThachHa</vt:lpstr>
      <vt:lpstr>districts_STT_446_CamXuyen</vt:lpstr>
      <vt:lpstr>districts_STT_447_KyAnh</vt:lpstr>
      <vt:lpstr>districts_STT_448_LocHa</vt:lpstr>
      <vt:lpstr>districts_STT_449_KyAnh</vt:lpstr>
      <vt:lpstr>districts_STT_450_DongHoi</vt:lpstr>
      <vt:lpstr>districts_STT_452_MinhHoa</vt:lpstr>
      <vt:lpstr>districts_STT_453_TuyenHoa</vt:lpstr>
      <vt:lpstr>districts_STT_454_QuangTrach</vt:lpstr>
      <vt:lpstr>districts_STT_455_BoTrach</vt:lpstr>
      <vt:lpstr>districts_STT_456_QuangNinh</vt:lpstr>
      <vt:lpstr>districts_STT_457_LeThuy</vt:lpstr>
      <vt:lpstr>districts_STT_458_BaDon</vt:lpstr>
      <vt:lpstr>districts_STT_461_DongHa</vt:lpstr>
      <vt:lpstr>districts_STT_462_QuangTri</vt:lpstr>
      <vt:lpstr>districts_STT_464_VinhLinh</vt:lpstr>
      <vt:lpstr>districts_STT_465_HuongHoa</vt:lpstr>
      <vt:lpstr>districts_STT_466_GioLinh</vt:lpstr>
      <vt:lpstr>districts_STT_467_DaKrong</vt:lpstr>
      <vt:lpstr>districts_STT_468_CamLo</vt:lpstr>
      <vt:lpstr>districts_STT_469_TrieuPhong</vt:lpstr>
      <vt:lpstr>districts_STT_470_HaiLang</vt:lpstr>
      <vt:lpstr>districts_STT_474_Hue</vt:lpstr>
      <vt:lpstr>districts_STT_476_PhongDien</vt:lpstr>
      <vt:lpstr>districts_STT_477_QuangDien</vt:lpstr>
      <vt:lpstr>districts_STT_478_PhuVang</vt:lpstr>
      <vt:lpstr>districts_STT_479_HuongThuy</vt:lpstr>
      <vt:lpstr>districts_STT_480_HuongTra</vt:lpstr>
      <vt:lpstr>districts_STT_481_ALuoi</vt:lpstr>
      <vt:lpstr>districts_STT_482_PhuLoc</vt:lpstr>
      <vt:lpstr>districts_STT_483_NamDong</vt:lpstr>
      <vt:lpstr>districts_STT_490_LienChieu</vt:lpstr>
      <vt:lpstr>districts_STT_491_ThanhKhe</vt:lpstr>
      <vt:lpstr>districts_STT_492_HaiChau</vt:lpstr>
      <vt:lpstr>districts_STT_493_SonTra</vt:lpstr>
      <vt:lpstr>districts_STT_494_NguHanhSon</vt:lpstr>
      <vt:lpstr>districts_STT_495_CamLe</vt:lpstr>
      <vt:lpstr>districts_STT_497_HoaVang</vt:lpstr>
      <vt:lpstr>districts_STT_502_TamKy</vt:lpstr>
      <vt:lpstr>districts_STT_503_HoiAn</vt:lpstr>
      <vt:lpstr>districts_STT_504_TayGiang</vt:lpstr>
      <vt:lpstr>districts_STT_505_DongGiang</vt:lpstr>
      <vt:lpstr>districts_STT_506_DaiLoc</vt:lpstr>
      <vt:lpstr>districts_STT_507_DienBan</vt:lpstr>
      <vt:lpstr>districts_STT_508_DuyXuyen</vt:lpstr>
      <vt:lpstr>districts_STT_509_QueSon</vt:lpstr>
      <vt:lpstr>districts_STT_510_NamGiang</vt:lpstr>
      <vt:lpstr>districts_STT_511_PhuocSon</vt:lpstr>
      <vt:lpstr>districts_STT_512_HiepDuc</vt:lpstr>
      <vt:lpstr>districts_STT_513_ThangBinh</vt:lpstr>
      <vt:lpstr>districts_STT_514_TienPhuoc</vt:lpstr>
      <vt:lpstr>districts_STT_515_BacTraMy</vt:lpstr>
      <vt:lpstr>districts_STT_516_NamTraMy</vt:lpstr>
      <vt:lpstr>districts_STT_517_NuiThanh</vt:lpstr>
      <vt:lpstr>districts_STT_518_PhuNinh</vt:lpstr>
      <vt:lpstr>districts_STT_519_NongSon</vt:lpstr>
      <vt:lpstr>districts_STT_522_QuangNgai</vt:lpstr>
      <vt:lpstr>districts_STT_524_BinhSon</vt:lpstr>
      <vt:lpstr>districts_STT_525_TraBong</vt:lpstr>
      <vt:lpstr>districts_STT_527_SonTinh</vt:lpstr>
      <vt:lpstr>districts_STT_528_TuNghia</vt:lpstr>
      <vt:lpstr>districts_STT_529_SonHa</vt:lpstr>
      <vt:lpstr>districts_STT_530_SonTay</vt:lpstr>
      <vt:lpstr>districts_STT_531_MinhLong</vt:lpstr>
      <vt:lpstr>districts_STT_532_NghiaHanh</vt:lpstr>
      <vt:lpstr>districts_STT_533_MoDuc</vt:lpstr>
      <vt:lpstr>districts_STT_534_DucPho</vt:lpstr>
      <vt:lpstr>districts_STT_535_BaTo</vt:lpstr>
      <vt:lpstr>districts_STT_540_QuyNhon</vt:lpstr>
      <vt:lpstr>districts_STT_542_AnLao</vt:lpstr>
      <vt:lpstr>districts_STT_543_HoaiNhon</vt:lpstr>
      <vt:lpstr>districts_STT_544_HoaiAn</vt:lpstr>
      <vt:lpstr>districts_STT_545_PhuMy</vt:lpstr>
      <vt:lpstr>districts_STT_546_VinhThanh</vt:lpstr>
      <vt:lpstr>districts_STT_547_TaySon</vt:lpstr>
      <vt:lpstr>districts_STT_548_PhuCat</vt:lpstr>
      <vt:lpstr>districts_STT_549_AnNhon</vt:lpstr>
      <vt:lpstr>districts_STT_550_TuyPhuoc</vt:lpstr>
      <vt:lpstr>districts_STT_551_VanCanh</vt:lpstr>
      <vt:lpstr>districts_STT_555_TuyHoa</vt:lpstr>
      <vt:lpstr>districts_STT_557_SongCau</vt:lpstr>
      <vt:lpstr>districts_STT_558_DongXuan</vt:lpstr>
      <vt:lpstr>districts_STT_559_TuyAn</vt:lpstr>
      <vt:lpstr>districts_STT_560_SonHoa</vt:lpstr>
      <vt:lpstr>districts_STT_561_SongHinh</vt:lpstr>
      <vt:lpstr>districts_STT_562_TayHoa</vt:lpstr>
      <vt:lpstr>districts_STT_563_PhuHoa</vt:lpstr>
      <vt:lpstr>districts_STT_564_DongHoa</vt:lpstr>
      <vt:lpstr>districts_STT_568_NhaTrang</vt:lpstr>
      <vt:lpstr>districts_STT_569_CamRanh</vt:lpstr>
      <vt:lpstr>districts_STT_570_CamLam</vt:lpstr>
      <vt:lpstr>districts_STT_571_VanNinh</vt:lpstr>
      <vt:lpstr>districts_STT_572_NinhHoa</vt:lpstr>
      <vt:lpstr>districts_STT_573_KhanhVinh</vt:lpstr>
      <vt:lpstr>districts_STT_574_DienKhanh</vt:lpstr>
      <vt:lpstr>districts_STT_575_KhanhSon</vt:lpstr>
      <vt:lpstr>districts_STT_576_TruongSa</vt:lpstr>
      <vt:lpstr>districts_STT_582_PhanRangThapCham</vt:lpstr>
      <vt:lpstr>districts_STT_584_BacAi</vt:lpstr>
      <vt:lpstr>districts_STT_585_NinhSon</vt:lpstr>
      <vt:lpstr>districts_STT_586_NinhHai</vt:lpstr>
      <vt:lpstr>districts_STT_587_NinhPhuoc</vt:lpstr>
      <vt:lpstr>districts_STT_588_ThuanBac</vt:lpstr>
      <vt:lpstr>districts_STT_589_ThuanNam</vt:lpstr>
      <vt:lpstr>districts_STT_593_PhanThiet</vt:lpstr>
      <vt:lpstr>districts_STT_594_LaGi</vt:lpstr>
      <vt:lpstr>districts_STT_595_TuyPhong</vt:lpstr>
      <vt:lpstr>districts_STT_596_BacBinh</vt:lpstr>
      <vt:lpstr>districts_STT_597_HamThuanBac</vt:lpstr>
      <vt:lpstr>districts_STT_598_HamThuanNam</vt:lpstr>
      <vt:lpstr>districts_STT_599_TanhLinh</vt:lpstr>
      <vt:lpstr>districts_STT_600_DucLinh</vt:lpstr>
      <vt:lpstr>districts_STT_601_HamTan</vt:lpstr>
      <vt:lpstr>districts_STT_602_PhuQui</vt:lpstr>
      <vt:lpstr>districts_STT_608_KonTum</vt:lpstr>
      <vt:lpstr>districts_STT_610_DakGlei</vt:lpstr>
      <vt:lpstr>districts_STT_611_NgocHoi</vt:lpstr>
      <vt:lpstr>districts_STT_612_DakTo</vt:lpstr>
      <vt:lpstr>districts_STT_613_KonPlong</vt:lpstr>
      <vt:lpstr>districts_STT_614_KonRay</vt:lpstr>
      <vt:lpstr>districts_STT_615_DakHa</vt:lpstr>
      <vt:lpstr>districts_STT_616_SaThay</vt:lpstr>
      <vt:lpstr>districts_STT_617_TuMoRong</vt:lpstr>
      <vt:lpstr>districts_STT_618_IaHDrai</vt:lpstr>
      <vt:lpstr>districts_STT_622_Pleiku</vt:lpstr>
      <vt:lpstr>districts_STT_623_AnKhe</vt:lpstr>
      <vt:lpstr>districts_STT_624_AyunPa</vt:lpstr>
      <vt:lpstr>districts_STT_625_KBang</vt:lpstr>
      <vt:lpstr>districts_STT_626_DakDoa</vt:lpstr>
      <vt:lpstr>districts_STT_627_ChuPah</vt:lpstr>
      <vt:lpstr>districts_STT_628_IaGrai</vt:lpstr>
      <vt:lpstr>districts_STT_629_MangYang</vt:lpstr>
      <vt:lpstr>districts_STT_630_KongChro</vt:lpstr>
      <vt:lpstr>districts_STT_631_DucCo</vt:lpstr>
      <vt:lpstr>districts_STT_632_ChuProng</vt:lpstr>
      <vt:lpstr>districts_STT_633_ChuSe</vt:lpstr>
      <vt:lpstr>districts_STT_634_DakPo</vt:lpstr>
      <vt:lpstr>districts_STT_635_IaPa</vt:lpstr>
      <vt:lpstr>districts_STT_637_KrongPa</vt:lpstr>
      <vt:lpstr>districts_STT_638_PhuThien</vt:lpstr>
      <vt:lpstr>districts_STT_639_ChuPuh</vt:lpstr>
      <vt:lpstr>districts_STT_643_BuonMaThuot</vt:lpstr>
      <vt:lpstr>districts_STT_644_BuonHo</vt:lpstr>
      <vt:lpstr>districts_STT_645_EaHleo</vt:lpstr>
      <vt:lpstr>districts_STT_646_EaSup</vt:lpstr>
      <vt:lpstr>districts_STT_647_BuonDon</vt:lpstr>
      <vt:lpstr>districts_STT_648_CuMgar</vt:lpstr>
      <vt:lpstr>districts_STT_649_KrongBuk</vt:lpstr>
      <vt:lpstr>districts_STT_650_KrongNang</vt:lpstr>
      <vt:lpstr>districts_STT_651_EaKar</vt:lpstr>
      <vt:lpstr>districts_STT_652_MDrak</vt:lpstr>
      <vt:lpstr>districts_STT_653_KrongBong</vt:lpstr>
      <vt:lpstr>districts_STT_654_KrongPac</vt:lpstr>
      <vt:lpstr>districts_STT_655_KrongANa</vt:lpstr>
      <vt:lpstr>districts_STT_656_Lak</vt:lpstr>
      <vt:lpstr>districts_STT_657_CuKuin</vt:lpstr>
      <vt:lpstr>districts_STT_660_GiaNghia</vt:lpstr>
      <vt:lpstr>districts_STT_661_DakGlong</vt:lpstr>
      <vt:lpstr>districts_STT_662_CuJut</vt:lpstr>
      <vt:lpstr>districts_STT_663_DakMil</vt:lpstr>
      <vt:lpstr>districts_STT_664_KrongNo</vt:lpstr>
      <vt:lpstr>districts_STT_665_DakSong</vt:lpstr>
      <vt:lpstr>districts_STT_666_DakRLap</vt:lpstr>
      <vt:lpstr>districts_STT_667_TuyDuc</vt:lpstr>
      <vt:lpstr>districts_STT_672_DaLat</vt:lpstr>
      <vt:lpstr>districts_STT_673_BaoLoc</vt:lpstr>
      <vt:lpstr>districts_STT_674_DamRong</vt:lpstr>
      <vt:lpstr>districts_STT_675_LacDuong</vt:lpstr>
      <vt:lpstr>districts_STT_676_LamHa</vt:lpstr>
      <vt:lpstr>districts_STT_677_DonDuong</vt:lpstr>
      <vt:lpstr>districts_STT_678_DucTrong</vt:lpstr>
      <vt:lpstr>districts_STT_679_DiLinh</vt:lpstr>
      <vt:lpstr>districts_STT_680_BaoLam</vt:lpstr>
      <vt:lpstr>districts_STT_681_DaHuoai</vt:lpstr>
      <vt:lpstr>districts_STT_682_DaTeh</vt:lpstr>
      <vt:lpstr>districts_STT_683_CatTien</vt:lpstr>
      <vt:lpstr>districts_STT_688_PhuocLong</vt:lpstr>
      <vt:lpstr>districts_STT_689_DongXoai</vt:lpstr>
      <vt:lpstr>districts_STT_690_BinhLong</vt:lpstr>
      <vt:lpstr>districts_STT_691_BuGiaMap</vt:lpstr>
      <vt:lpstr>districts_STT_692_LocNinh</vt:lpstr>
      <vt:lpstr>districts_STT_693_BuDop</vt:lpstr>
      <vt:lpstr>districts_STT_694_HonQuan</vt:lpstr>
      <vt:lpstr>districts_STT_695_DongPhu</vt:lpstr>
      <vt:lpstr>districts_STT_696_BuDang</vt:lpstr>
      <vt:lpstr>districts_STT_697_ChonThanh</vt:lpstr>
      <vt:lpstr>districts_STT_698_PhuRieng</vt:lpstr>
      <vt:lpstr>districts_STT_703_TayNinh</vt:lpstr>
      <vt:lpstr>districts_STT_705_TanBien</vt:lpstr>
      <vt:lpstr>districts_STT_706_TanChau</vt:lpstr>
      <vt:lpstr>districts_STT_707_DuongMinhChau</vt:lpstr>
      <vt:lpstr>districts_STT_708_ChauThanh</vt:lpstr>
      <vt:lpstr>districts_STT_709_HoaThanh</vt:lpstr>
      <vt:lpstr>districts_STT_710_GoDau</vt:lpstr>
      <vt:lpstr>districts_STT_711_BenCau</vt:lpstr>
      <vt:lpstr>districts_STT_712_TrangBang</vt:lpstr>
      <vt:lpstr>districts_STT_718_ThuDauMot</vt:lpstr>
      <vt:lpstr>districts_STT_719_BauBang</vt:lpstr>
      <vt:lpstr>districts_STT_720_DauTieng</vt:lpstr>
      <vt:lpstr>districts_STT_721_BenCat</vt:lpstr>
      <vt:lpstr>districts_STT_722_PhuGiao</vt:lpstr>
      <vt:lpstr>districts_STT_723_TanUyen</vt:lpstr>
      <vt:lpstr>districts_STT_724_DiAn</vt:lpstr>
      <vt:lpstr>districts_STT_725_ThuanAn</vt:lpstr>
      <vt:lpstr>districts_STT_726_BacTanUyen</vt:lpstr>
      <vt:lpstr>districts_STT_731_BienHoa</vt:lpstr>
      <vt:lpstr>districts_STT_732_LongKhanh</vt:lpstr>
      <vt:lpstr>districts_STT_734_TanPhu</vt:lpstr>
      <vt:lpstr>districts_STT_735_VinhCuu</vt:lpstr>
      <vt:lpstr>districts_STT_736_DinhQuan</vt:lpstr>
      <vt:lpstr>districts_STT_737_TrangBom</vt:lpstr>
      <vt:lpstr>districts_STT_738_ThongNhat</vt:lpstr>
      <vt:lpstr>districts_STT_739_CamMy</vt:lpstr>
      <vt:lpstr>districts_STT_740_LongThanh</vt:lpstr>
      <vt:lpstr>districts_STT_741_XuanLoc</vt:lpstr>
      <vt:lpstr>districts_STT_742_NhonTrach</vt:lpstr>
      <vt:lpstr>districts_STT_747_VungTau</vt:lpstr>
      <vt:lpstr>districts_STT_748_BaRia</vt:lpstr>
      <vt:lpstr>districts_STT_750_ChauDuc</vt:lpstr>
      <vt:lpstr>districts_STT_751_XuyenMoc</vt:lpstr>
      <vt:lpstr>districts_STT_752_LongDien</vt:lpstr>
      <vt:lpstr>districts_STT_753_DatDo</vt:lpstr>
      <vt:lpstr>districts_STT_754_PhuMy</vt:lpstr>
      <vt:lpstr>districts_STT_760_1</vt:lpstr>
      <vt:lpstr>districts_STT_761_12</vt:lpstr>
      <vt:lpstr>districts_STT_764_GoVap</vt:lpstr>
      <vt:lpstr>districts_STT_765_BinhThanh</vt:lpstr>
      <vt:lpstr>districts_STT_766_TanBinh</vt:lpstr>
      <vt:lpstr>districts_STT_767_TanPhu</vt:lpstr>
      <vt:lpstr>districts_STT_768_PhuNhuan</vt:lpstr>
      <vt:lpstr>districts_STT_769_ThuDuc</vt:lpstr>
      <vt:lpstr>districts_STT_770_3</vt:lpstr>
      <vt:lpstr>districts_STT_771_10</vt:lpstr>
      <vt:lpstr>districts_STT_772_11</vt:lpstr>
      <vt:lpstr>districts_STT_773_4</vt:lpstr>
      <vt:lpstr>districts_STT_774_5</vt:lpstr>
      <vt:lpstr>districts_STT_775_6</vt:lpstr>
      <vt:lpstr>districts_STT_776_8</vt:lpstr>
      <vt:lpstr>districts_STT_777_BinhTan</vt:lpstr>
      <vt:lpstr>districts_STT_778_7</vt:lpstr>
      <vt:lpstr>districts_STT_783_CuChi</vt:lpstr>
      <vt:lpstr>districts_STT_784_HocMon</vt:lpstr>
      <vt:lpstr>districts_STT_785_BinhChanh</vt:lpstr>
      <vt:lpstr>districts_STT_786_NhaBe</vt:lpstr>
      <vt:lpstr>districts_STT_787_CanGio</vt:lpstr>
      <vt:lpstr>districts_STT_794_TanAn</vt:lpstr>
      <vt:lpstr>districts_STT_795_KienTuong</vt:lpstr>
      <vt:lpstr>districts_STT_796_TanHung</vt:lpstr>
      <vt:lpstr>districts_STT_797_VinhHung</vt:lpstr>
      <vt:lpstr>districts_STT_798_MocHoa</vt:lpstr>
      <vt:lpstr>districts_STT_799_TanThanh</vt:lpstr>
      <vt:lpstr>districts_STT_800_ThanhHoa</vt:lpstr>
      <vt:lpstr>districts_STT_801_DucHue</vt:lpstr>
      <vt:lpstr>districts_STT_802_DucHoa</vt:lpstr>
      <vt:lpstr>districts_STT_803_BenLuc</vt:lpstr>
      <vt:lpstr>districts_STT_804_ThuThua</vt:lpstr>
      <vt:lpstr>districts_STT_805_TanTru</vt:lpstr>
      <vt:lpstr>districts_STT_806_CanDuoc</vt:lpstr>
      <vt:lpstr>districts_STT_807_CanGiuoc</vt:lpstr>
      <vt:lpstr>districts_STT_808_ChauThanh</vt:lpstr>
      <vt:lpstr>districts_STT_815_MyTho</vt:lpstr>
      <vt:lpstr>districts_STT_816_GoCong</vt:lpstr>
      <vt:lpstr>districts_STT_817_CaiLay</vt:lpstr>
      <vt:lpstr>districts_STT_818_TanPhuoc</vt:lpstr>
      <vt:lpstr>districts_STT_819_CaiBe</vt:lpstr>
      <vt:lpstr>districts_STT_820_CaiLay</vt:lpstr>
      <vt:lpstr>districts_STT_821_ChauThanh</vt:lpstr>
      <vt:lpstr>districts_STT_822_ChoGao</vt:lpstr>
      <vt:lpstr>districts_STT_823_GoCongTay</vt:lpstr>
      <vt:lpstr>districts_STT_824_GoCongDong</vt:lpstr>
      <vt:lpstr>districts_STT_825_TanPhuDong</vt:lpstr>
      <vt:lpstr>districts_STT_829_BenTre</vt:lpstr>
      <vt:lpstr>districts_STT_831_ChauThanh</vt:lpstr>
      <vt:lpstr>districts_STT_832_ChoLach</vt:lpstr>
      <vt:lpstr>districts_STT_833_MoCayNam</vt:lpstr>
      <vt:lpstr>districts_STT_834_GiongTrom</vt:lpstr>
      <vt:lpstr>districts_STT_835_BinhDai</vt:lpstr>
      <vt:lpstr>districts_STT_836_BaTri</vt:lpstr>
      <vt:lpstr>districts_STT_837_ThanhPhu</vt:lpstr>
      <vt:lpstr>districts_STT_838_MoCayBac</vt:lpstr>
      <vt:lpstr>districts_STT_842_TraVinh</vt:lpstr>
      <vt:lpstr>districts_STT_844_CangLong</vt:lpstr>
      <vt:lpstr>districts_STT_845_CauKe</vt:lpstr>
      <vt:lpstr>districts_STT_846_TieuCan</vt:lpstr>
      <vt:lpstr>districts_STT_847_ChauThanh</vt:lpstr>
      <vt:lpstr>districts_STT_848_CauNgang</vt:lpstr>
      <vt:lpstr>districts_STT_849_TraCu</vt:lpstr>
      <vt:lpstr>districts_STT_850_DuyenHai</vt:lpstr>
      <vt:lpstr>districts_STT_851_DuyenHai</vt:lpstr>
      <vt:lpstr>districts_STT_855_VinhLong</vt:lpstr>
      <vt:lpstr>districts_STT_857_LongHo</vt:lpstr>
      <vt:lpstr>districts_STT_858_MangThit</vt:lpstr>
      <vt:lpstr>districts_STT_859_VungLiem</vt:lpstr>
      <vt:lpstr>districts_STT_860_TamBinh</vt:lpstr>
      <vt:lpstr>districts_STT_861_BinhMinh</vt:lpstr>
      <vt:lpstr>districts_STT_862_TraOn</vt:lpstr>
      <vt:lpstr>districts_STT_863_BinhTan</vt:lpstr>
      <vt:lpstr>districts_STT_866_CaoLanh</vt:lpstr>
      <vt:lpstr>districts_STT_867_SaDec</vt:lpstr>
      <vt:lpstr>districts_STT_868_HongNgu</vt:lpstr>
      <vt:lpstr>districts_STT_869_TanHong</vt:lpstr>
      <vt:lpstr>districts_STT_870_HongNgu</vt:lpstr>
      <vt:lpstr>districts_STT_871_TamNong</vt:lpstr>
      <vt:lpstr>districts_STT_872_ThapMuoi</vt:lpstr>
      <vt:lpstr>districts_STT_873_CaoLanh</vt:lpstr>
      <vt:lpstr>districts_STT_874_ThanhBinh</vt:lpstr>
      <vt:lpstr>districts_STT_875_LapVo</vt:lpstr>
      <vt:lpstr>districts_STT_876_LaiVung</vt:lpstr>
      <vt:lpstr>districts_STT_877_ChauThanh</vt:lpstr>
      <vt:lpstr>districts_STT_883_LongXuyen</vt:lpstr>
      <vt:lpstr>districts_STT_884_ChauDoc</vt:lpstr>
      <vt:lpstr>districts_STT_886_AnPhu</vt:lpstr>
      <vt:lpstr>districts_STT_887_TanChau</vt:lpstr>
      <vt:lpstr>districts_STT_888_PhuTan</vt:lpstr>
      <vt:lpstr>districts_STT_889_ChauPhu</vt:lpstr>
      <vt:lpstr>districts_STT_890_TinhBien</vt:lpstr>
      <vt:lpstr>districts_STT_891_TriTon</vt:lpstr>
      <vt:lpstr>districts_STT_892_ChauThanh</vt:lpstr>
      <vt:lpstr>districts_STT_893_ChoMoi</vt:lpstr>
      <vt:lpstr>districts_STT_894_ThoaiSon</vt:lpstr>
      <vt:lpstr>districts_STT_899_RachGia</vt:lpstr>
      <vt:lpstr>districts_STT_900_HaTien</vt:lpstr>
      <vt:lpstr>districts_STT_902_KienLuong</vt:lpstr>
      <vt:lpstr>districts_STT_903_HonDat</vt:lpstr>
      <vt:lpstr>districts_STT_904_TanHiep</vt:lpstr>
      <vt:lpstr>districts_STT_905_ChauThanh</vt:lpstr>
      <vt:lpstr>districts_STT_906_GiongRieng</vt:lpstr>
      <vt:lpstr>districts_STT_907_GoQuao</vt:lpstr>
      <vt:lpstr>districts_STT_908_AnBien</vt:lpstr>
      <vt:lpstr>districts_STT_909_AnMinh</vt:lpstr>
      <vt:lpstr>districts_STT_910_VinhThuan</vt:lpstr>
      <vt:lpstr>districts_STT_911_PhuQuoc</vt:lpstr>
      <vt:lpstr>districts_STT_912_KienHai</vt:lpstr>
      <vt:lpstr>districts_STT_913_UMinhThuong</vt:lpstr>
      <vt:lpstr>districts_STT_914_GiangThanh</vt:lpstr>
      <vt:lpstr>districts_STT_916_NinhKieu</vt:lpstr>
      <vt:lpstr>districts_STT_917_OMon</vt:lpstr>
      <vt:lpstr>districts_STT_918_BinhThuy</vt:lpstr>
      <vt:lpstr>districts_STT_919_CaiRang</vt:lpstr>
      <vt:lpstr>districts_STT_923_ThotNot</vt:lpstr>
      <vt:lpstr>districts_STT_924_VinhThanh</vt:lpstr>
      <vt:lpstr>districts_STT_925_CoDo</vt:lpstr>
      <vt:lpstr>districts_STT_926_PhongDien</vt:lpstr>
      <vt:lpstr>districts_STT_927_ThoiLai</vt:lpstr>
      <vt:lpstr>districts_STT_930_ViThanh</vt:lpstr>
      <vt:lpstr>districts_STT_931_NgaBay</vt:lpstr>
      <vt:lpstr>districts_STT_932_ChauThanhA</vt:lpstr>
      <vt:lpstr>districts_STT_933_ChauThanh</vt:lpstr>
      <vt:lpstr>districts_STT_934_PhungHiep</vt:lpstr>
      <vt:lpstr>districts_STT_935_ViThuy</vt:lpstr>
      <vt:lpstr>districts_STT_936_LongMy</vt:lpstr>
      <vt:lpstr>districts_STT_937_LongMy</vt:lpstr>
      <vt:lpstr>districts_STT_941_SocTrang</vt:lpstr>
      <vt:lpstr>districts_STT_942_ChauThanh</vt:lpstr>
      <vt:lpstr>districts_STT_943_KeSach</vt:lpstr>
      <vt:lpstr>districts_STT_944_MyTu</vt:lpstr>
      <vt:lpstr>districts_STT_945_CuLaoDung</vt:lpstr>
      <vt:lpstr>districts_STT_946_LongPhu</vt:lpstr>
      <vt:lpstr>districts_STT_947_MyXuyen</vt:lpstr>
      <vt:lpstr>districts_STT_948_NgaNam</vt:lpstr>
      <vt:lpstr>districts_STT_949_ThanhTri</vt:lpstr>
      <vt:lpstr>districts_STT_950_VinhChau</vt:lpstr>
      <vt:lpstr>districts_STT_951_TranDe</vt:lpstr>
      <vt:lpstr>districts_STT_954_BacLieu</vt:lpstr>
      <vt:lpstr>districts_STT_956_HongDan</vt:lpstr>
      <vt:lpstr>districts_STT_957_PhuocLong</vt:lpstr>
      <vt:lpstr>districts_STT_958_VinhLoi</vt:lpstr>
      <vt:lpstr>districts_STT_959_GiaRai</vt:lpstr>
      <vt:lpstr>districts_STT_960_DongHai</vt:lpstr>
      <vt:lpstr>districts_STT_961_HoaBinh</vt:lpstr>
      <vt:lpstr>districts_STT_964_CaMau</vt:lpstr>
      <vt:lpstr>districts_STT_966_UMinh</vt:lpstr>
      <vt:lpstr>districts_STT_967_ThoiBinh</vt:lpstr>
      <vt:lpstr>districts_STT_968_TranVanThoi</vt:lpstr>
      <vt:lpstr>districts_STT_969_CaiNuoc</vt:lpstr>
      <vt:lpstr>districts_STT_970_DamDoi</vt:lpstr>
      <vt:lpstr>districts_STT_971_NamCan</vt:lpstr>
      <vt:lpstr>districts_STT_972_PhuTan</vt:lpstr>
      <vt:lpstr>districts_STT_973_NgocHien</vt:lpstr>
      <vt:lpstr>documents_STT_11_Phongbanso1Viendaotaoquocte</vt:lpstr>
      <vt:lpstr>documents_STT_12_Phongbanso2Viendaotaoquocte1</vt:lpstr>
      <vt:lpstr>documents_STT_8_VienDaotaoQuocteveKhoahocVatlieuITIMS</vt:lpstr>
      <vt:lpstr>location_STT_11_Phongbanso1Viendaotaoquocte</vt:lpstr>
      <vt:lpstr>location_STT_12_Phongbanso2Viendaotaoquocte1</vt:lpstr>
      <vt:lpstr>location_STT_8_VienDaotaoQuocteveKhoahocVatlieuITIMS</vt:lpstr>
      <vt:lpstr>original_STT_10_Quyensudungdat</vt:lpstr>
      <vt:lpstr>original_STT_3_Nhacongtrinhxaydung</vt:lpstr>
      <vt:lpstr>original_STT_4_Vatkientruc</vt:lpstr>
      <vt:lpstr>original_STT_5_Xeoto</vt:lpstr>
      <vt:lpstr>original_STT_6_Phuongtienvantaikhac</vt:lpstr>
      <vt:lpstr>original_STT_7_Maymocthietbi</vt:lpstr>
      <vt:lpstr>original_STT_8_Caylaunamsucvatlamviec</vt:lpstr>
      <vt:lpstr>original_STT_9_Taisancodinhhuuhinhkhac</vt:lpstr>
      <vt:lpstr>provinces_STT_01_HaNoi</vt:lpstr>
      <vt:lpstr>provinces_STT_02_HaGiang</vt:lpstr>
      <vt:lpstr>provinces_STT_04_CaoBang</vt:lpstr>
      <vt:lpstr>provinces_STT_06_BacKan</vt:lpstr>
      <vt:lpstr>provinces_STT_08_TuyenQuang</vt:lpstr>
      <vt:lpstr>provinces_STT_10_LaoCai</vt:lpstr>
      <vt:lpstr>provinces_STT_11_DienBien</vt:lpstr>
      <vt:lpstr>provinces_STT_12_LaiChau</vt:lpstr>
      <vt:lpstr>provinces_STT_14_SonLa</vt:lpstr>
      <vt:lpstr>provinces_STT_15_YenBai</vt:lpstr>
      <vt:lpstr>provinces_STT_17_HoaBinh</vt:lpstr>
      <vt:lpstr>provinces_STT_19_ThaiNguyen</vt:lpstr>
      <vt:lpstr>provinces_STT_20_LangSon</vt:lpstr>
      <vt:lpstr>provinces_STT_22_QuangNinh</vt:lpstr>
      <vt:lpstr>provinces_STT_24_BacGiang</vt:lpstr>
      <vt:lpstr>provinces_STT_25_PhuTho</vt:lpstr>
      <vt:lpstr>provinces_STT_26_VinhPhuc</vt:lpstr>
      <vt:lpstr>provinces_STT_27_BacNinh</vt:lpstr>
      <vt:lpstr>provinces_STT_30_HaiDuong</vt:lpstr>
      <vt:lpstr>provinces_STT_31_HaiPhong</vt:lpstr>
      <vt:lpstr>provinces_STT_33_HungYen</vt:lpstr>
      <vt:lpstr>provinces_STT_34_ThaiBinh</vt:lpstr>
      <vt:lpstr>provinces_STT_35_HaNam</vt:lpstr>
      <vt:lpstr>provinces_STT_36_NamDinh</vt:lpstr>
      <vt:lpstr>provinces_STT_37_NinhBinh</vt:lpstr>
      <vt:lpstr>provinces_STT_38_ThanhHoa</vt:lpstr>
      <vt:lpstr>provinces_STT_40_NgheAn</vt:lpstr>
      <vt:lpstr>provinces_STT_42_HaTinh</vt:lpstr>
      <vt:lpstr>provinces_STT_44_QuangBinh</vt:lpstr>
      <vt:lpstr>provinces_STT_45_QuangTri</vt:lpstr>
      <vt:lpstr>provinces_STT_46_ThuaThienHue</vt:lpstr>
      <vt:lpstr>provinces_STT_48_DaNang</vt:lpstr>
      <vt:lpstr>provinces_STT_49_QuangNam</vt:lpstr>
      <vt:lpstr>provinces_STT_51_QuangNgai</vt:lpstr>
      <vt:lpstr>provinces_STT_52_BinhDinh</vt:lpstr>
      <vt:lpstr>provinces_STT_54_PhuYen</vt:lpstr>
      <vt:lpstr>provinces_STT_56_KhanhHoa</vt:lpstr>
      <vt:lpstr>provinces_STT_58_NinhThuan</vt:lpstr>
      <vt:lpstr>provinces_STT_60_BinhThuan</vt:lpstr>
      <vt:lpstr>provinces_STT_62_KonTum</vt:lpstr>
      <vt:lpstr>provinces_STT_64_GiaLai</vt:lpstr>
      <vt:lpstr>provinces_STT_66_DakLak</vt:lpstr>
      <vt:lpstr>provinces_STT_67_DakNong</vt:lpstr>
      <vt:lpstr>provinces_STT_68_LamDong</vt:lpstr>
      <vt:lpstr>provinces_STT_70_BinhPhuoc</vt:lpstr>
      <vt:lpstr>provinces_STT_72_TayNinh</vt:lpstr>
      <vt:lpstr>provinces_STT_74_BinhDuong</vt:lpstr>
      <vt:lpstr>provinces_STT_75_DongNai</vt:lpstr>
      <vt:lpstr>provinces_STT_77_BaRiaVungTau</vt:lpstr>
      <vt:lpstr>provinces_STT_79_HoChiMinh</vt:lpstr>
      <vt:lpstr>provinces_STT_80_LongAn</vt:lpstr>
      <vt:lpstr>provinces_STT_82_TienGiang</vt:lpstr>
      <vt:lpstr>provinces_STT_83_BenTre</vt:lpstr>
      <vt:lpstr>provinces_STT_84_TraVinh</vt:lpstr>
      <vt:lpstr>provinces_STT_86_VinhLong</vt:lpstr>
      <vt:lpstr>provinces_STT_87_DongThap</vt:lpstr>
      <vt:lpstr>provinces_STT_89_AnGiang</vt:lpstr>
      <vt:lpstr>provinces_STT_91_KienGiang</vt:lpstr>
      <vt:lpstr>provinces_STT_92_CanTho</vt:lpstr>
      <vt:lpstr>provinces_STT_93_HauGiang</vt:lpstr>
      <vt:lpstr>provinces_STT_94_SocTrang</vt:lpstr>
      <vt:lpstr>provinces_STT_95_BacLieu</vt:lpstr>
      <vt:lpstr>provinces_STT_96_CaMau</vt:lpstr>
      <vt:lpstr>unit_STT_10_Quyensudungdat</vt:lpstr>
      <vt:lpstr>unit_STT_3_Nhacongtrinhxaydung</vt:lpstr>
      <vt:lpstr>unit_STT_4_Vatkientruc</vt:lpstr>
      <vt:lpstr>unit_STT_5_Xeoto</vt:lpstr>
      <vt:lpstr>unit_STT_6_Phuongtienvantaikhac</vt:lpstr>
      <vt:lpstr>unit_STT_7_Maymocthietbi</vt:lpstr>
      <vt:lpstr>unit_STT_8_Caylaunamsucvatlamviec</vt:lpstr>
      <vt:lpstr>unit_STT_9_Taisancodinhhuuhinhkhac</vt:lpstr>
      <vt:lpstr>userused_STT_8_VienDaotaoQuocteveKhoahocVatlieuITIMS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Xuan Hieu 20232333M</dc:creator>
  <cp:lastModifiedBy>Phuong Trung Kien 20241124M</cp:lastModifiedBy>
  <dcterms:created xsi:type="dcterms:W3CDTF">2024-10-08T07:34:34Z</dcterms:created>
  <dcterms:modified xsi:type="dcterms:W3CDTF">2024-10-14T08:26:31Z</dcterms:modified>
</cp:coreProperties>
</file>